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00. TEAMS\KKP LKPD Tahun 2025\00. LKPD TA 2025\"/>
    </mc:Choice>
  </mc:AlternateContent>
  <xr:revisionPtr revIDLastSave="0" documentId="13_ncr:1_{09B9B3C2-7BF5-4495-87A8-862E1354ACFC}" xr6:coauthVersionLast="47" xr6:coauthVersionMax="47" xr10:uidLastSave="{00000000-0000-0000-0000-000000000000}"/>
  <bookViews>
    <workbookView xWindow="-108" yWindow="-108" windowWidth="23256" windowHeight="13896" xr2:uid="{4B8B44B4-E48E-40BB-954B-42EC3982A1E7}"/>
  </bookViews>
  <sheets>
    <sheet name="LRA" sheetId="7" r:id="rId1"/>
    <sheet name="LPSAL" sheetId="2" r:id="rId2"/>
    <sheet name="Neraca" sheetId="3" r:id="rId3"/>
    <sheet name="LO" sheetId="4" r:id="rId4"/>
    <sheet name="LAK" sheetId="5" r:id="rId5"/>
    <sheet name="LPE" sheetId="6" r:id="rId6"/>
    <sheet name="LRA salah" sheetId="1" state="hidden" r:id="rId7"/>
  </sheets>
  <externalReferences>
    <externalReference r:id="rId8"/>
    <externalReference r:id="rId9"/>
  </externalReferences>
  <definedNames>
    <definedName name="__123Graph_A" localSheetId="0" hidden="1">#REF!</definedName>
    <definedName name="__123Graph_A" hidden="1">#REF!</definedName>
    <definedName name="__123Graph_B" localSheetId="0"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Fill" hidden="1">#REF!</definedName>
    <definedName name="_Key1" hidden="1">#REF!</definedName>
    <definedName name="_Key2" hidden="1">#REF!</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angg">[1]Anggaran!$C$7:$D$1209</definedName>
    <definedName name="AS2DocOpenMode" hidden="1">"AS2DocumentEdit"</definedName>
    <definedName name="AS2VersionLS" hidden="1">300</definedName>
    <definedName name="asknakdkhk" hidden="1">#REF!</definedName>
    <definedName name="BG_Del" hidden="1">15</definedName>
    <definedName name="BG_Ins" hidden="1">4</definedName>
    <definedName name="BG_Mod" hidden="1">6</definedName>
    <definedName name="conflict" hidden="1">#REF!</definedName>
    <definedName name="conflict_b" hidden="1">#REF!</definedName>
    <definedName name="kdakun_neracalralo">[1]Worksheet!$B$12:$B$3713</definedName>
    <definedName name="lk">'[2]Saldo Akun'!$A$8:$G$191</definedName>
    <definedName name="lk_kdakun">'[2]Saldo Akun'!$B$8:$B$191</definedName>
    <definedName name="nmakun_anggaran">[1]Anggaran!$C$7:$C$1209</definedName>
    <definedName name="nmakun_lpelpsallak">[1]Worksheet!$C$3714:$C$3827</definedName>
    <definedName name="nmakun_neracalralo">[1]Worksheet!$C$12:$C$3713</definedName>
    <definedName name="_xlnm.Print_Area" localSheetId="4">LAK!$A$1:$D$107</definedName>
    <definedName name="_xlnm.Print_Area" localSheetId="3">LO!$A$1:$F$97</definedName>
    <definedName name="_xlnm.Print_Area" localSheetId="5">LPE!$A$1:$D$40</definedName>
    <definedName name="_xlnm.Print_Area" localSheetId="1">LPSAL!$A$1:$D$45</definedName>
    <definedName name="_xlnm.Print_Area" localSheetId="0">LRA!$A$1:$F$113</definedName>
    <definedName name="_xlnm.Print_Area" localSheetId="6">'LRA salah'!$A$1:$F$113</definedName>
    <definedName name="_xlnm.Print_Area" localSheetId="2">Neraca!$A$1:$D$120</definedName>
    <definedName name="_xlnm.Print_Titles" localSheetId="4">LAK!$11:$12</definedName>
    <definedName name="_xlnm.Print_Titles" localSheetId="3">LO!$11:$12</definedName>
    <definedName name="_xlnm.Print_Titles" localSheetId="0">LRA!$11:$12</definedName>
    <definedName name="_xlnm.Print_Titles" localSheetId="6">'LRA salah'!$11:$12</definedName>
    <definedName name="_xlnm.Print_Titles" localSheetId="2">Neraca!$11:$12</definedName>
    <definedName name="qq" hidden="1">#REF!</definedName>
    <definedName name="rrrrrr" hidden="1">#REF!</definedName>
    <definedName name="wslpelpsallak">[1]Worksheet!$C$3714:$J$3827</definedName>
    <definedName name="wsneracalralo">[1]Worksheet!$B$12:$J$3713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 i="1" l="1"/>
  <c r="D14" i="1"/>
  <c r="C14" i="1"/>
  <c r="F43" i="1"/>
  <c r="D43" i="1"/>
  <c r="C43" i="1"/>
  <c r="D82" i="1"/>
  <c r="F23" i="1" l="1"/>
  <c r="F30" i="1"/>
  <c r="D81" i="1" l="1"/>
  <c r="D79" i="1" l="1"/>
  <c r="D96" i="1" s="1"/>
  <c r="F81" i="1"/>
  <c r="F79" i="1" s="1"/>
  <c r="F96" i="1" s="1"/>
  <c r="C81" i="1"/>
  <c r="C79" i="1" s="1"/>
  <c r="C96" i="1" s="1"/>
  <c r="F77" i="1"/>
  <c r="D77" i="1"/>
  <c r="C77" i="1"/>
  <c r="F69" i="1"/>
  <c r="F65" i="1" s="1"/>
  <c r="D69" i="1"/>
  <c r="D65" i="1" s="1"/>
  <c r="C69" i="1"/>
  <c r="C65" i="1" s="1"/>
  <c r="F66" i="1"/>
  <c r="D66" i="1"/>
  <c r="C66" i="1"/>
  <c r="F62" i="1"/>
  <c r="D62" i="1"/>
  <c r="C62" i="1"/>
  <c r="F54" i="1"/>
  <c r="D54" i="1"/>
  <c r="C54" i="1"/>
  <c r="F45" i="1"/>
  <c r="D45" i="1"/>
  <c r="C45" i="1"/>
  <c r="F38" i="1"/>
  <c r="D38" i="1"/>
  <c r="C38" i="1"/>
  <c r="F34" i="1"/>
  <c r="D34" i="1"/>
  <c r="C34" i="1"/>
  <c r="F22" i="1"/>
  <c r="D23" i="1"/>
  <c r="D22" i="1" s="1"/>
  <c r="C23" i="1"/>
  <c r="E16" i="1"/>
  <c r="F16" i="1"/>
  <c r="D16" i="1"/>
  <c r="C16" i="1"/>
  <c r="E31" i="1"/>
  <c r="F31" i="1"/>
  <c r="D31" i="1"/>
  <c r="C31" i="1"/>
  <c r="D26" i="2"/>
  <c r="C26" i="2"/>
  <c r="D24" i="2"/>
  <c r="C24" i="2"/>
  <c r="D22" i="2"/>
  <c r="D18" i="2"/>
  <c r="C18" i="2"/>
  <c r="C22" i="2" s="1"/>
  <c r="E100" i="1"/>
  <c r="E94" i="1"/>
  <c r="E93" i="1"/>
  <c r="E92" i="1"/>
  <c r="E91" i="1"/>
  <c r="E90" i="1"/>
  <c r="E89" i="1"/>
  <c r="E87" i="1"/>
  <c r="E86" i="1"/>
  <c r="E85" i="1"/>
  <c r="E84" i="1"/>
  <c r="E83" i="1"/>
  <c r="E82" i="1"/>
  <c r="E81" i="1"/>
  <c r="E75" i="1"/>
  <c r="E74" i="1"/>
  <c r="E73" i="1"/>
  <c r="E72" i="1"/>
  <c r="E71" i="1"/>
  <c r="E70" i="1"/>
  <c r="E69" i="1"/>
  <c r="E68" i="1"/>
  <c r="E67" i="1"/>
  <c r="E63" i="1"/>
  <c r="E62" i="1"/>
  <c r="E60" i="1"/>
  <c r="E59" i="1"/>
  <c r="E58" i="1"/>
  <c r="E57" i="1"/>
  <c r="E56" i="1"/>
  <c r="E55" i="1"/>
  <c r="E54" i="1"/>
  <c r="E52" i="1"/>
  <c r="E51" i="1"/>
  <c r="E50" i="1"/>
  <c r="E49" i="1"/>
  <c r="E48" i="1"/>
  <c r="E47" i="1"/>
  <c r="E46" i="1"/>
  <c r="E45" i="1"/>
  <c r="E43" i="1"/>
  <c r="E41" i="1"/>
  <c r="E40" i="1"/>
  <c r="E39" i="1"/>
  <c r="E38" i="1"/>
  <c r="E36" i="1"/>
  <c r="E35" i="1"/>
  <c r="E30" i="1"/>
  <c r="E29" i="1"/>
  <c r="E28" i="1"/>
  <c r="E33" i="1"/>
  <c r="E32" i="1"/>
  <c r="E27" i="1"/>
  <c r="E26" i="1"/>
  <c r="E25" i="1"/>
  <c r="E24" i="1"/>
  <c r="E20" i="1"/>
  <c r="E19" i="1"/>
  <c r="E18" i="1"/>
  <c r="E17" i="1"/>
  <c r="E14" i="1"/>
  <c r="D98" i="1" l="1"/>
  <c r="D102" i="1" s="1"/>
  <c r="E77" i="1"/>
  <c r="C98" i="1"/>
  <c r="C102" i="1" s="1"/>
  <c r="E65" i="1"/>
  <c r="E23" i="1"/>
  <c r="C22" i="1"/>
  <c r="E22" i="1" s="1"/>
  <c r="E79" i="1"/>
  <c r="E96" i="1"/>
  <c r="E66" i="1"/>
  <c r="E34" i="1"/>
  <c r="E102" i="1" l="1"/>
  <c r="E98"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<sst xmlns="http://schemas.openxmlformats.org/spreadsheetml/2006/main" count="669" uniqueCount="453">
  <si>
    <t>LAPORAN REALISASI ANGGARAN PENDAPATAN DAN BELANJA</t>
  </si>
  <si>
    <t>(DALAM RUPIAH)</t>
  </si>
  <si>
    <t>URAIAN</t>
  </si>
  <si>
    <t>REF CALK</t>
  </si>
  <si>
    <t>%</t>
  </si>
  <si>
    <t>PENDAPATAN DAERAH</t>
  </si>
  <si>
    <t>PENDAPATAN ASLI DAERAH (PAD)</t>
  </si>
  <si>
    <t>Pajak Daerah</t>
  </si>
  <si>
    <t>Retribusi Daerah</t>
  </si>
  <si>
    <t>Hasil Pengelolaan Kekayaan Daerah yang Dipisahkan</t>
  </si>
  <si>
    <t>Lain-lain PAD yang sah</t>
  </si>
  <si>
    <t>PENDAPATAN TRANSFER</t>
  </si>
  <si>
    <t>Pendapatan Transfer Pemerintah Pusat</t>
  </si>
  <si>
    <t>Dana Perimbangan</t>
  </si>
  <si>
    <t>Dana Insentif Daerah (DID)</t>
  </si>
  <si>
    <t>Dana Otonomi Khusus dan Dana Tambahan Infrastruktur</t>
  </si>
  <si>
    <t>Dana Keistimewaan</t>
  </si>
  <si>
    <t>Dana Desa</t>
  </si>
  <si>
    <t>Insentif Fiskal</t>
  </si>
  <si>
    <t>Dana Bagi Hasil (DBH)</t>
  </si>
  <si>
    <t>Dana Alokasi Umum (DAU)</t>
  </si>
  <si>
    <t>Dana Alokasi Khusus (DAK)</t>
  </si>
  <si>
    <t>Pendapatan Transfer Antar Daerah</t>
  </si>
  <si>
    <t>Pendapatan Bagi Hasil</t>
  </si>
  <si>
    <t>Bantuan Keuangan</t>
  </si>
  <si>
    <t>LAIN-LAIN PENDAPATAN DAERAH YANG SAH</t>
  </si>
  <si>
    <t>Pendapatan Hibah</t>
  </si>
  <si>
    <t>Dana Darurat</t>
  </si>
  <si>
    <t>Lain-lain Pendapatan Sesuai dengan Ketentuan Peraturan Perundang-Undangan</t>
  </si>
  <si>
    <t>BELANJA DAERAH</t>
  </si>
  <si>
    <t>BELANJA OPERASI</t>
  </si>
  <si>
    <t>Belanja Pegawai</t>
  </si>
  <si>
    <t>Belanja Barang dan Jasa</t>
  </si>
  <si>
    <t>Belanja Bunga</t>
  </si>
  <si>
    <t>Belanja Subsidi</t>
  </si>
  <si>
    <t>Belanja Hibah</t>
  </si>
  <si>
    <t>Belanja Bantuan Sosial</t>
  </si>
  <si>
    <t>Belanja Imbalan</t>
  </si>
  <si>
    <t>BELANJA MODAL</t>
  </si>
  <si>
    <t>Belanja Modal Tanah</t>
  </si>
  <si>
    <t>Belanja Modal Peralatan dan Mesin</t>
  </si>
  <si>
    <t>Belanja Modal Gedung dan Bangunan</t>
  </si>
  <si>
    <t>Belanja Modal Jalan, Jaringan, dan Irigasi</t>
  </si>
  <si>
    <t>Belanja Modal Aset Tetap Lainnya</t>
  </si>
  <si>
    <t>Belanja Modal Aset Lainnya</t>
  </si>
  <si>
    <t>BELANJA TIDAK TERDUGA</t>
  </si>
  <si>
    <t>Belanja Tidak Terduga</t>
  </si>
  <si>
    <t>BELANJA TRANSFER</t>
  </si>
  <si>
    <t>Belanja Bagi Hasil</t>
  </si>
  <si>
    <t>Belanja Bagi Hasil Pajak Daerah Kepada Pemerintahan Kabupaten/Kota dan Desa</t>
  </si>
  <si>
    <t>Belanja Bagi Hasil Retribusi Daerah Kabupaten/Kota Kepada Pemerintah Desa</t>
  </si>
  <si>
    <t>Belanja Bantuan Keuangan</t>
  </si>
  <si>
    <t>Belanja Bantuan Keuangan antar Daerah Provinsi</t>
  </si>
  <si>
    <t>Belanja Bantuan Keuangan antar Daerah Kabupaten/Kota</t>
  </si>
  <si>
    <t>Belanja Bantuan Keuangan Daerah Provinsi ke Kabupaten/Kota</t>
  </si>
  <si>
    <t>Belanja Bantuan Keuangan Kabupaten/Kota ke Daerah Provinsi</t>
  </si>
  <si>
    <t>Belanja Bantuan Keuangan Daerah Provinsi atau Kabupaten/Kota kepada Desa</t>
  </si>
  <si>
    <t>Belanja Transfer Dana Otonomi Khusus Provinsi kepada Kabupaten/Kota</t>
  </si>
  <si>
    <t>SURPLUS/(DEFISIT)</t>
  </si>
  <si>
    <t>PEMBIAYAAN DAERAH</t>
  </si>
  <si>
    <t>PENERIMAAN PEMBIAYAAN</t>
  </si>
  <si>
    <t>Sisa Lebih Perhitungan Anggaran Tahun Sebelumnya</t>
  </si>
  <si>
    <t>Pencairan Dana Cadangan</t>
  </si>
  <si>
    <t>Hasil Penjualan Kekayaan Daerah yang Dipisahkan</t>
  </si>
  <si>
    <t>Penerimaan Pinjaman Daerah</t>
  </si>
  <si>
    <t>Penerimaan Kembali Pemberian Pinjaman Daerah</t>
  </si>
  <si>
    <t>Penerimaan Pembiayaan Lainnya Sesuai dengan Ketentuan Peraturan Perundang-Undangan</t>
  </si>
  <si>
    <t>PENGELUARAN PEMBIAYAAN</t>
  </si>
  <si>
    <t>Pembentukan Dana Cadangan</t>
  </si>
  <si>
    <t>Penyertaan Modal Daerah</t>
  </si>
  <si>
    <t>Pembayaran Cicilan Pokok Utang yang Jatuh Tempo</t>
  </si>
  <si>
    <t>Pemberian Pinjaman Daerah</t>
  </si>
  <si>
    <t>Pengeluaran Pembiayaan Lainnya sesuai dengan Ketentuan Peraturan Perundang-Undangan</t>
  </si>
  <si>
    <t>PEMBIAYAAN DAERAH NETTO</t>
  </si>
  <si>
    <t>SISA LEBIH/(KURANG) PEMBIAYAAN ANGGARAN-SILPA/(SIKPA) SEBELUM KOREKSI</t>
  </si>
  <si>
    <t>KOREKSI SILPA</t>
  </si>
  <si>
    <t>SISA LEBIH/(KURANG) PEMBIAYAAN ANGGARAN-SILPA/(SIKPA)</t>
  </si>
  <si>
    <t>Catatan atas Laporan Keuangan (CALK) merupakan bagian yang tidak terpisahkan dari laporan keuangan secara keseluruhan.</t>
  </si>
  <si>
    <t>LAPORAN PERUBAHAN SALDO ANGGARAN LEBIH</t>
  </si>
  <si>
    <t>SALDO ANGGARAN LEBIH AWAL</t>
  </si>
  <si>
    <t>PENGGUNAAN SAL SEBAGAI PENERIMAAN PEMBIAYAAN TAHUN BERJALAN</t>
  </si>
  <si>
    <t xml:space="preserve">Subtotal </t>
  </si>
  <si>
    <t>SISA LEBIH/KURANG PEMBIAYAAN ANGGARAN (SILPA/SIKPA)</t>
  </si>
  <si>
    <t>Subtotal</t>
  </si>
  <si>
    <t>Koreksi Kesalahan Pembukuan Tahun Sebelumnya</t>
  </si>
  <si>
    <t>Lain-Lain</t>
  </si>
  <si>
    <t>KOREKSI KESALAHAN +/(-) PEMBUKUAN TAHUN SEBELUMNYA</t>
  </si>
  <si>
    <t>LAIN-LAIN</t>
  </si>
  <si>
    <t>SALDO ANGGARAN LEBIH AKHIR</t>
  </si>
  <si>
    <t>NERACA</t>
  </si>
  <si>
    <t>ASET</t>
  </si>
  <si>
    <t>ASET LANCAR</t>
  </si>
  <si>
    <t>Kas dan Setara Kas</t>
  </si>
  <si>
    <t>Kas di Kas Daerah</t>
  </si>
  <si>
    <t>Kas di Bendahara Penerimaan</t>
  </si>
  <si>
    <t>Kas di Bendahara Pengeluaran</t>
  </si>
  <si>
    <t>Kas di BLUD</t>
  </si>
  <si>
    <t>Kas Dana Kapitasi pada FKTP</t>
  </si>
  <si>
    <t>Kas Lainnya</t>
  </si>
  <si>
    <t>Setara Kas</t>
  </si>
  <si>
    <t>Kas Dana Desa</t>
  </si>
  <si>
    <t>Kas Dana BOSP</t>
  </si>
  <si>
    <t>Kas Dana BOK Puskesmas</t>
  </si>
  <si>
    <t>Kas Otonomi Khusus</t>
  </si>
  <si>
    <t>Kas Dana Abadi Daerah</t>
  </si>
  <si>
    <t>Investasi Jangka Pendek</t>
  </si>
  <si>
    <t>Piutang Pajak Daerah</t>
  </si>
  <si>
    <t>Piutang Retribusi Daerah</t>
  </si>
  <si>
    <t>Piutang Hasil Pengelolaan Kekayaan Daerah yang Dipisahkan</t>
  </si>
  <si>
    <t>Piutang Lain-lain PAD yang Sah</t>
  </si>
  <si>
    <t>Piutang Transfer Pemerintah Pusat</t>
  </si>
  <si>
    <t>Piutang Transfer Antar Daerah</t>
  </si>
  <si>
    <t>Piutang Lainnya</t>
  </si>
  <si>
    <t>Penyisihan Piutang</t>
  </si>
  <si>
    <t>Beban Dibayar Dimuka</t>
  </si>
  <si>
    <t>Persediaan</t>
  </si>
  <si>
    <t>INVESTASI JANGKA PANJANG</t>
  </si>
  <si>
    <t>Investasi Jangka Panjang Non Permanen</t>
  </si>
  <si>
    <t>Investasi Jangka Panjang Permanen</t>
  </si>
  <si>
    <t>ASET TETAP</t>
  </si>
  <si>
    <t>Tanah</t>
  </si>
  <si>
    <t>Peralatan dan Mesin</t>
  </si>
  <si>
    <t>Gedung dan Bangunan</t>
  </si>
  <si>
    <t>Jalan, Jaringan, dan Irigasi</t>
  </si>
  <si>
    <t>Aset Tetap Lainnya</t>
  </si>
  <si>
    <t>Konstruksi Dalam Pengerjaan</t>
  </si>
  <si>
    <t>Akumulasi Penyusutan</t>
  </si>
  <si>
    <t>Aset Konsesi Jasa</t>
  </si>
  <si>
    <t>Akumulasi Penyusutan Aset Konsesi Jasa</t>
  </si>
  <si>
    <t>DANA CADANGAN</t>
  </si>
  <si>
    <t>Dana Cadangan</t>
  </si>
  <si>
    <t>Dana Cadangan untuk Pembayaran Pokok Obligasi</t>
  </si>
  <si>
    <t>Dana Cadangan untuk Pembayaran Pokok Sukuk</t>
  </si>
  <si>
    <t>ASET LAINNYA</t>
  </si>
  <si>
    <t>Tagihan Jangka Panjang</t>
  </si>
  <si>
    <t>Kemitraan dengan Pihak Ketiga</t>
  </si>
  <si>
    <t>Aset Tidak Berwujud</t>
  </si>
  <si>
    <t>Aset Lain-lain</t>
  </si>
  <si>
    <t>Akumulasi Amortisasi Aset Tidak Berwujud</t>
  </si>
  <si>
    <t>Akumulasi Penyusutan Aset Lainnya</t>
  </si>
  <si>
    <t>Kas yang Dibatasi Penggunaannya</t>
  </si>
  <si>
    <t>Dana Transfer Treasury Deposit Facility (TDF)</t>
  </si>
  <si>
    <t>PROPERTI INVESTASI</t>
  </si>
  <si>
    <t>Properti Investasi Tanah</t>
  </si>
  <si>
    <t>Properti Investasi Gedung dan Bangunan</t>
  </si>
  <si>
    <t>Konstruksi Dalam Pengerjaan Properti Investasi</t>
  </si>
  <si>
    <t>Akumulasi Penyusutan Properti Investasi</t>
  </si>
  <si>
    <t>JUMLAH ASET</t>
  </si>
  <si>
    <t>KEWAJIBAN</t>
  </si>
  <si>
    <t>KEWAJIBAN JANGKA PENDEK</t>
  </si>
  <si>
    <t>Utang Perhitungan Pihak Ketiga (PFK)</t>
  </si>
  <si>
    <t>Utang Bunga</t>
  </si>
  <si>
    <t>Utang Pinjaman Jangka Pendek</t>
  </si>
  <si>
    <t>Bagian Lancar Utang Jangka Panjang</t>
  </si>
  <si>
    <t>Pendapatan Diterima Dimuka</t>
  </si>
  <si>
    <t>Utang Belanja</t>
  </si>
  <si>
    <t>Utang Jangka Pendek Lainnya</t>
  </si>
  <si>
    <t>KEWAJIBAN JANGKA PANJANG</t>
  </si>
  <si>
    <t>Utang kepada Pemerintah Pusat</t>
  </si>
  <si>
    <t>Utang kepada Lembaga Keuangan Bank (LKB)</t>
  </si>
  <si>
    <t>Utang kepada Lembaga Keuangan Bukan Bank (LKBB)</t>
  </si>
  <si>
    <t>Utang kepada Masyarakat</t>
  </si>
  <si>
    <t>Kewajiban Konsesi Jasa</t>
  </si>
  <si>
    <t>Utang Pembiayaan Utang Daerah-Pinjaman Daerah-Pinjaman Daerah dari Pemerintah</t>
  </si>
  <si>
    <t>Utang Pembiayaan Utang Daerah-Pinjaman Daerah-Pinjaman Daerah dari Pemerintah Daerah Lain</t>
  </si>
  <si>
    <t>Utang Pembiayaan Utang Daerah-Pinjaman Daerah-Pinjaman Daerah dari Lembaga Keuangan Bank (LKB)</t>
  </si>
  <si>
    <t>Utang Pembiayaan Utang Daerah-Pinjaman Daerah-Pinjaman Daerah dari Lembaga Keuangan Bukan Bank (LKBB)</t>
  </si>
  <si>
    <t>EKUITAS</t>
  </si>
  <si>
    <t>Ekuitas</t>
  </si>
  <si>
    <t>JUMLAH KEWAJIBAN DAN EKUITAS</t>
  </si>
  <si>
    <t>LAPORAN OPERASIONAL</t>
  </si>
  <si>
    <t>KENAIKAN/
(PENURUNAN)</t>
  </si>
  <si>
    <t>KEGIATAN OPERASIONAL</t>
  </si>
  <si>
    <t>PENDAPATAN DAERAH-LO</t>
  </si>
  <si>
    <t>PENDAPATAN ASLI DAERAH (PAD)-LO</t>
  </si>
  <si>
    <t>Pajak Daerah-LO</t>
  </si>
  <si>
    <t>Retribusi Daerah-LO</t>
  </si>
  <si>
    <t>Hasil Pengelolaan Kekayaan Daerah yang Dipisahkan-LO</t>
  </si>
  <si>
    <t>Lain-lain PAD yang Sah-LO</t>
  </si>
  <si>
    <t>PENDAPATAN TRANSFER-LO</t>
  </si>
  <si>
    <t>Pendapatan Transfer Pemerintah Pusat-LO</t>
  </si>
  <si>
    <t>Dana Perimbangan-LO</t>
  </si>
  <si>
    <t>Dana Bagi Hasil (DBH)-LO</t>
  </si>
  <si>
    <t>Dana Alokasi Umum (DAU)-LO</t>
  </si>
  <si>
    <t>Dana Alokasi Khusus (DAK)-LO</t>
  </si>
  <si>
    <t>Dana Insentif Daerah (DID)-LO</t>
  </si>
  <si>
    <t>Dana Otonomi Khusus dan Dana Tambahan Infrastruktur-LO</t>
  </si>
  <si>
    <t>Dana Keistimewaan-LO</t>
  </si>
  <si>
    <t>Dana Desa-LO</t>
  </si>
  <si>
    <t>Insentif Fiskal-LO</t>
  </si>
  <si>
    <t>Pendapatan Transfer Antar Daerah-LO</t>
  </si>
  <si>
    <t>Pendapatan Bagi Hasil-LO</t>
  </si>
  <si>
    <t>Bantuan Keuangan-LO</t>
  </si>
  <si>
    <t>LAIN-LAIN PENDAPATAN DAERAH YANG SAH-LO</t>
  </si>
  <si>
    <t>Pendapatan Hibah-LO</t>
  </si>
  <si>
    <t>Dana Darurat-LO</t>
  </si>
  <si>
    <t>Lain-lain Pendapatan Sesuai dengan Ketentuan Peraturan Perundang-Undangan-LO</t>
  </si>
  <si>
    <t>BEBAN DAERAH</t>
  </si>
  <si>
    <t>BEBAN OPERASI</t>
  </si>
  <si>
    <t>Beban Pegawai</t>
  </si>
  <si>
    <t>Beban Barang dan Jasa</t>
  </si>
  <si>
    <t>Beban Bunga</t>
  </si>
  <si>
    <t>Beban Subsidi</t>
  </si>
  <si>
    <t>Beban Hibah</t>
  </si>
  <si>
    <t>Beban Bantuan Sosial</t>
  </si>
  <si>
    <t>Beban Penyisihan Piutang</t>
  </si>
  <si>
    <t>Beban Penyusutan dan Amortisasi</t>
  </si>
  <si>
    <t>Beban Imbalan</t>
  </si>
  <si>
    <t>BEBAN TRANSFER</t>
  </si>
  <si>
    <t>Beban Bagi Hasil</t>
  </si>
  <si>
    <t>Beban Bantuan Keuangan</t>
  </si>
  <si>
    <t>SURPLUS/(DEFISIT) DARI KEGIATAN OPERASIONAL</t>
  </si>
  <si>
    <t>KEGIATAN NON OPERASIONAL</t>
  </si>
  <si>
    <t>SURPLUS NON OPERASIONAL-LO</t>
  </si>
  <si>
    <t>Surplus Penjualan/Pertukaran/Pelepasan Aset Non Lancar-LO</t>
  </si>
  <si>
    <t>Surplus Penyelesaian Kewajiban Jangka Panjang-LO</t>
  </si>
  <si>
    <t>Surplus dari Kegiatan Non Operasional Lainnya-LO</t>
  </si>
  <si>
    <t>DEFISIT NON OPERASIONAL-LO</t>
  </si>
  <si>
    <t>Defisit Penjualan/Pertukaran/Pelepasan Aset Non Lancar-LO</t>
  </si>
  <si>
    <t>Defisit Penyelesaian Kewajiban Jangka Panjang-LO</t>
  </si>
  <si>
    <t>Defisit dari Kegiatan Non Operasional Lainnya-LO</t>
  </si>
  <si>
    <t>SURPLUS/(DEFISIT) DARI KEGIATAN NON OPERASIONAL</t>
  </si>
  <si>
    <t>SURPLUS/(DEFISIT) SEBELUM POS LUAR BIASA</t>
  </si>
  <si>
    <t>POS LUAR BIASA</t>
  </si>
  <si>
    <t>PENDAPATAN LUAR BIASA-LO</t>
  </si>
  <si>
    <t>Pendapatan Luar Biasa-LO</t>
  </si>
  <si>
    <t>BEBAN LUAR BIASA</t>
  </si>
  <si>
    <t>Beban Luar Biasa</t>
  </si>
  <si>
    <t>SURPLUS/(DEFISIT)-LO</t>
  </si>
  <si>
    <t>LAPORAN ARUS KAS</t>
  </si>
  <si>
    <t>ARUS KAS DARI AKTIVITAS OPERASI</t>
  </si>
  <si>
    <t>Arus Masuk Kas dari Aktivitas Operasi</t>
  </si>
  <si>
    <t>Lain-lain PAD yang Sah</t>
  </si>
  <si>
    <t>Arus Keluar Kas dari Aktivitas Operasi</t>
  </si>
  <si>
    <t>Arus Kas Bersih dari Aktivitas Operasi</t>
  </si>
  <si>
    <t>ARUS KAS DARI AKTIVITAS INVESTASI</t>
  </si>
  <si>
    <t>Arus Masuk Kas dari Aktivitas Investasi</t>
  </si>
  <si>
    <t>Hasil Penjualan BMD yang Tidak Dipisahkan</t>
  </si>
  <si>
    <t>Arus Keluar Kas dari Aktivitas Investasi</t>
  </si>
  <si>
    <t>Arus Kas Bersih Dari Aktivitas Investasi</t>
  </si>
  <si>
    <t>ARUS KAS DARI AKTIVITAS PENDANAAN</t>
  </si>
  <si>
    <t>Arus Masuk Kas dari Aktivitas Pendanaan</t>
  </si>
  <si>
    <t>Arus Keluar Kas dari Aktivitas Pendanaan</t>
  </si>
  <si>
    <t>Arus Kas Bersih Dari Aktivitas Pendanaan</t>
  </si>
  <si>
    <t>ARUS KAS DARI AKTIVITAS TRANSITORIS</t>
  </si>
  <si>
    <t>Arus Masuk Kas dari Aktivitas Transitoris</t>
  </si>
  <si>
    <t>Penerimaan Perhitungan Pihak Ketiga (PFK)</t>
  </si>
  <si>
    <t>Penerimaan Kembali Uang Persediaan dari Bend. Pengeluaran</t>
  </si>
  <si>
    <t>Kiriman Uang Masuk</t>
  </si>
  <si>
    <t>Arus Keluar Kas dari Aktivitas Transitoris</t>
  </si>
  <si>
    <t>Pembayaran Perhitungan Pihak Ketiga (PFK)</t>
  </si>
  <si>
    <t>Pemberian Uang Persediaan kepada Bend. Pengeluaran</t>
  </si>
  <si>
    <t>Kiriman Uang Keluar</t>
  </si>
  <si>
    <t>Arus Kas Bersih Dari Aktivitas Transitoris</t>
  </si>
  <si>
    <t>KENAIKAN/(PENURUNAN) KAS</t>
  </si>
  <si>
    <t>SALDO AWAL KAS</t>
  </si>
  <si>
    <t>KOREKSI SILPA TAHUN LALU</t>
  </si>
  <si>
    <t>KAS LAINNYA DI BENDAHARA (SELAIN BUD)</t>
  </si>
  <si>
    <t>SALDO AKHIR KAS</t>
  </si>
  <si>
    <t>LAPORAN PERUBAHAN EKUITAS</t>
  </si>
  <si>
    <t>EKUITAS AWAL</t>
  </si>
  <si>
    <t>DAMPAK KUMULATIF PERUBAHAN KEBIJAKAN/KESALAHAN MENDASAR</t>
  </si>
  <si>
    <t>Koreksi Ekuitas-Aset Lancar</t>
  </si>
  <si>
    <t>Koreksi Ekuitas-Investasi Jangka Panjang</t>
  </si>
  <si>
    <t>Koreksi Ekuitas-Aset Tetap</t>
  </si>
  <si>
    <t>Koreksi Ekuitas-Dana Cadangan</t>
  </si>
  <si>
    <t>Koreksi Ekuitas-Aset Lainnya</t>
  </si>
  <si>
    <t>Koreksi Ekuitas-Properti Investasi</t>
  </si>
  <si>
    <t>Koreksi Ekuitas-Kewajiban Jangka Pendek</t>
  </si>
  <si>
    <t>Koreksi Ekuitas-Kewajiban Jangka Panjang</t>
  </si>
  <si>
    <t>EKUITAS AKHIR</t>
  </si>
  <si>
    <t>PEMERINTAH KABUPATEN BIMA</t>
  </si>
  <si>
    <t>UNTUK TAHUN YANG BERAKHIR SAMPAI DENGAN 31 DESEMBER 2025 DAN 2024</t>
  </si>
  <si>
    <t>ANGGARAN TA 2025</t>
  </si>
  <si>
    <t>REALISASI TA 2025</t>
  </si>
  <si>
    <t>REALISASI TA 2024</t>
  </si>
  <si>
    <t>BUPATI BIMA</t>
  </si>
  <si>
    <t>PER 31 DESEMBER 2025 DAN 2024</t>
  </si>
  <si>
    <t>TAHUN 2025</t>
  </si>
  <si>
    <t>TAHUN 2024</t>
  </si>
  <si>
    <t>PER 31 DESEMBER 2025 DAN 31 DESEMBER 2024</t>
  </si>
  <si>
    <t>UNTUK PERIODE YANG BERAKHIR SAMPAI DENGAN 31 DESEMBER 2025 DAN 2024</t>
  </si>
  <si>
    <t>2.956.074.627.448,94</t>
  </si>
  <si>
    <t>Pendapatan Transfer Pemerintah Pusat Lainnya</t>
  </si>
  <si>
    <t>SALDO AWAL KAS DI FUNGSI PERBENDAHARAAN</t>
  </si>
  <si>
    <t>Kas di Bendahara Penerimaan Tahun Sebelumnya</t>
  </si>
  <si>
    <t>Kas di Bendahara Pengeluaran Tahun Sebelumnya</t>
  </si>
  <si>
    <t>Kas di Bendahara Penerimaan Tahun Berjalan</t>
  </si>
  <si>
    <t>Kas di Bendahara Pengeluaran Tahun Berjalan</t>
  </si>
  <si>
    <t>Pendapatan Transfer Pemerintah Pusat Lainnya-LO</t>
  </si>
  <si>
    <t>5.2.1</t>
  </si>
  <si>
    <t>5.2.2</t>
  </si>
  <si>
    <t>5.2.3</t>
  </si>
  <si>
    <t>5.2.4</t>
  </si>
  <si>
    <t>5.5.1</t>
  </si>
  <si>
    <t>5.5.1.1</t>
  </si>
  <si>
    <t>5.5.1.2</t>
  </si>
  <si>
    <t>5.5.2</t>
  </si>
  <si>
    <t>5.5.2.1</t>
  </si>
  <si>
    <t>5.5.2.2</t>
  </si>
  <si>
    <t>5.5.3</t>
  </si>
  <si>
    <t>5.5.3.1</t>
  </si>
  <si>
    <t>5.5.3.2</t>
  </si>
  <si>
    <t>5.5.4</t>
  </si>
  <si>
    <t>5.5.4.1</t>
  </si>
  <si>
    <t>5.5.4.2</t>
  </si>
  <si>
    <t>5.5.5</t>
  </si>
  <si>
    <t>5.5.6</t>
  </si>
  <si>
    <t>5.5.7</t>
  </si>
  <si>
    <t>5.5.8</t>
  </si>
  <si>
    <t>5.5.9</t>
  </si>
  <si>
    <t>Kas Lainnya Tahun Sebelumnya</t>
  </si>
  <si>
    <t>Kas Lainnya Tahun Berjalan</t>
  </si>
  <si>
    <t>5.1.1.</t>
  </si>
  <si>
    <t>5.1.1</t>
  </si>
  <si>
    <t>5.1.1.1.1</t>
  </si>
  <si>
    <t>5.1.1.1.2</t>
  </si>
  <si>
    <t>5.1.1.1.3</t>
  </si>
  <si>
    <t>5.1.1.1.4</t>
  </si>
  <si>
    <t>5.1.1.2</t>
  </si>
  <si>
    <t>5.1.1.2.1</t>
  </si>
  <si>
    <t>5.1.1.2.1.1</t>
  </si>
  <si>
    <t>5.1.1.2.1.2</t>
  </si>
  <si>
    <t>5.1.1.2.1.3</t>
  </si>
  <si>
    <t>5.1.1.2.2</t>
  </si>
  <si>
    <t>5.1.1.2.3</t>
  </si>
  <si>
    <t>5.1.1.2.2.1</t>
  </si>
  <si>
    <t>&gt;&gt; dimasukkan ke jenis DAU, DAK, DBH</t>
  </si>
  <si>
    <t>5.1.1.2.2.2</t>
  </si>
  <si>
    <t>5.1.1.2.3.1</t>
  </si>
  <si>
    <t>5.1.1.2.3.2</t>
  </si>
  <si>
    <t>5.1.1.3</t>
  </si>
  <si>
    <t>5.1.1.3.1</t>
  </si>
  <si>
    <t>5.1.1.3.2</t>
  </si>
  <si>
    <t>5.1.2</t>
  </si>
  <si>
    <t>5.1.2.1</t>
  </si>
  <si>
    <t>5.1.2.1.1</t>
  </si>
  <si>
    <t>5.1.2.1.2</t>
  </si>
  <si>
    <t>5.1.2.1.3</t>
  </si>
  <si>
    <t>5.1.2.1.4</t>
  </si>
  <si>
    <t>5.1.2.2</t>
  </si>
  <si>
    <t>5.1.2.2.1</t>
  </si>
  <si>
    <t>5.1.2.2.2</t>
  </si>
  <si>
    <t>5.1.2.2.3</t>
  </si>
  <si>
    <t>5.1.2.2.4</t>
  </si>
  <si>
    <t>5.1.2.2.5</t>
  </si>
  <si>
    <t>5.1.2.2.6</t>
  </si>
  <si>
    <t>5.1.2.3</t>
  </si>
  <si>
    <t>5.1.2.3.1</t>
  </si>
  <si>
    <t>5.1.2.4</t>
  </si>
  <si>
    <t>5.1.2.4.1</t>
  </si>
  <si>
    <t>5.1.2.4.2</t>
  </si>
  <si>
    <t>5.1.3</t>
  </si>
  <si>
    <t>5.1.3.1</t>
  </si>
  <si>
    <t>5.1.3.1.1</t>
  </si>
  <si>
    <t>5.1.3.1.2</t>
  </si>
  <si>
    <t>5.1.3.2</t>
  </si>
  <si>
    <t>5.1.3.2.1</t>
  </si>
  <si>
    <t>5.1.4</t>
  </si>
  <si>
    <t>5.2.5</t>
  </si>
  <si>
    <t>5.6.4</t>
  </si>
  <si>
    <t>5.6.3</t>
  </si>
  <si>
    <t>5.6.2</t>
  </si>
  <si>
    <t>5.6.1</t>
  </si>
  <si>
    <t>5.3.1.1.1</t>
  </si>
  <si>
    <t>5.3.1.1.1.1</t>
  </si>
  <si>
    <t>5.3.1.1</t>
  </si>
  <si>
    <t>5.3.1.1.1.2</t>
  </si>
  <si>
    <t>5.3.1.1.1.3</t>
  </si>
  <si>
    <t>5.3.1.1.1.4</t>
  </si>
  <si>
    <t>5.3.1.1.1.5</t>
  </si>
  <si>
    <t>5.3.1.1.1.6</t>
  </si>
  <si>
    <t>5.3.1.1.2</t>
  </si>
  <si>
    <t>5.3.1.1.3</t>
  </si>
  <si>
    <t>5.3.1.1.4</t>
  </si>
  <si>
    <t>5.3.1.1.5</t>
  </si>
  <si>
    <t>5.3.1.1.6</t>
  </si>
  <si>
    <t>5.3.1.1.7</t>
  </si>
  <si>
    <t>5.3.1.1.8</t>
  </si>
  <si>
    <t>5.3.1.1.9</t>
  </si>
  <si>
    <t>5.3.1.1.10</t>
  </si>
  <si>
    <t>5.3.1.1.11</t>
  </si>
  <si>
    <t>5.3.1.2</t>
  </si>
  <si>
    <t>5.3.1.2.1</t>
  </si>
  <si>
    <t>5.3.1.2.2</t>
  </si>
  <si>
    <t>5.3.1.3</t>
  </si>
  <si>
    <t>5.3.1.3.1</t>
  </si>
  <si>
    <t>5.3.1.3.2</t>
  </si>
  <si>
    <t>5.3.1.3.3</t>
  </si>
  <si>
    <t>5.3.1.3.4</t>
  </si>
  <si>
    <t>5.3.1.3.5</t>
  </si>
  <si>
    <t>5.3.1.3.6</t>
  </si>
  <si>
    <t>5.3.1.3.7</t>
  </si>
  <si>
    <t>5.3.1.4</t>
  </si>
  <si>
    <t>5.3.1.4.1</t>
  </si>
  <si>
    <t>5.3.1.4.2</t>
  </si>
  <si>
    <t>5.3.1.4.3</t>
  </si>
  <si>
    <t>5.3.1.5</t>
  </si>
  <si>
    <t>5.3.1.5.1</t>
  </si>
  <si>
    <t>5.3.1.5.2</t>
  </si>
  <si>
    <t>5.3.1.5.3</t>
  </si>
  <si>
    <t>5.3.1.5.4</t>
  </si>
  <si>
    <t>5.3.1.5.5</t>
  </si>
  <si>
    <t>5.3.2</t>
  </si>
  <si>
    <t>5.3.2.1</t>
  </si>
  <si>
    <t>5.3.2.2</t>
  </si>
  <si>
    <t>5.3.2.1.2</t>
  </si>
  <si>
    <t>5.3.2.1.1</t>
  </si>
  <si>
    <t>5.3.2.1.3</t>
  </si>
  <si>
    <t>5.3.2.1.4</t>
  </si>
  <si>
    <t>5.3.3</t>
  </si>
  <si>
    <t>5.3.3.1</t>
  </si>
  <si>
    <t>5.3.1.1.1.7</t>
  </si>
  <si>
    <t>5.4.2</t>
  </si>
  <si>
    <t>5.4.2.1</t>
  </si>
  <si>
    <t>5.4.2.1.1</t>
  </si>
  <si>
    <t>5.4.2.1.2</t>
  </si>
  <si>
    <t>5.4.2.1.3</t>
  </si>
  <si>
    <t>5.4.2.1.4</t>
  </si>
  <si>
    <t>5.4.2.2</t>
  </si>
  <si>
    <t>5.4.2.2.1</t>
  </si>
  <si>
    <t>5.4.3</t>
  </si>
  <si>
    <t>5.4.2.2.2</t>
  </si>
  <si>
    <t>5.4.3.1</t>
  </si>
  <si>
    <t>5.4.3.2</t>
  </si>
  <si>
    <t>5.4.4</t>
  </si>
  <si>
    <t>5.4.5</t>
  </si>
  <si>
    <t>5.3.1</t>
  </si>
  <si>
    <t>5.1.1.1</t>
  </si>
  <si>
    <t>Berubah posisi</t>
  </si>
  <si>
    <t>5.3.4</t>
  </si>
  <si>
    <t>5.4.1</t>
  </si>
  <si>
    <t>5.4</t>
  </si>
  <si>
    <t>5.4.1.1</t>
  </si>
  <si>
    <t>5.4.1.1.1</t>
  </si>
  <si>
    <t>5.4.1.1.2</t>
  </si>
  <si>
    <t>5.4.1.1.3</t>
  </si>
  <si>
    <t>5.4.1.1.4</t>
  </si>
  <si>
    <t>5.4.1.2</t>
  </si>
  <si>
    <t>5.4.1.2.1</t>
  </si>
  <si>
    <t>5.4.1.2.1.1</t>
  </si>
  <si>
    <t>5.4.1.2.1.2</t>
  </si>
  <si>
    <t>5.4.1.2.1.3</t>
  </si>
  <si>
    <t>5.4.1.2.2</t>
  </si>
  <si>
    <t>5.4.2.1.2.1</t>
  </si>
  <si>
    <t>5.4.1.2.3</t>
  </si>
  <si>
    <t>5.4.1.2.3.1</t>
  </si>
  <si>
    <t>5.4.1.2.3.2</t>
  </si>
  <si>
    <t>5.4.1.3</t>
  </si>
  <si>
    <t>5.4.1.3.1</t>
  </si>
  <si>
    <t>5.4.1.3.2</t>
  </si>
  <si>
    <t>5.4.2.1.5</t>
  </si>
  <si>
    <t>5.4.2.1.6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</si>
</sst>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_-;\-* #,##0_-;_-* &quot;-&quot;_-;_-@_-"/>
    <numFmt numFmtId="165" formatCode="_-* #,##0.00_-;\-* #,##0.00_-;_-* &quot;-&quot;??_-;_-@_-"/>
    <numFmt numFmtId="166" formatCode="#,##0.00;\(\ #,##0.00\ \)"/>
    <numFmt numFmtId="167" formatCode="#,##0.00;\(#,##0.00\);&quot;-&quot;"/>
    <numFmt numFmtId="168" formatCode="_(* #,##0.00_);_(* \(#,##0.00\);_(* \-??_);_(@_)"/>
    <numFmt numFmtId="169" formatCode="_(* #,##0_);_(* \(#,##0\);_(* \-??_);_(@_)"/>
    <numFmt numFmtId="170" formatCode="_-* #,##0.00_-;\-* #,##0.00_-;_-* &quot;-&quot;_-;_-@_-"/>
    <numFmt numFmtId="171" formatCode="_(* #,##0.00_);_(* \(#,##0.00\);_(* \-_);_(@_)"/>
    <numFmt numFmtId="172" formatCode="_-* #,##0_-;\-* #,##0_-;_-* &quot;-&quot;??_-;_-@_-"/>
  </numFmts>
  <fonts count="27" x14ac:knownFonts="1">
    <font>
      <sz val="11"/>
      <color theme="1"/>
      <name val="Calibri"/>
      <family val="2"/>
      <charset val="1"/>
      <scheme val="minor"/>
    </font>
    <font>
      <sz val="10"/>
      <name val="Arial"/>
      <family val="2"/>
    </font>
    <font>
      <sz val="11"/>
      <name val="Cambria"/>
      <family val="1"/>
    </font>
    <font>
      <sz val="11"/>
      <color theme="1"/>
      <name val="Calibri"/>
      <family val="2"/>
      <charset val="1"/>
      <scheme val="minor"/>
    </font>
    <font>
      <b/>
      <sz val="11"/>
      <color indexed="8"/>
      <name val="Cambria"/>
      <family val="1"/>
    </font>
    <font>
      <b/>
      <i/>
      <sz val="11"/>
      <color rgb="FF000000"/>
      <name val="Cambria"/>
      <family val="1"/>
    </font>
    <font>
      <i/>
      <sz val="11"/>
      <name val="Cambria"/>
      <family val="1"/>
    </font>
    <font>
      <b/>
      <i/>
      <sz val="11"/>
      <name val="Cambria"/>
      <family val="1"/>
    </font>
    <font>
      <b/>
      <sz val="11"/>
      <color theme="0"/>
      <name val="Cambria"/>
      <family val="1"/>
    </font>
    <font>
      <b/>
      <sz val="11"/>
      <color rgb="FF000000"/>
      <name val="Calibri"/>
      <family val="2"/>
    </font>
    <font>
      <b/>
      <sz val="11"/>
      <name val="Cambria"/>
      <family val="1"/>
    </font>
    <font>
      <b/>
      <sz val="11"/>
      <color theme="1"/>
      <name val="Cambria"/>
      <family val="1"/>
    </font>
    <font>
      <b/>
      <sz val="11"/>
      <color rgb="FF1B6744"/>
      <name val="Cambria"/>
      <family val="1"/>
    </font>
    <font>
      <sz val="11"/>
      <color indexed="8"/>
      <name val="Cambria"/>
      <family val="1"/>
    </font>
    <font>
      <b/>
      <i/>
      <sz val="12"/>
      <name val="Cambria"/>
      <family val="1"/>
    </font>
    <font>
      <b/>
      <sz val="14"/>
      <name val="Cambria"/>
      <family val="1"/>
    </font>
    <font>
      <sz val="14"/>
      <color indexed="8"/>
      <name val="Cambria"/>
      <family val="1"/>
    </font>
    <font>
      <b/>
      <i/>
      <sz val="11"/>
      <color indexed="8"/>
      <name val="Cambria"/>
      <family val="1"/>
    </font>
    <font>
      <b/>
      <sz val="11"/>
      <color rgb="FF000000"/>
      <name val="Cambria"/>
      <family val="1"/>
    </font>
    <font>
      <sz val="14"/>
      <name val="Cambria"/>
      <family val="1"/>
    </font>
    <font>
      <sz val="11"/>
      <color indexed="10"/>
      <name val="Cambria"/>
      <family val="1"/>
    </font>
    <font>
      <b/>
      <u/>
      <sz val="14"/>
      <name val="Cambria"/>
      <family val="1"/>
    </font>
    <font>
      <b/>
      <sz val="11"/>
      <color theme="1"/>
      <name val="Calibri"/>
      <family val="2"/>
      <charset val="1"/>
      <scheme val="minor"/>
    </font>
    <font>
      <sz val="11"/>
      <color theme="1"/>
      <name val="Cambria"/>
      <family val="1"/>
    </font>
    <font>
      <b/>
      <sz val="11"/>
      <color rgb="FFFF0000"/>
      <name val="Calibri"/>
      <family val="2"/>
    </font>
    <font>
      <sz val="11"/>
      <color theme="0"/>
      <name val="Cambria"/>
      <family val="1"/>
    </font>
    <font>
      <b/>
      <sz val="11"/>
      <color theme="0"/>
      <name val="Calibri"/>
      <family val="2"/>
    </font>
  </fonts>
  <fills count="9">
    <fill>
      <patternFill patternType="none"/>
    </fill>
    <fill>
      <patternFill patternType="gray125"/>
    </fill>
    <fill>
      <patternFill patternType="solid">
        <fgColor rgb="FF1B6744"/>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tint="0.79998168889431442"/>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hair">
        <color indexed="8"/>
      </bottom>
      <diagonal/>
    </border>
    <border>
      <left style="thin">
        <color indexed="8"/>
      </left>
      <right style="thin">
        <color indexed="8"/>
      </right>
      <top style="hair">
        <color indexed="8"/>
      </top>
      <bottom style="hair">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hair">
        <color indexed="8"/>
      </top>
      <bottom/>
      <diagonal/>
    </border>
    <border>
      <left style="thin">
        <color indexed="8"/>
      </left>
      <right style="thin">
        <color indexed="8"/>
      </right>
      <top style="thin">
        <color indexed="8"/>
      </top>
      <bottom style="hair">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hair">
        <color indexed="8"/>
      </top>
      <bottom style="thin">
        <color indexed="8"/>
      </bottom>
      <diagonal/>
    </border>
  </borders>
  <cellStyleXfs count="5">
    <xf numFmtId="0" fontId="0" fillId="0" borderId="0"/>
    <xf numFmtId="165" fontId="3" fillId="0" borderId="0" applyFont="0" applyFill="0" applyBorder="0" applyAlignment="0" applyProtection="0"/>
    <xf numFmtId="164" fontId="3" fillId="0" borderId="0" applyFont="0" applyFill="0" applyBorder="0" applyAlignment="0" applyProtection="0"/>
    <xf numFmtId="0" fontId="1" fillId="0" borderId="0"/>
    <xf numFmtId="0" fontId="1" fillId="0" borderId="0"/>
  </cellStyleXfs>
  <cellXfs count="346">
    <xf numFmtId="0" fontId="0" fillId="0" borderId="0" xfId="0"/>
    <xf numFmtId="4" fontId="2" fillId="0" borderId="0" xfId="0" applyNumberFormat="1" applyFont="1" applyAlignment="1" applyProtection="1">
      <alignment vertical="top" wrapText="1"/>
      <protection hidden="1"/>
    </xf>
    <xf numFmtId="0" fontId="2" fillId="0" borderId="0" xfId="0" applyFont="1" applyAlignment="1" applyProtection="1">
      <alignment vertical="top" wrapText="1"/>
      <protection hidden="1"/>
    </xf>
    <xf numFmtId="4" fontId="6" fillId="0" borderId="0" xfId="0" applyNumberFormat="1" applyFont="1" applyAlignment="1" applyProtection="1">
      <alignment vertical="top" wrapText="1"/>
      <protection hidden="1"/>
    </xf>
    <xf numFmtId="0" fontId="6" fillId="0" borderId="0" xfId="0" applyFont="1" applyAlignment="1" applyProtection="1">
      <alignment vertical="top" wrapText="1"/>
      <protection hidden="1"/>
    </xf>
    <xf numFmtId="0" fontId="8" fillId="2" borderId="1" xfId="3" applyFont="1" applyFill="1" applyBorder="1" applyAlignment="1" applyProtection="1">
      <alignment horizontal="center" vertical="center" wrapText="1"/>
      <protection hidden="1"/>
    </xf>
    <xf numFmtId="0" fontId="8" fillId="2" borderId="1" xfId="0" applyFont="1" applyFill="1" applyBorder="1" applyAlignment="1" applyProtection="1">
      <alignment horizontal="center" vertical="center" wrapText="1"/>
      <protection hidden="1"/>
    </xf>
    <xf numFmtId="4" fontId="8" fillId="2" borderId="1" xfId="0" applyNumberFormat="1" applyFont="1" applyFill="1" applyBorder="1" applyAlignment="1" applyProtection="1">
      <alignment horizontal="center" vertical="center" wrapText="1"/>
      <protection hidden="1"/>
    </xf>
    <xf numFmtId="0" fontId="9" fillId="0" borderId="0" xfId="0" applyFont="1" applyAlignment="1">
      <alignment horizontal="center" vertical="center"/>
    </xf>
    <xf numFmtId="166" fontId="9" fillId="0" borderId="0" xfId="0" applyNumberFormat="1" applyFont="1" applyAlignment="1">
      <alignment horizontal="center" vertical="center"/>
    </xf>
    <xf numFmtId="0" fontId="2" fillId="0" borderId="2" xfId="3" applyFont="1" applyBorder="1" applyAlignment="1" applyProtection="1">
      <alignment horizontal="center" vertical="top" wrapText="1"/>
      <protection hidden="1"/>
    </xf>
    <xf numFmtId="49" fontId="2" fillId="0" borderId="2" xfId="3" applyNumberFormat="1" applyFont="1" applyBorder="1" applyAlignment="1" applyProtection="1">
      <alignment horizontal="center" vertical="top" wrapText="1"/>
      <protection hidden="1"/>
    </xf>
    <xf numFmtId="167" fontId="2" fillId="0" borderId="2" xfId="3" applyNumberFormat="1" applyFont="1" applyBorder="1" applyAlignment="1" applyProtection="1">
      <alignment horizontal="right" vertical="top" wrapText="1"/>
      <protection hidden="1"/>
    </xf>
    <xf numFmtId="167" fontId="2" fillId="0" borderId="2" xfId="1" applyNumberFormat="1" applyFont="1" applyBorder="1" applyAlignment="1" applyProtection="1">
      <alignment horizontal="right" vertical="top" wrapText="1"/>
      <protection hidden="1"/>
    </xf>
    <xf numFmtId="167" fontId="10" fillId="0" borderId="2" xfId="1" applyNumberFormat="1" applyFont="1" applyBorder="1" applyAlignment="1" applyProtection="1">
      <alignment horizontal="right" vertical="top" wrapText="1"/>
      <protection hidden="1"/>
    </xf>
    <xf numFmtId="167" fontId="2" fillId="0" borderId="2" xfId="2" applyNumberFormat="1" applyFont="1" applyBorder="1" applyAlignment="1" applyProtection="1">
      <alignment horizontal="right" vertical="top" wrapText="1"/>
      <protection hidden="1"/>
    </xf>
    <xf numFmtId="0" fontId="11" fillId="3" borderId="1" xfId="4" applyFont="1" applyFill="1" applyBorder="1" applyAlignment="1" applyProtection="1">
      <alignment vertical="top" wrapText="1"/>
      <protection hidden="1"/>
    </xf>
    <xf numFmtId="168" fontId="11" fillId="3" borderId="1" xfId="3" quotePrefix="1" applyNumberFormat="1" applyFont="1" applyFill="1" applyBorder="1" applyAlignment="1" applyProtection="1">
      <alignment vertical="top" wrapText="1"/>
      <protection hidden="1"/>
    </xf>
    <xf numFmtId="167" fontId="11" fillId="3" borderId="1" xfId="2" applyNumberFormat="1" applyFont="1" applyFill="1" applyBorder="1" applyAlignment="1" applyProtection="1">
      <alignment horizontal="right" vertical="top" wrapText="1"/>
      <protection hidden="1"/>
    </xf>
    <xf numFmtId="0" fontId="9" fillId="0" borderId="0" xfId="0" applyFont="1"/>
    <xf numFmtId="166" fontId="9" fillId="0" borderId="0" xfId="0" applyNumberFormat="1" applyFont="1" applyAlignment="1">
      <alignment horizontal="right"/>
    </xf>
    <xf numFmtId="39" fontId="2" fillId="0" borderId="0" xfId="0" applyNumberFormat="1" applyFont="1" applyAlignment="1" applyProtection="1">
      <alignment vertical="top" wrapText="1"/>
      <protection hidden="1"/>
    </xf>
    <xf numFmtId="0" fontId="10" fillId="0" borderId="3" xfId="3" applyFont="1" applyBorder="1" applyAlignment="1" applyProtection="1">
      <alignment vertical="top" wrapText="1"/>
      <protection hidden="1"/>
    </xf>
    <xf numFmtId="168" fontId="10" fillId="0" borderId="3" xfId="3" applyNumberFormat="1" applyFont="1" applyBorder="1" applyAlignment="1" applyProtection="1">
      <alignment vertical="top" wrapText="1"/>
      <protection hidden="1"/>
    </xf>
    <xf numFmtId="167" fontId="2" fillId="0" borderId="3" xfId="2" applyNumberFormat="1" applyFont="1" applyBorder="1" applyAlignment="1" applyProtection="1">
      <alignment horizontal="right" vertical="top" wrapText="1"/>
      <protection hidden="1"/>
    </xf>
    <xf numFmtId="0" fontId="12" fillId="0" borderId="4" xfId="0" applyFont="1" applyBorder="1" applyAlignment="1" applyProtection="1">
      <alignment horizontal="left" vertical="top" wrapText="1" indent="1"/>
      <protection hidden="1"/>
    </xf>
    <xf numFmtId="168" fontId="12" fillId="0" borderId="4" xfId="3" quotePrefix="1" applyNumberFormat="1" applyFont="1" applyBorder="1" applyAlignment="1" applyProtection="1">
      <alignment vertical="top" wrapText="1"/>
      <protection hidden="1"/>
    </xf>
    <xf numFmtId="167" fontId="12" fillId="0" borderId="4" xfId="2" applyNumberFormat="1" applyFont="1" applyFill="1" applyBorder="1" applyAlignment="1" applyProtection="1">
      <alignment horizontal="right" vertical="top" wrapText="1"/>
      <protection hidden="1"/>
    </xf>
    <xf numFmtId="0" fontId="2" fillId="0" borderId="4" xfId="0" applyFont="1" applyBorder="1" applyAlignment="1" applyProtection="1">
      <alignment horizontal="left" vertical="top" wrapText="1" indent="2"/>
      <protection hidden="1"/>
    </xf>
    <xf numFmtId="168" fontId="2" fillId="0" borderId="4" xfId="3" quotePrefix="1" applyNumberFormat="1" applyFont="1" applyBorder="1" applyAlignment="1" applyProtection="1">
      <alignment vertical="top" wrapText="1"/>
      <protection hidden="1"/>
    </xf>
    <xf numFmtId="167" fontId="2" fillId="0" borderId="4" xfId="2" applyNumberFormat="1" applyFont="1" applyBorder="1" applyAlignment="1" applyProtection="1">
      <alignment horizontal="right" vertical="top" wrapText="1"/>
      <protection hidden="1"/>
    </xf>
    <xf numFmtId="166" fontId="0" fillId="0" borderId="0" xfId="0" applyNumberFormat="1" applyAlignment="1">
      <alignment horizontal="right"/>
    </xf>
    <xf numFmtId="167" fontId="2" fillId="4" borderId="4" xfId="2" applyNumberFormat="1" applyFont="1" applyFill="1" applyBorder="1" applyAlignment="1" applyProtection="1">
      <alignment horizontal="right" vertical="top" wrapText="1"/>
      <protection hidden="1"/>
    </xf>
    <xf numFmtId="4" fontId="0" fillId="0" borderId="0" xfId="0" applyNumberFormat="1"/>
    <xf numFmtId="0" fontId="10" fillId="0" borderId="4" xfId="0" applyFont="1" applyBorder="1" applyAlignment="1" applyProtection="1">
      <alignment vertical="top" wrapText="1"/>
      <protection hidden="1"/>
    </xf>
    <xf numFmtId="168" fontId="2" fillId="0" borderId="4" xfId="3" applyNumberFormat="1" applyFont="1" applyBorder="1" applyAlignment="1" applyProtection="1">
      <alignment vertical="top" wrapText="1"/>
      <protection hidden="1"/>
    </xf>
    <xf numFmtId="0" fontId="10" fillId="0" borderId="4" xfId="0" applyFont="1" applyBorder="1" applyAlignment="1" applyProtection="1">
      <alignment horizontal="left" vertical="top" wrapText="1" indent="2"/>
      <protection hidden="1"/>
    </xf>
    <xf numFmtId="168" fontId="10" fillId="0" borderId="4" xfId="3" quotePrefix="1" applyNumberFormat="1" applyFont="1" applyBorder="1" applyAlignment="1" applyProtection="1">
      <alignment vertical="top" wrapText="1"/>
      <protection hidden="1"/>
    </xf>
    <xf numFmtId="167" fontId="10" fillId="0" borderId="4" xfId="2" applyNumberFormat="1" applyFont="1" applyFill="1" applyBorder="1" applyAlignment="1" applyProtection="1">
      <alignment horizontal="right" vertical="top" wrapText="1"/>
      <protection hidden="1"/>
    </xf>
    <xf numFmtId="167" fontId="10" fillId="0" borderId="4" xfId="2" applyNumberFormat="1" applyFont="1" applyBorder="1" applyAlignment="1" applyProtection="1">
      <alignment horizontal="right" vertical="top" wrapText="1"/>
      <protection hidden="1"/>
    </xf>
    <xf numFmtId="0" fontId="2" fillId="0" borderId="4" xfId="0" applyFont="1" applyBorder="1" applyAlignment="1" applyProtection="1">
      <alignment horizontal="left" vertical="top" wrapText="1" indent="3"/>
      <protection hidden="1"/>
    </xf>
    <xf numFmtId="0" fontId="2" fillId="0" borderId="4" xfId="0" applyFont="1" applyBorder="1" applyAlignment="1" applyProtection="1">
      <alignment vertical="top" wrapText="1"/>
      <protection hidden="1"/>
    </xf>
    <xf numFmtId="169" fontId="2" fillId="0" borderId="4" xfId="3" applyNumberFormat="1" applyFont="1" applyBorder="1" applyAlignment="1" applyProtection="1">
      <alignment vertical="top" wrapText="1"/>
      <protection hidden="1"/>
    </xf>
    <xf numFmtId="169" fontId="10" fillId="0" borderId="4" xfId="3" applyNumberFormat="1" applyFont="1" applyBorder="1" applyAlignment="1" applyProtection="1">
      <alignment vertical="top" wrapText="1"/>
      <protection hidden="1"/>
    </xf>
    <xf numFmtId="0" fontId="2" fillId="0" borderId="4" xfId="0" applyFont="1" applyBorder="1" applyAlignment="1" applyProtection="1">
      <alignment horizontal="left" vertical="top" wrapText="1"/>
      <protection hidden="1"/>
    </xf>
    <xf numFmtId="0" fontId="2" fillId="0" borderId="3" xfId="0" applyFont="1" applyBorder="1" applyAlignment="1" applyProtection="1">
      <alignment vertical="top" wrapText="1"/>
      <protection hidden="1"/>
    </xf>
    <xf numFmtId="169" fontId="2" fillId="0" borderId="3" xfId="3" applyNumberFormat="1" applyFont="1" applyBorder="1" applyAlignment="1" applyProtection="1">
      <alignment vertical="top" wrapText="1"/>
      <protection hidden="1"/>
    </xf>
    <xf numFmtId="169" fontId="2" fillId="0" borderId="4" xfId="3" quotePrefix="1" applyNumberFormat="1" applyFont="1" applyBorder="1" applyAlignment="1" applyProtection="1">
      <alignment vertical="top" wrapText="1"/>
      <protection hidden="1"/>
    </xf>
    <xf numFmtId="0" fontId="2" fillId="0" borderId="4" xfId="0" applyFont="1" applyBorder="1" applyAlignment="1" applyProtection="1">
      <alignment horizontal="justify" vertical="top" wrapText="1"/>
      <protection hidden="1"/>
    </xf>
    <xf numFmtId="43" fontId="2" fillId="0" borderId="0" xfId="0" applyNumberFormat="1" applyFont="1" applyAlignment="1" applyProtection="1">
      <alignment vertical="top" wrapText="1"/>
      <protection hidden="1"/>
    </xf>
    <xf numFmtId="170" fontId="9" fillId="0" borderId="0" xfId="2" applyNumberFormat="1" applyFont="1"/>
    <xf numFmtId="0" fontId="10" fillId="0" borderId="0" xfId="0" applyFont="1" applyAlignment="1" applyProtection="1">
      <alignment vertical="top" wrapText="1"/>
      <protection hidden="1"/>
    </xf>
    <xf numFmtId="169" fontId="10" fillId="0" borderId="0" xfId="3" applyNumberFormat="1" applyFont="1" applyAlignment="1" applyProtection="1">
      <alignment vertical="top" wrapText="1"/>
      <protection hidden="1"/>
    </xf>
    <xf numFmtId="171" fontId="10" fillId="0" borderId="0" xfId="2" applyNumberFormat="1" applyFont="1" applyAlignment="1" applyProtection="1">
      <alignment vertical="top" wrapText="1"/>
      <protection hidden="1"/>
    </xf>
    <xf numFmtId="171" fontId="10" fillId="0" borderId="0" xfId="2" applyNumberFormat="1" applyFont="1" applyAlignment="1" applyProtection="1">
      <alignment horizontal="right" vertical="top" wrapText="1"/>
      <protection hidden="1"/>
    </xf>
    <xf numFmtId="4" fontId="13" fillId="0" borderId="0" xfId="2" applyNumberFormat="1" applyFont="1" applyAlignment="1" applyProtection="1">
      <alignment vertical="top" wrapText="1"/>
      <protection hidden="1"/>
    </xf>
    <xf numFmtId="171" fontId="15" fillId="0" borderId="0" xfId="2" applyNumberFormat="1" applyFont="1" applyAlignment="1" applyProtection="1">
      <alignment vertical="top" wrapText="1"/>
      <protection hidden="1"/>
    </xf>
    <xf numFmtId="171" fontId="15" fillId="0" borderId="0" xfId="2" applyNumberFormat="1" applyFont="1" applyAlignment="1" applyProtection="1">
      <alignment horizontal="right" vertical="top" wrapText="1"/>
      <protection hidden="1"/>
    </xf>
    <xf numFmtId="4" fontId="16" fillId="0" borderId="0" xfId="2" applyNumberFormat="1" applyFont="1" applyAlignment="1" applyProtection="1">
      <alignment vertical="top" wrapText="1"/>
      <protection hidden="1"/>
    </xf>
    <xf numFmtId="168" fontId="10" fillId="0" borderId="0" xfId="1" applyNumberFormat="1" applyFont="1" applyAlignment="1" applyProtection="1">
      <alignment vertical="top" wrapText="1"/>
      <protection hidden="1"/>
    </xf>
    <xf numFmtId="4" fontId="10" fillId="0" borderId="0" xfId="1" applyNumberFormat="1" applyFont="1" applyAlignment="1" applyProtection="1">
      <alignment vertical="top" wrapText="1"/>
      <protection hidden="1"/>
    </xf>
    <xf numFmtId="4" fontId="10" fillId="0" borderId="0" xfId="1" applyNumberFormat="1" applyFont="1" applyAlignment="1" applyProtection="1">
      <alignment horizontal="right" vertical="top" wrapText="1"/>
      <protection hidden="1"/>
    </xf>
    <xf numFmtId="0" fontId="2" fillId="0" borderId="0" xfId="3" applyFont="1" applyAlignment="1" applyProtection="1">
      <alignment vertical="top" wrapText="1"/>
      <protection hidden="1"/>
    </xf>
    <xf numFmtId="4" fontId="2" fillId="0" borderId="0" xfId="3" applyNumberFormat="1" applyFont="1" applyAlignment="1" applyProtection="1">
      <alignment vertical="top" wrapText="1"/>
      <protection hidden="1"/>
    </xf>
    <xf numFmtId="165" fontId="2" fillId="0" borderId="0" xfId="1" applyFont="1" applyAlignment="1" applyProtection="1">
      <alignment horizontal="center" vertical="top" wrapText="1"/>
      <protection hidden="1"/>
    </xf>
    <xf numFmtId="0" fontId="2" fillId="0" borderId="0" xfId="0" applyFont="1" applyAlignment="1">
      <alignment vertical="top"/>
    </xf>
    <xf numFmtId="165" fontId="2" fillId="0" borderId="0" xfId="1" applyFont="1" applyAlignment="1">
      <alignment vertical="top"/>
    </xf>
    <xf numFmtId="0" fontId="6" fillId="0" borderId="0" xfId="0" applyFont="1" applyAlignment="1">
      <alignment vertical="top"/>
    </xf>
    <xf numFmtId="165" fontId="6" fillId="0" borderId="0" xfId="1" applyFont="1" applyAlignment="1">
      <alignment vertical="top"/>
    </xf>
    <xf numFmtId="0" fontId="8" fillId="2" borderId="5" xfId="0" applyFont="1" applyFill="1" applyBorder="1" applyAlignment="1">
      <alignment horizontal="center" vertical="center"/>
    </xf>
    <xf numFmtId="0" fontId="8" fillId="2" borderId="5" xfId="0" applyFont="1" applyFill="1" applyBorder="1" applyAlignment="1">
      <alignment horizontal="center" vertical="center" wrapText="1"/>
    </xf>
    <xf numFmtId="0" fontId="2" fillId="0" borderId="5" xfId="0" applyFont="1" applyBorder="1" applyAlignment="1">
      <alignment vertical="top"/>
    </xf>
    <xf numFmtId="167" fontId="2" fillId="0" borderId="5" xfId="0" applyNumberFormat="1" applyFont="1" applyBorder="1" applyAlignment="1">
      <alignment horizontal="right" vertical="top"/>
    </xf>
    <xf numFmtId="0" fontId="11" fillId="5" borderId="5" xfId="3" applyFont="1" applyFill="1" applyBorder="1" applyAlignment="1">
      <alignment horizontal="left" vertical="top" wrapText="1"/>
    </xf>
    <xf numFmtId="168" fontId="11" fillId="5" borderId="5" xfId="1" quotePrefix="1" applyNumberFormat="1" applyFont="1" applyFill="1" applyBorder="1" applyAlignment="1">
      <alignment horizontal="center" wrapText="1"/>
    </xf>
    <xf numFmtId="167" fontId="11" fillId="5" borderId="5" xfId="2" applyNumberFormat="1" applyFont="1" applyFill="1" applyBorder="1" applyAlignment="1">
      <alignment horizontal="right" vertical="top" wrapText="1"/>
    </xf>
    <xf numFmtId="0" fontId="2" fillId="0" borderId="5" xfId="0" applyFont="1" applyBorder="1" applyAlignment="1">
      <alignment horizontal="center" vertical="top"/>
    </xf>
    <xf numFmtId="167" fontId="2" fillId="0" borderId="5" xfId="2" applyNumberFormat="1" applyFont="1" applyBorder="1" applyAlignment="1">
      <alignment horizontal="right" vertical="top"/>
    </xf>
    <xf numFmtId="0" fontId="10" fillId="0" borderId="5" xfId="0" applyFont="1" applyBorder="1" applyAlignment="1">
      <alignment vertical="top"/>
    </xf>
    <xf numFmtId="167" fontId="10" fillId="0" borderId="5" xfId="2" applyNumberFormat="1" applyFont="1" applyBorder="1" applyAlignment="1">
      <alignment horizontal="right" vertical="top"/>
    </xf>
    <xf numFmtId="0" fontId="11" fillId="5" borderId="5" xfId="3" applyFont="1" applyFill="1" applyBorder="1" applyAlignment="1">
      <alignment horizontal="right" vertical="top" wrapText="1"/>
    </xf>
    <xf numFmtId="0" fontId="2" fillId="0" borderId="5" xfId="0" quotePrefix="1" applyFont="1" applyBorder="1" applyAlignment="1">
      <alignment horizontal="center" vertical="top"/>
    </xf>
    <xf numFmtId="21" fontId="2" fillId="0" borderId="5" xfId="0" quotePrefix="1" applyNumberFormat="1" applyFont="1" applyBorder="1" applyAlignment="1">
      <alignment horizontal="center" vertical="top"/>
    </xf>
    <xf numFmtId="21" fontId="8" fillId="2" borderId="5" xfId="0" quotePrefix="1" applyNumberFormat="1" applyFont="1" applyFill="1" applyBorder="1" applyAlignment="1">
      <alignment horizontal="center" vertical="center"/>
    </xf>
    <xf numFmtId="167" fontId="8" fillId="2" borderId="5" xfId="2" applyNumberFormat="1" applyFont="1" applyFill="1" applyBorder="1" applyAlignment="1">
      <alignment horizontal="right" vertical="center"/>
    </xf>
    <xf numFmtId="0" fontId="10" fillId="0" borderId="0" xfId="0" applyFont="1" applyAlignment="1">
      <alignment vertical="top"/>
    </xf>
    <xf numFmtId="21" fontId="2" fillId="0" borderId="0" xfId="0" quotePrefix="1" applyNumberFormat="1" applyFont="1" applyAlignment="1">
      <alignment horizontal="center" vertical="top"/>
    </xf>
    <xf numFmtId="171" fontId="10" fillId="0" borderId="0" xfId="2" applyNumberFormat="1" applyFont="1" applyBorder="1" applyAlignment="1">
      <alignment vertical="top"/>
    </xf>
    <xf numFmtId="171" fontId="2" fillId="0" borderId="0" xfId="2" applyNumberFormat="1" applyFont="1" applyBorder="1" applyAlignment="1">
      <alignment vertical="top"/>
    </xf>
    <xf numFmtId="0" fontId="14" fillId="0" borderId="0" xfId="0" applyFont="1" applyAlignment="1">
      <alignment horizontal="left" vertical="top" wrapText="1"/>
    </xf>
    <xf numFmtId="171" fontId="2" fillId="0" borderId="0" xfId="2" applyNumberFormat="1" applyFont="1" applyAlignment="1">
      <alignment vertical="top"/>
    </xf>
    <xf numFmtId="0" fontId="15" fillId="0" borderId="0" xfId="0" applyFont="1" applyAlignment="1">
      <alignment vertical="top"/>
    </xf>
    <xf numFmtId="165" fontId="2" fillId="0" borderId="0" xfId="1" applyFont="1" applyAlignment="1">
      <alignment vertical="top" wrapText="1"/>
    </xf>
    <xf numFmtId="0" fontId="2" fillId="0" borderId="0" xfId="0" applyFont="1" applyAlignment="1">
      <alignment vertical="top" wrapText="1"/>
    </xf>
    <xf numFmtId="165" fontId="6" fillId="0" borderId="0" xfId="1" applyFont="1" applyAlignment="1">
      <alignment vertical="top" wrapText="1"/>
    </xf>
    <xf numFmtId="0" fontId="6" fillId="0" borderId="0" xfId="0" applyFont="1" applyAlignment="1">
      <alignment vertical="top" wrapText="1"/>
    </xf>
    <xf numFmtId="0" fontId="8" fillId="2" borderId="1" xfId="0" applyFont="1" applyFill="1" applyBorder="1" applyAlignment="1">
      <alignment horizontal="center" vertical="center" wrapText="1"/>
    </xf>
    <xf numFmtId="171" fontId="8" fillId="2" borderId="1" xfId="2" applyNumberFormat="1" applyFont="1" applyFill="1" applyBorder="1" applyAlignment="1">
      <alignment horizontal="center" vertical="center" wrapText="1"/>
    </xf>
    <xf numFmtId="0" fontId="2" fillId="0" borderId="2" xfId="0" applyFont="1" applyBorder="1" applyAlignment="1">
      <alignment vertical="top" wrapText="1"/>
    </xf>
    <xf numFmtId="169" fontId="2" fillId="0" borderId="2" xfId="1" applyNumberFormat="1" applyFont="1" applyBorder="1" applyAlignment="1">
      <alignment vertical="top" wrapText="1"/>
    </xf>
    <xf numFmtId="167" fontId="2" fillId="0" borderId="2" xfId="2" applyNumberFormat="1" applyFont="1" applyBorder="1" applyAlignment="1">
      <alignment horizontal="right" vertical="top" wrapText="1"/>
    </xf>
    <xf numFmtId="0" fontId="11" fillId="5" borderId="1" xfId="3" applyFont="1" applyFill="1" applyBorder="1" applyAlignment="1">
      <alignment horizontal="left" vertical="top" wrapText="1"/>
    </xf>
    <xf numFmtId="21" fontId="11" fillId="5" borderId="1" xfId="1" quotePrefix="1" applyNumberFormat="1" applyFont="1" applyFill="1" applyBorder="1" applyAlignment="1">
      <alignment wrapText="1"/>
    </xf>
    <xf numFmtId="167" fontId="11" fillId="5" borderId="1" xfId="2" applyNumberFormat="1" applyFont="1" applyFill="1" applyBorder="1" applyAlignment="1">
      <alignment horizontal="right" vertical="top" wrapText="1"/>
    </xf>
    <xf numFmtId="0" fontId="8" fillId="0" borderId="4" xfId="0" applyFont="1" applyBorder="1" applyAlignment="1">
      <alignment vertical="top" wrapText="1"/>
    </xf>
    <xf numFmtId="0" fontId="8" fillId="0" borderId="4" xfId="3" quotePrefix="1" applyFont="1" applyBorder="1" applyAlignment="1">
      <alignment vertical="top" wrapText="1"/>
    </xf>
    <xf numFmtId="167" fontId="8" fillId="0" borderId="4" xfId="2" applyNumberFormat="1" applyFont="1" applyFill="1" applyBorder="1" applyAlignment="1">
      <alignment horizontal="right" vertical="top" wrapText="1"/>
    </xf>
    <xf numFmtId="0" fontId="12" fillId="0" borderId="4" xfId="0" applyFont="1" applyBorder="1" applyAlignment="1">
      <alignment horizontal="left" vertical="top" wrapText="1" indent="1"/>
    </xf>
    <xf numFmtId="0" fontId="12" fillId="0" borderId="4" xfId="3" quotePrefix="1" applyFont="1" applyBorder="1" applyAlignment="1">
      <alignment vertical="top" wrapText="1"/>
    </xf>
    <xf numFmtId="167" fontId="12" fillId="0" borderId="4" xfId="2" applyNumberFormat="1" applyFont="1" applyFill="1" applyBorder="1" applyAlignment="1">
      <alignment horizontal="right" vertical="top" wrapText="1"/>
    </xf>
    <xf numFmtId="0" fontId="2" fillId="0" borderId="4" xfId="0" applyFont="1" applyBorder="1" applyAlignment="1">
      <alignment horizontal="left" vertical="top" wrapText="1" indent="2"/>
    </xf>
    <xf numFmtId="0" fontId="2" fillId="0" borderId="4" xfId="3" quotePrefix="1" applyFont="1" applyBorder="1" applyAlignment="1">
      <alignment vertical="top" wrapText="1"/>
    </xf>
    <xf numFmtId="167" fontId="2" fillId="0" borderId="6" xfId="2" applyNumberFormat="1" applyFont="1" applyBorder="1" applyAlignment="1">
      <alignment horizontal="right" vertical="top" wrapText="1"/>
    </xf>
    <xf numFmtId="0" fontId="2" fillId="0" borderId="4" xfId="0" applyFont="1" applyBorder="1" applyAlignment="1">
      <alignment horizontal="left" vertical="top" wrapText="1" indent="3"/>
    </xf>
    <xf numFmtId="167" fontId="2" fillId="4" borderId="6" xfId="2" applyNumberFormat="1" applyFont="1" applyFill="1" applyBorder="1" applyAlignment="1">
      <alignment horizontal="right" vertical="top" wrapText="1"/>
    </xf>
    <xf numFmtId="39" fontId="0" fillId="0" borderId="0" xfId="0" applyNumberFormat="1"/>
    <xf numFmtId="0" fontId="10" fillId="0" borderId="4" xfId="3" quotePrefix="1" applyFont="1" applyBorder="1" applyAlignment="1">
      <alignment vertical="top" wrapText="1"/>
    </xf>
    <xf numFmtId="20" fontId="2" fillId="0" borderId="4" xfId="3" quotePrefix="1" applyNumberFormat="1" applyFont="1" applyBorder="1" applyAlignment="1">
      <alignment vertical="top" wrapText="1"/>
    </xf>
    <xf numFmtId="0" fontId="10" fillId="0" borderId="4" xfId="0" applyFont="1" applyBorder="1" applyAlignment="1">
      <alignment vertical="top" wrapText="1"/>
    </xf>
    <xf numFmtId="167" fontId="18" fillId="0" borderId="4" xfId="2" applyNumberFormat="1" applyFont="1" applyBorder="1" applyAlignment="1">
      <alignment horizontal="right" vertical="top" wrapText="1"/>
    </xf>
    <xf numFmtId="167" fontId="2" fillId="0" borderId="6" xfId="2" applyNumberFormat="1" applyFont="1" applyFill="1" applyBorder="1" applyAlignment="1">
      <alignment horizontal="right" vertical="top" wrapText="1"/>
    </xf>
    <xf numFmtId="0" fontId="10" fillId="0" borderId="0" xfId="0" applyFont="1" applyAlignment="1">
      <alignment vertical="top" wrapText="1"/>
    </xf>
    <xf numFmtId="0" fontId="2" fillId="0" borderId="4" xfId="0" applyFont="1" applyBorder="1" applyAlignment="1">
      <alignment horizontal="left" vertical="top" wrapText="1"/>
    </xf>
    <xf numFmtId="167" fontId="2" fillId="0" borderId="4" xfId="2" applyNumberFormat="1" applyFont="1" applyBorder="1" applyAlignment="1">
      <alignment horizontal="right" vertical="top" wrapText="1"/>
    </xf>
    <xf numFmtId="167" fontId="10" fillId="0" borderId="4" xfId="2" applyNumberFormat="1" applyFont="1" applyBorder="1" applyAlignment="1">
      <alignment horizontal="right" vertical="top" wrapText="1"/>
    </xf>
    <xf numFmtId="0" fontId="8" fillId="2" borderId="1" xfId="3" applyFont="1" applyFill="1" applyBorder="1" applyAlignment="1">
      <alignment horizontal="center" vertical="center" wrapText="1"/>
    </xf>
    <xf numFmtId="0" fontId="8" fillId="2" borderId="1" xfId="1" quotePrefix="1" applyNumberFormat="1" applyFont="1" applyFill="1" applyBorder="1" applyAlignment="1">
      <alignment vertical="center" wrapText="1"/>
    </xf>
    <xf numFmtId="167" fontId="8" fillId="2" borderId="1" xfId="2" applyNumberFormat="1" applyFont="1" applyFill="1" applyBorder="1" applyAlignment="1">
      <alignment horizontal="right" vertical="center" wrapText="1"/>
    </xf>
    <xf numFmtId="0" fontId="2" fillId="0" borderId="0" xfId="0" applyFont="1" applyAlignment="1">
      <alignment vertical="center" wrapText="1"/>
    </xf>
    <xf numFmtId="0" fontId="11" fillId="5" borderId="1" xfId="1" quotePrefix="1" applyNumberFormat="1" applyFont="1" applyFill="1" applyBorder="1" applyAlignment="1">
      <alignment wrapText="1"/>
    </xf>
    <xf numFmtId="167" fontId="2" fillId="0" borderId="4" xfId="2" quotePrefix="1" applyNumberFormat="1" applyFont="1" applyBorder="1" applyAlignment="1">
      <alignment horizontal="right" vertical="top" wrapText="1"/>
    </xf>
    <xf numFmtId="0" fontId="10" fillId="0" borderId="0" xfId="0" applyFont="1" applyAlignment="1">
      <alignment horizontal="center" vertical="top" wrapText="1"/>
    </xf>
    <xf numFmtId="49" fontId="10" fillId="0" borderId="0" xfId="0" applyNumberFormat="1" applyFont="1" applyAlignment="1">
      <alignment horizontal="left" vertical="top" wrapText="1"/>
    </xf>
    <xf numFmtId="170" fontId="10" fillId="0" borderId="0" xfId="2" applyNumberFormat="1" applyFont="1" applyAlignment="1">
      <alignment horizontal="right" vertical="top" wrapText="1"/>
    </xf>
    <xf numFmtId="0" fontId="14" fillId="0" borderId="0" xfId="0" applyFont="1" applyAlignment="1">
      <alignment vertical="top" wrapText="1"/>
    </xf>
    <xf numFmtId="171" fontId="2" fillId="0" borderId="0" xfId="2" applyNumberFormat="1" applyFont="1" applyAlignment="1">
      <alignment vertical="top" wrapText="1"/>
    </xf>
    <xf numFmtId="170" fontId="2" fillId="0" borderId="0" xfId="2" applyNumberFormat="1" applyFont="1" applyAlignment="1">
      <alignment horizontal="right" vertical="top" wrapText="1"/>
    </xf>
    <xf numFmtId="39" fontId="2" fillId="0" borderId="0" xfId="2" applyNumberFormat="1" applyFont="1" applyAlignment="1">
      <alignment horizontal="right" vertical="top" wrapText="1"/>
    </xf>
    <xf numFmtId="170" fontId="19" fillId="0" borderId="0" xfId="2" applyNumberFormat="1" applyFont="1" applyAlignment="1">
      <alignment horizontal="center" vertical="top" wrapText="1"/>
    </xf>
    <xf numFmtId="39" fontId="19" fillId="0" borderId="0" xfId="2" applyNumberFormat="1" applyFont="1" applyAlignment="1">
      <alignment horizontal="center" vertical="top" wrapText="1"/>
    </xf>
    <xf numFmtId="0" fontId="2" fillId="0" borderId="0" xfId="3" applyFont="1" applyAlignment="1">
      <alignment vertical="top" wrapText="1"/>
    </xf>
    <xf numFmtId="170" fontId="10" fillId="0" borderId="0" xfId="2" applyNumberFormat="1" applyFont="1" applyAlignment="1">
      <alignment horizontal="center" vertical="top" wrapText="1"/>
    </xf>
    <xf numFmtId="4" fontId="2" fillId="0" borderId="0" xfId="0" applyNumberFormat="1" applyFont="1"/>
    <xf numFmtId="0" fontId="2" fillId="0" borderId="0" xfId="0" applyFont="1"/>
    <xf numFmtId="0" fontId="8" fillId="2" borderId="7" xfId="3" applyFont="1" applyFill="1" applyBorder="1" applyAlignment="1">
      <alignment horizontal="center" vertical="center" wrapText="1"/>
    </xf>
    <xf numFmtId="0" fontId="8" fillId="2" borderId="7" xfId="0" applyFont="1" applyFill="1" applyBorder="1" applyAlignment="1">
      <alignment horizontal="center" vertical="center" wrapText="1"/>
    </xf>
    <xf numFmtId="4" fontId="8" fillId="2" borderId="7" xfId="0" applyNumberFormat="1" applyFont="1" applyFill="1" applyBorder="1" applyAlignment="1">
      <alignment horizontal="center" vertical="center" wrapText="1"/>
    </xf>
    <xf numFmtId="0" fontId="2" fillId="0" borderId="6" xfId="3" applyFont="1" applyBorder="1" applyAlignment="1">
      <alignment horizontal="center" vertical="top" wrapText="1"/>
    </xf>
    <xf numFmtId="49" fontId="2" fillId="0" borderId="6" xfId="3" applyNumberFormat="1" applyFont="1" applyBorder="1" applyAlignment="1">
      <alignment horizontal="center" vertical="top" wrapText="1"/>
    </xf>
    <xf numFmtId="167" fontId="2" fillId="0" borderId="6" xfId="3" applyNumberFormat="1" applyFont="1" applyBorder="1" applyAlignment="1">
      <alignment horizontal="right" vertical="top" wrapText="1"/>
    </xf>
    <xf numFmtId="167" fontId="2" fillId="0" borderId="6" xfId="1" applyNumberFormat="1" applyFont="1" applyBorder="1" applyAlignment="1">
      <alignment horizontal="right" vertical="top" wrapText="1"/>
    </xf>
    <xf numFmtId="43" fontId="10" fillId="0" borderId="6" xfId="1" applyNumberFormat="1" applyFont="1" applyBorder="1" applyAlignment="1">
      <alignment horizontal="right" vertical="top" wrapText="1"/>
    </xf>
    <xf numFmtId="0" fontId="11" fillId="3" borderId="1" xfId="4" applyFont="1" applyFill="1" applyBorder="1" applyAlignment="1">
      <alignment vertical="top" wrapText="1"/>
    </xf>
    <xf numFmtId="168" fontId="11" fillId="3" borderId="1" xfId="3" quotePrefix="1" applyNumberFormat="1" applyFont="1" applyFill="1" applyBorder="1" applyAlignment="1">
      <alignment vertical="top" wrapText="1"/>
    </xf>
    <xf numFmtId="167" fontId="11" fillId="3" borderId="1" xfId="3" applyNumberFormat="1" applyFont="1" applyFill="1" applyBorder="1" applyAlignment="1">
      <alignment horizontal="right" vertical="top" wrapText="1"/>
    </xf>
    <xf numFmtId="167" fontId="11" fillId="3" borderId="1" xfId="1" applyNumberFormat="1" applyFont="1" applyFill="1" applyBorder="1" applyAlignment="1">
      <alignment horizontal="right" vertical="top" wrapText="1"/>
    </xf>
    <xf numFmtId="43" fontId="11" fillId="3" borderId="1" xfId="1" applyNumberFormat="1" applyFont="1" applyFill="1" applyBorder="1" applyAlignment="1">
      <alignment horizontal="right" vertical="top" wrapText="1"/>
    </xf>
    <xf numFmtId="0" fontId="10" fillId="0" borderId="0" xfId="0" applyFont="1"/>
    <xf numFmtId="0" fontId="10" fillId="0" borderId="3" xfId="4" applyFont="1" applyBorder="1" applyAlignment="1">
      <alignment vertical="top" wrapText="1"/>
    </xf>
    <xf numFmtId="168" fontId="10" fillId="0" borderId="3" xfId="3" quotePrefix="1" applyNumberFormat="1" applyFont="1" applyBorder="1" applyAlignment="1">
      <alignment vertical="top" wrapText="1"/>
    </xf>
    <xf numFmtId="167" fontId="10" fillId="0" borderId="3" xfId="3" applyNumberFormat="1" applyFont="1" applyBorder="1" applyAlignment="1">
      <alignment horizontal="right" vertical="top" wrapText="1"/>
    </xf>
    <xf numFmtId="167" fontId="10" fillId="0" borderId="3" xfId="1" applyNumberFormat="1" applyFont="1" applyFill="1" applyBorder="1" applyAlignment="1">
      <alignment horizontal="right" vertical="top" wrapText="1"/>
    </xf>
    <xf numFmtId="43" fontId="10" fillId="0" borderId="3" xfId="1" applyNumberFormat="1" applyFont="1" applyFill="1" applyBorder="1" applyAlignment="1">
      <alignment horizontal="right" vertical="top" wrapText="1"/>
    </xf>
    <xf numFmtId="0" fontId="12" fillId="0" borderId="4" xfId="3" applyFont="1" applyBorder="1" applyAlignment="1">
      <alignment vertical="top" wrapText="1"/>
    </xf>
    <xf numFmtId="168" fontId="12" fillId="0" borderId="4" xfId="3" quotePrefix="1" applyNumberFormat="1" applyFont="1" applyBorder="1" applyAlignment="1">
      <alignment vertical="top" wrapText="1"/>
    </xf>
    <xf numFmtId="43" fontId="12" fillId="0" borderId="4" xfId="2" applyNumberFormat="1" applyFont="1" applyFill="1" applyBorder="1" applyAlignment="1">
      <alignment horizontal="right" vertical="top" wrapText="1"/>
    </xf>
    <xf numFmtId="0" fontId="10" fillId="0" borderId="4" xfId="0" applyFont="1" applyBorder="1" applyAlignment="1">
      <alignment horizontal="left" vertical="top" wrapText="1" indent="1"/>
    </xf>
    <xf numFmtId="168" fontId="10" fillId="0" borderId="4" xfId="3" quotePrefix="1" applyNumberFormat="1" applyFont="1" applyBorder="1" applyAlignment="1">
      <alignment vertical="top" wrapText="1"/>
    </xf>
    <xf numFmtId="43" fontId="10" fillId="0" borderId="4" xfId="2" applyNumberFormat="1" applyFont="1" applyBorder="1" applyAlignment="1">
      <alignment horizontal="right" vertical="top" wrapText="1"/>
    </xf>
    <xf numFmtId="168" fontId="2" fillId="0" borderId="4" xfId="3" quotePrefix="1" applyNumberFormat="1" applyFont="1" applyBorder="1" applyAlignment="1">
      <alignment vertical="top" wrapText="1"/>
    </xf>
    <xf numFmtId="43" fontId="2" fillId="0" borderId="4" xfId="2" applyNumberFormat="1" applyFont="1" applyBorder="1" applyAlignment="1">
      <alignment horizontal="right" vertical="top" wrapText="1"/>
    </xf>
    <xf numFmtId="167" fontId="2" fillId="4" borderId="4" xfId="2" applyNumberFormat="1" applyFont="1" applyFill="1" applyBorder="1" applyAlignment="1">
      <alignment horizontal="right" vertical="top" wrapText="1"/>
    </xf>
    <xf numFmtId="0" fontId="2" fillId="0" borderId="4" xfId="0" applyFont="1" applyBorder="1" applyAlignment="1">
      <alignment vertical="top" wrapText="1"/>
    </xf>
    <xf numFmtId="168" fontId="2" fillId="0" borderId="4" xfId="3" applyNumberFormat="1" applyFont="1" applyBorder="1" applyAlignment="1">
      <alignment vertical="top" wrapText="1"/>
    </xf>
    <xf numFmtId="0" fontId="10" fillId="0" borderId="4" xfId="0" applyFont="1" applyBorder="1" applyAlignment="1">
      <alignment horizontal="left" vertical="top" wrapText="1" indent="2"/>
    </xf>
    <xf numFmtId="0" fontId="20" fillId="0" borderId="4" xfId="0" applyFont="1" applyBorder="1" applyAlignment="1">
      <alignment vertical="top" wrapText="1"/>
    </xf>
    <xf numFmtId="169" fontId="10" fillId="0" borderId="4" xfId="3" applyNumberFormat="1" applyFont="1" applyBorder="1" applyAlignment="1">
      <alignment vertical="top" wrapText="1"/>
    </xf>
    <xf numFmtId="1" fontId="2" fillId="0" borderId="4" xfId="0" applyNumberFormat="1" applyFont="1" applyBorder="1" applyAlignment="1">
      <alignment vertical="top" wrapText="1"/>
    </xf>
    <xf numFmtId="0" fontId="11" fillId="5" borderId="1" xfId="4" applyFont="1" applyFill="1" applyBorder="1" applyAlignment="1">
      <alignment horizontal="right" vertical="top" wrapText="1"/>
    </xf>
    <xf numFmtId="168" fontId="11" fillId="5" borderId="1" xfId="3" quotePrefix="1" applyNumberFormat="1" applyFont="1" applyFill="1" applyBorder="1" applyAlignment="1">
      <alignment vertical="top" wrapText="1"/>
    </xf>
    <xf numFmtId="167" fontId="11" fillId="5" borderId="1" xfId="3" applyNumberFormat="1" applyFont="1" applyFill="1" applyBorder="1" applyAlignment="1">
      <alignment horizontal="right" vertical="top" wrapText="1"/>
    </xf>
    <xf numFmtId="167" fontId="11" fillId="5" borderId="1" xfId="1" applyNumberFormat="1" applyFont="1" applyFill="1" applyBorder="1" applyAlignment="1">
      <alignment horizontal="right" vertical="top" wrapText="1"/>
    </xf>
    <xf numFmtId="43" fontId="11" fillId="5" borderId="1" xfId="1" applyNumberFormat="1" applyFont="1" applyFill="1" applyBorder="1" applyAlignment="1">
      <alignment horizontal="right" vertical="top" wrapText="1"/>
    </xf>
    <xf numFmtId="0" fontId="10" fillId="0" borderId="4" xfId="0" applyFont="1" applyBorder="1" applyAlignment="1">
      <alignment horizontal="left" vertical="top" wrapText="1"/>
    </xf>
    <xf numFmtId="0" fontId="2" fillId="0" borderId="4" xfId="0" applyFont="1" applyBorder="1" applyAlignment="1">
      <alignment horizontal="left" vertical="top" wrapText="1" indent="1"/>
    </xf>
    <xf numFmtId="0" fontId="10" fillId="0" borderId="6" xfId="0" applyFont="1" applyBorder="1" applyAlignment="1">
      <alignment horizontal="left" vertical="top" wrapText="1"/>
    </xf>
    <xf numFmtId="168" fontId="2" fillId="0" borderId="6" xfId="3" quotePrefix="1" applyNumberFormat="1" applyFont="1" applyBorder="1" applyAlignment="1">
      <alignment vertical="top" wrapText="1"/>
    </xf>
    <xf numFmtId="167" fontId="10" fillId="0" borderId="6" xfId="2" applyNumberFormat="1" applyFont="1" applyBorder="1" applyAlignment="1">
      <alignment horizontal="right" vertical="top" wrapText="1"/>
    </xf>
    <xf numFmtId="43" fontId="10" fillId="0" borderId="6" xfId="2" applyNumberFormat="1" applyFont="1" applyBorder="1" applyAlignment="1">
      <alignment horizontal="right" vertical="top" wrapText="1"/>
    </xf>
    <xf numFmtId="0" fontId="8" fillId="2" borderId="1" xfId="4" applyFont="1" applyFill="1" applyBorder="1" applyAlignment="1">
      <alignment horizontal="center" vertical="center" wrapText="1"/>
    </xf>
    <xf numFmtId="168" fontId="8" fillId="2" borderId="1" xfId="3" quotePrefix="1" applyNumberFormat="1" applyFont="1" applyFill="1" applyBorder="1" applyAlignment="1">
      <alignment vertical="center" wrapText="1"/>
    </xf>
    <xf numFmtId="43" fontId="8" fillId="2" borderId="1" xfId="2" applyNumberFormat="1" applyFont="1" applyFill="1" applyBorder="1" applyAlignment="1">
      <alignment horizontal="right" vertical="center" wrapText="1"/>
    </xf>
    <xf numFmtId="0" fontId="10" fillId="0" borderId="0" xfId="0" applyFont="1" applyAlignment="1">
      <alignment horizontal="center"/>
    </xf>
    <xf numFmtId="169" fontId="10" fillId="0" borderId="0" xfId="3" quotePrefix="1" applyNumberFormat="1" applyFont="1" applyAlignment="1">
      <alignment vertical="top"/>
    </xf>
    <xf numFmtId="171" fontId="10" fillId="0" borderId="0" xfId="2" applyNumberFormat="1" applyFont="1"/>
    <xf numFmtId="171" fontId="10" fillId="0" borderId="0" xfId="2" applyNumberFormat="1" applyFont="1" applyAlignment="1">
      <alignment horizontal="right" vertical="center"/>
    </xf>
    <xf numFmtId="169" fontId="10" fillId="0" borderId="0" xfId="3" applyNumberFormat="1" applyFont="1" applyAlignment="1">
      <alignment vertical="top"/>
    </xf>
    <xf numFmtId="171" fontId="10" fillId="0" borderId="0" xfId="2" applyNumberFormat="1" applyFont="1" applyAlignment="1">
      <alignment vertical="center"/>
    </xf>
    <xf numFmtId="0" fontId="2" fillId="0" borderId="0" xfId="3" applyFont="1" applyAlignment="1">
      <alignment vertical="top"/>
    </xf>
    <xf numFmtId="171" fontId="15" fillId="0" borderId="0" xfId="2" applyNumberFormat="1" applyFont="1"/>
    <xf numFmtId="171" fontId="15" fillId="0" borderId="0" xfId="2" applyNumberFormat="1" applyFont="1" applyAlignment="1">
      <alignment vertical="center"/>
    </xf>
    <xf numFmtId="171" fontId="15" fillId="0" borderId="0" xfId="2" applyNumberFormat="1" applyFont="1" applyAlignment="1">
      <alignment horizontal="right" vertical="center"/>
    </xf>
    <xf numFmtId="169" fontId="10" fillId="0" borderId="0" xfId="3" applyNumberFormat="1" applyFont="1" applyAlignment="1">
      <alignment vertical="center"/>
    </xf>
    <xf numFmtId="168" fontId="10" fillId="0" borderId="0" xfId="1" applyNumberFormat="1" applyFont="1"/>
    <xf numFmtId="4" fontId="10" fillId="0" borderId="0" xfId="1" applyNumberFormat="1" applyFont="1"/>
    <xf numFmtId="4" fontId="10" fillId="0" borderId="0" xfId="3" applyNumberFormat="1" applyFont="1" applyAlignment="1">
      <alignment vertical="center"/>
    </xf>
    <xf numFmtId="4" fontId="10" fillId="0" borderId="0" xfId="1" applyNumberFormat="1" applyFont="1" applyAlignment="1">
      <alignment horizontal="right"/>
    </xf>
    <xf numFmtId="4" fontId="2" fillId="0" borderId="0" xfId="3" applyNumberFormat="1" applyFont="1" applyAlignment="1">
      <alignment vertical="top"/>
    </xf>
    <xf numFmtId="165" fontId="2" fillId="0" borderId="0" xfId="1" applyFont="1" applyAlignment="1">
      <alignment horizontal="center" vertical="top"/>
    </xf>
    <xf numFmtId="4" fontId="2" fillId="0" borderId="0" xfId="1" applyNumberFormat="1" applyFont="1" applyAlignment="1">
      <alignment horizontal="center" vertical="top"/>
    </xf>
    <xf numFmtId="4" fontId="10" fillId="0" borderId="0" xfId="1" applyNumberFormat="1" applyFont="1" applyAlignment="1">
      <alignment horizontal="right" vertical="center"/>
    </xf>
    <xf numFmtId="165" fontId="2" fillId="0" borderId="0" xfId="1" applyFont="1" applyAlignment="1">
      <alignment wrapText="1"/>
    </xf>
    <xf numFmtId="0" fontId="2" fillId="0" borderId="0" xfId="0" applyFont="1" applyAlignment="1">
      <alignment wrapText="1"/>
    </xf>
    <xf numFmtId="0" fontId="17" fillId="0" borderId="0" xfId="0" applyFont="1" applyAlignment="1">
      <alignment wrapText="1"/>
    </xf>
    <xf numFmtId="165" fontId="6" fillId="0" borderId="0" xfId="1" applyFont="1" applyAlignment="1">
      <alignment wrapText="1"/>
    </xf>
    <xf numFmtId="0" fontId="6" fillId="0" borderId="0" xfId="0" applyFont="1" applyAlignment="1">
      <alignment wrapText="1"/>
    </xf>
    <xf numFmtId="0" fontId="17" fillId="0" borderId="0" xfId="0" applyFont="1" applyAlignment="1">
      <alignment horizontal="right" wrapText="1"/>
    </xf>
    <xf numFmtId="172" fontId="10" fillId="0" borderId="0" xfId="1" applyNumberFormat="1" applyFont="1" applyAlignment="1">
      <alignment vertical="top" wrapText="1"/>
    </xf>
    <xf numFmtId="0" fontId="10" fillId="0" borderId="2" xfId="0" applyFont="1" applyBorder="1" applyAlignment="1">
      <alignment horizontal="center" vertical="center" wrapText="1"/>
    </xf>
    <xf numFmtId="167" fontId="10" fillId="0" borderId="2" xfId="2" applyNumberFormat="1" applyFont="1" applyBorder="1" applyAlignment="1">
      <alignment horizontal="right" vertical="center" wrapText="1"/>
    </xf>
    <xf numFmtId="0" fontId="11" fillId="3" borderId="1" xfId="3" applyFont="1" applyFill="1" applyBorder="1" applyAlignment="1">
      <alignment horizontal="left" vertical="top" wrapText="1"/>
    </xf>
    <xf numFmtId="0" fontId="11" fillId="3" borderId="1" xfId="1" quotePrefix="1" applyNumberFormat="1" applyFont="1" applyFill="1" applyBorder="1" applyAlignment="1">
      <alignment wrapText="1"/>
    </xf>
    <xf numFmtId="167" fontId="11" fillId="3" borderId="1" xfId="2" applyNumberFormat="1" applyFont="1" applyFill="1" applyBorder="1" applyAlignment="1">
      <alignment horizontal="right" vertical="top" wrapText="1"/>
    </xf>
    <xf numFmtId="4" fontId="2" fillId="0" borderId="0" xfId="0" applyNumberFormat="1" applyFont="1" applyAlignment="1">
      <alignment wrapText="1"/>
    </xf>
    <xf numFmtId="43" fontId="2" fillId="0" borderId="0" xfId="0" applyNumberFormat="1" applyFont="1" applyAlignment="1">
      <alignment wrapText="1"/>
    </xf>
    <xf numFmtId="0" fontId="12" fillId="0" borderId="4" xfId="3" applyFont="1" applyBorder="1" applyAlignment="1">
      <alignment horizontal="left" vertical="top" wrapText="1" indent="1"/>
    </xf>
    <xf numFmtId="0" fontId="2" fillId="0" borderId="4" xfId="3" applyFont="1" applyBorder="1" applyAlignment="1">
      <alignment horizontal="left" vertical="top" wrapText="1" indent="2"/>
    </xf>
    <xf numFmtId="165" fontId="2" fillId="0" borderId="0" xfId="0" applyNumberFormat="1" applyFont="1" applyAlignment="1">
      <alignment wrapText="1"/>
    </xf>
    <xf numFmtId="0" fontId="2" fillId="0" borderId="4" xfId="3" applyFont="1" applyBorder="1" applyAlignment="1">
      <alignment vertical="top" wrapText="1"/>
    </xf>
    <xf numFmtId="0" fontId="10" fillId="0" borderId="4" xfId="3" applyFont="1" applyBorder="1" applyAlignment="1">
      <alignment vertical="top" wrapText="1"/>
    </xf>
    <xf numFmtId="0" fontId="10" fillId="6" borderId="4" xfId="3" applyFont="1" applyFill="1" applyBorder="1" applyAlignment="1">
      <alignment horizontal="right" vertical="top" wrapText="1"/>
    </xf>
    <xf numFmtId="168" fontId="10" fillId="6" borderId="2" xfId="1" quotePrefix="1" applyNumberFormat="1" applyFont="1" applyFill="1" applyBorder="1" applyAlignment="1">
      <alignment wrapText="1"/>
    </xf>
    <xf numFmtId="167" fontId="10" fillId="6" borderId="2" xfId="2" applyNumberFormat="1" applyFont="1" applyFill="1" applyBorder="1" applyAlignment="1">
      <alignment horizontal="right" vertical="top" wrapText="1"/>
    </xf>
    <xf numFmtId="170" fontId="2" fillId="0" borderId="0" xfId="2" applyNumberFormat="1" applyFont="1" applyAlignment="1">
      <alignment wrapText="1"/>
    </xf>
    <xf numFmtId="168" fontId="11" fillId="5" borderId="1" xfId="1" quotePrefix="1" applyNumberFormat="1" applyFont="1" applyFill="1" applyBorder="1" applyAlignment="1">
      <alignment wrapText="1"/>
    </xf>
    <xf numFmtId="0" fontId="2" fillId="0" borderId="2" xfId="3" applyFont="1" applyBorder="1" applyAlignment="1">
      <alignment vertical="top" wrapText="1"/>
    </xf>
    <xf numFmtId="0" fontId="10" fillId="0" borderId="2" xfId="3" applyFont="1" applyBorder="1" applyAlignment="1">
      <alignment vertical="top" wrapText="1"/>
    </xf>
    <xf numFmtId="0" fontId="8" fillId="2" borderId="8" xfId="0" applyFont="1" applyFill="1" applyBorder="1" applyAlignment="1">
      <alignment horizontal="center" vertical="center" wrapText="1"/>
    </xf>
    <xf numFmtId="167" fontId="8" fillId="2" borderId="8" xfId="2" applyNumberFormat="1" applyFont="1" applyFill="1" applyBorder="1" applyAlignment="1">
      <alignment horizontal="right" vertical="center" wrapText="1"/>
    </xf>
    <xf numFmtId="0" fontId="10" fillId="0" borderId="0" xfId="0" applyFont="1" applyAlignment="1">
      <alignment wrapText="1"/>
    </xf>
    <xf numFmtId="4" fontId="10" fillId="0" borderId="0" xfId="1" applyNumberFormat="1" applyFont="1" applyAlignment="1">
      <alignment wrapText="1"/>
    </xf>
    <xf numFmtId="4" fontId="10" fillId="0" borderId="0" xfId="3" applyNumberFormat="1" applyFont="1" applyAlignment="1">
      <alignment vertical="center" wrapText="1"/>
    </xf>
    <xf numFmtId="4" fontId="15" fillId="0" borderId="0" xfId="1" applyNumberFormat="1" applyFont="1" applyAlignment="1">
      <alignment horizontal="center" wrapText="1"/>
    </xf>
    <xf numFmtId="4" fontId="15" fillId="0" borderId="0" xfId="1" applyNumberFormat="1" applyFont="1" applyAlignment="1">
      <alignment wrapText="1"/>
    </xf>
    <xf numFmtId="4" fontId="15" fillId="0" borderId="0" xfId="3" applyNumberFormat="1" applyFont="1" applyAlignment="1">
      <alignment vertical="center" wrapText="1"/>
    </xf>
    <xf numFmtId="4" fontId="19" fillId="0" borderId="0" xfId="0" applyNumberFormat="1" applyFont="1" applyAlignment="1">
      <alignment horizontal="right" wrapText="1"/>
    </xf>
    <xf numFmtId="4" fontId="19" fillId="0" borderId="0" xfId="0" applyNumberFormat="1" applyFont="1" applyAlignment="1">
      <alignment wrapText="1"/>
    </xf>
    <xf numFmtId="4" fontId="2" fillId="0" borderId="0" xfId="0" applyNumberFormat="1" applyFont="1" applyAlignment="1">
      <alignment horizontal="right" wrapText="1"/>
    </xf>
    <xf numFmtId="0" fontId="2" fillId="0" borderId="1" xfId="0" applyFont="1" applyBorder="1" applyAlignment="1">
      <alignment vertical="top"/>
    </xf>
    <xf numFmtId="167" fontId="2" fillId="0" borderId="1" xfId="0" applyNumberFormat="1" applyFont="1" applyBorder="1" applyAlignment="1">
      <alignment horizontal="right" vertical="top"/>
    </xf>
    <xf numFmtId="168" fontId="11" fillId="5" borderId="1" xfId="1" quotePrefix="1" applyNumberFormat="1" applyFont="1" applyFill="1" applyBorder="1" applyAlignment="1">
      <alignment horizontal="center" vertical="top" wrapText="1"/>
    </xf>
    <xf numFmtId="0" fontId="10" fillId="0" borderId="1" xfId="0" applyFont="1" applyBorder="1" applyAlignment="1">
      <alignment vertical="top"/>
    </xf>
    <xf numFmtId="0" fontId="2" fillId="0" borderId="1" xfId="0" applyFont="1" applyBorder="1" applyAlignment="1">
      <alignment horizontal="center" vertical="top"/>
    </xf>
    <xf numFmtId="167" fontId="10" fillId="0" borderId="1" xfId="1" applyNumberFormat="1" applyFont="1" applyBorder="1" applyAlignment="1">
      <alignment horizontal="right" vertical="top"/>
    </xf>
    <xf numFmtId="0" fontId="2" fillId="0" borderId="4" xfId="0" applyFont="1" applyBorder="1" applyAlignment="1">
      <alignment horizontal="left" vertical="top" indent="1"/>
    </xf>
    <xf numFmtId="168" fontId="2" fillId="0" borderId="4" xfId="3" quotePrefix="1" applyNumberFormat="1" applyFont="1" applyBorder="1" applyAlignment="1">
      <alignment horizontal="left" vertical="top"/>
    </xf>
    <xf numFmtId="167" fontId="2" fillId="0" borderId="4" xfId="2" applyNumberFormat="1" applyFont="1" applyFill="1" applyBorder="1" applyAlignment="1">
      <alignment horizontal="right" vertical="top"/>
    </xf>
    <xf numFmtId="167" fontId="2" fillId="0" borderId="4" xfId="2" applyNumberFormat="1" applyFont="1" applyBorder="1" applyAlignment="1">
      <alignment horizontal="right" vertical="top"/>
    </xf>
    <xf numFmtId="0" fontId="2" fillId="0" borderId="9" xfId="0" applyFont="1" applyBorder="1" applyAlignment="1">
      <alignment vertical="top"/>
    </xf>
    <xf numFmtId="0" fontId="2" fillId="0" borderId="9" xfId="0" applyFont="1" applyBorder="1" applyAlignment="1">
      <alignment horizontal="left" vertical="top"/>
    </xf>
    <xf numFmtId="167" fontId="2" fillId="0" borderId="9" xfId="1" applyNumberFormat="1" applyFont="1" applyBorder="1" applyAlignment="1">
      <alignment horizontal="right" vertical="top"/>
    </xf>
    <xf numFmtId="167" fontId="8" fillId="2" borderId="5" xfId="0" applyNumberFormat="1" applyFont="1" applyFill="1" applyBorder="1" applyAlignment="1">
      <alignment horizontal="right" vertical="center"/>
    </xf>
    <xf numFmtId="0" fontId="7" fillId="0" borderId="0" xfId="0" applyFont="1" applyAlignment="1">
      <alignment vertical="top"/>
    </xf>
    <xf numFmtId="171" fontId="10" fillId="0" borderId="0" xfId="2" applyNumberFormat="1" applyFont="1" applyAlignment="1">
      <alignment vertical="top"/>
    </xf>
    <xf numFmtId="165" fontId="2" fillId="0" borderId="0" xfId="1" applyFont="1" applyFill="1" applyAlignment="1">
      <alignment wrapText="1"/>
    </xf>
    <xf numFmtId="0" fontId="11" fillId="0" borderId="7" xfId="3" applyFont="1" applyBorder="1" applyAlignment="1">
      <alignment horizontal="left" vertical="top" wrapText="1"/>
    </xf>
    <xf numFmtId="168" fontId="11" fillId="0" borderId="7" xfId="1" quotePrefix="1" applyNumberFormat="1" applyFont="1" applyFill="1" applyBorder="1" applyAlignment="1">
      <alignment wrapText="1"/>
    </xf>
    <xf numFmtId="167" fontId="11" fillId="0" borderId="7" xfId="2" applyNumberFormat="1" applyFont="1" applyFill="1" applyBorder="1" applyAlignment="1">
      <alignment horizontal="right" vertical="top" wrapText="1"/>
    </xf>
    <xf numFmtId="168" fontId="11" fillId="0" borderId="4" xfId="1" quotePrefix="1" applyNumberFormat="1" applyFont="1" applyFill="1" applyBorder="1" applyAlignment="1">
      <alignment wrapText="1"/>
    </xf>
    <xf numFmtId="0" fontId="2" fillId="0" borderId="9" xfId="3" applyFont="1" applyBorder="1" applyAlignment="1">
      <alignment vertical="top" wrapText="1"/>
    </xf>
    <xf numFmtId="0" fontId="10" fillId="0" borderId="9" xfId="3" applyFont="1" applyBorder="1" applyAlignment="1">
      <alignment vertical="top" wrapText="1"/>
    </xf>
    <xf numFmtId="167" fontId="2" fillId="0" borderId="9" xfId="2" applyNumberFormat="1" applyFont="1" applyFill="1" applyBorder="1" applyAlignment="1">
      <alignment horizontal="right" vertical="top" wrapText="1"/>
    </xf>
    <xf numFmtId="165" fontId="0" fillId="0" borderId="0" xfId="0" applyNumberFormat="1"/>
    <xf numFmtId="4" fontId="10" fillId="0" borderId="0" xfId="0" applyNumberFormat="1" applyFont="1" applyAlignment="1" applyProtection="1">
      <alignment vertical="top" wrapText="1"/>
      <protection hidden="1"/>
    </xf>
    <xf numFmtId="0" fontId="22" fillId="0" borderId="0" xfId="0" applyFont="1"/>
    <xf numFmtId="166" fontId="22" fillId="0" borderId="0" xfId="0" applyNumberFormat="1" applyFont="1" applyAlignment="1">
      <alignment horizontal="right"/>
    </xf>
    <xf numFmtId="39" fontId="10" fillId="0" borderId="0" xfId="0" applyNumberFormat="1" applyFont="1" applyAlignment="1" applyProtection="1">
      <alignment vertical="top" wrapText="1"/>
      <protection hidden="1"/>
    </xf>
    <xf numFmtId="167" fontId="23" fillId="0" borderId="4" xfId="2" applyNumberFormat="1" applyFont="1" applyFill="1" applyBorder="1" applyAlignment="1">
      <alignment horizontal="right" vertical="top" wrapText="1"/>
    </xf>
    <xf numFmtId="0" fontId="2" fillId="7" borderId="4" xfId="0" applyFont="1" applyFill="1" applyBorder="1" applyAlignment="1">
      <alignment horizontal="left" vertical="top" wrapText="1" indent="3"/>
    </xf>
    <xf numFmtId="168" fontId="2" fillId="7" borderId="4" xfId="3" quotePrefix="1" applyNumberFormat="1" applyFont="1" applyFill="1" applyBorder="1" applyAlignment="1">
      <alignment vertical="top" wrapText="1"/>
    </xf>
    <xf numFmtId="167" fontId="2" fillId="7" borderId="4" xfId="2" applyNumberFormat="1" applyFont="1" applyFill="1" applyBorder="1" applyAlignment="1">
      <alignment horizontal="right" vertical="top" wrapText="1"/>
    </xf>
    <xf numFmtId="43" fontId="2" fillId="7" borderId="4" xfId="2" applyNumberFormat="1" applyFont="1" applyFill="1" applyBorder="1" applyAlignment="1">
      <alignment horizontal="right" vertical="top" wrapText="1"/>
    </xf>
    <xf numFmtId="0" fontId="0" fillId="7" borderId="0" xfId="0" applyFill="1"/>
    <xf numFmtId="0" fontId="10" fillId="7" borderId="0" xfId="0" applyFont="1" applyFill="1"/>
    <xf numFmtId="4" fontId="2" fillId="0" borderId="0" xfId="0" applyNumberFormat="1" applyFont="1" applyAlignment="1">
      <alignment vertical="top"/>
    </xf>
    <xf numFmtId="167" fontId="10" fillId="0" borderId="4" xfId="2" applyNumberFormat="1" applyFont="1" applyFill="1" applyBorder="1" applyAlignment="1">
      <alignment horizontal="right" vertical="top" wrapText="1"/>
    </xf>
    <xf numFmtId="43" fontId="10" fillId="0" borderId="4" xfId="2" applyNumberFormat="1" applyFont="1" applyFill="1" applyBorder="1" applyAlignment="1">
      <alignment horizontal="right" vertical="top" wrapText="1"/>
    </xf>
    <xf numFmtId="167" fontId="2" fillId="0" borderId="4" xfId="2" applyNumberFormat="1" applyFont="1" applyFill="1" applyBorder="1" applyAlignment="1">
      <alignment horizontal="right" vertical="top" wrapText="1"/>
    </xf>
    <xf numFmtId="43" fontId="2" fillId="0" borderId="4" xfId="2" applyNumberFormat="1" applyFont="1" applyFill="1" applyBorder="1" applyAlignment="1">
      <alignment horizontal="right" vertical="top" wrapText="1"/>
    </xf>
    <xf numFmtId="167" fontId="2" fillId="8" borderId="4" xfId="2" applyNumberFormat="1" applyFont="1" applyFill="1" applyBorder="1" applyAlignment="1">
      <alignment horizontal="right" vertical="top" wrapText="1"/>
    </xf>
    <xf numFmtId="168" fontId="11" fillId="5" borderId="5" xfId="1" quotePrefix="1" applyNumberFormat="1" applyFont="1" applyFill="1" applyBorder="1" applyAlignment="1">
      <alignment horizontal="center" vertical="top" wrapText="1"/>
    </xf>
    <xf numFmtId="168" fontId="11" fillId="0" borderId="6" xfId="1" quotePrefix="1" applyNumberFormat="1" applyFont="1" applyFill="1" applyBorder="1" applyAlignment="1">
      <alignment wrapText="1"/>
    </xf>
    <xf numFmtId="167" fontId="23" fillId="0" borderId="6" xfId="2" applyNumberFormat="1" applyFont="1" applyFill="1" applyBorder="1" applyAlignment="1">
      <alignment horizontal="right" vertical="top" wrapText="1"/>
    </xf>
    <xf numFmtId="165" fontId="2" fillId="0" borderId="0" xfId="1" applyFont="1" applyAlignment="1"/>
    <xf numFmtId="4" fontId="2" fillId="0" borderId="0" xfId="0" applyNumberFormat="1" applyFont="1" applyAlignment="1" applyProtection="1">
      <alignment vertical="top"/>
      <protection hidden="1"/>
    </xf>
    <xf numFmtId="0" fontId="24" fillId="0" borderId="0" xfId="0" applyFont="1"/>
    <xf numFmtId="0" fontId="10" fillId="0" borderId="4" xfId="0" applyFont="1" applyBorder="1" applyAlignment="1" applyProtection="1">
      <alignment horizontal="left" vertical="top" wrapText="1" indent="1"/>
      <protection hidden="1"/>
    </xf>
    <xf numFmtId="0" fontId="10" fillId="5" borderId="1" xfId="4" applyFont="1" applyFill="1" applyBorder="1" applyAlignment="1" applyProtection="1">
      <alignment horizontal="right" vertical="top" wrapText="1"/>
      <protection hidden="1"/>
    </xf>
    <xf numFmtId="168" fontId="10" fillId="5" borderId="1" xfId="3" quotePrefix="1" applyNumberFormat="1" applyFont="1" applyFill="1" applyBorder="1" applyAlignment="1" applyProtection="1">
      <alignment vertical="top" wrapText="1"/>
      <protection hidden="1"/>
    </xf>
    <xf numFmtId="167" fontId="10" fillId="5" borderId="1" xfId="2" applyNumberFormat="1" applyFont="1" applyFill="1" applyBorder="1" applyAlignment="1" applyProtection="1">
      <alignment horizontal="right" vertical="top" wrapText="1"/>
      <protection hidden="1"/>
    </xf>
    <xf numFmtId="0" fontId="10" fillId="3" borderId="1" xfId="4" applyFont="1" applyFill="1" applyBorder="1" applyAlignment="1" applyProtection="1">
      <alignment vertical="top" wrapText="1"/>
      <protection hidden="1"/>
    </xf>
    <xf numFmtId="168" fontId="10" fillId="3" borderId="1" xfId="3" quotePrefix="1" applyNumberFormat="1" applyFont="1" applyFill="1" applyBorder="1" applyAlignment="1" applyProtection="1">
      <alignment vertical="top" wrapText="1"/>
      <protection hidden="1"/>
    </xf>
    <xf numFmtId="167" fontId="10" fillId="3" borderId="1" xfId="2" applyNumberFormat="1" applyFont="1" applyFill="1" applyBorder="1" applyAlignment="1" applyProtection="1">
      <alignment horizontal="right" vertical="top" wrapText="1"/>
      <protection hidden="1"/>
    </xf>
    <xf numFmtId="167" fontId="2" fillId="0" borderId="4" xfId="0" applyNumberFormat="1" applyFont="1" applyBorder="1" applyAlignment="1" applyProtection="1">
      <alignment horizontal="right" vertical="top" wrapText="1"/>
      <protection hidden="1"/>
    </xf>
    <xf numFmtId="0" fontId="10" fillId="5" borderId="1" xfId="4" applyFont="1" applyFill="1" applyBorder="1" applyAlignment="1" applyProtection="1">
      <alignment vertical="top" wrapText="1"/>
      <protection hidden="1"/>
    </xf>
    <xf numFmtId="0" fontId="10" fillId="2" borderId="1" xfId="4" applyFont="1" applyFill="1" applyBorder="1" applyAlignment="1" applyProtection="1">
      <alignment horizontal="center" vertical="center" wrapText="1"/>
      <protection hidden="1"/>
    </xf>
    <xf numFmtId="168" fontId="10" fillId="2" borderId="1" xfId="3" quotePrefix="1" applyNumberFormat="1" applyFont="1" applyFill="1" applyBorder="1" applyAlignment="1" applyProtection="1">
      <alignment vertical="center" wrapText="1"/>
      <protection hidden="1"/>
    </xf>
    <xf numFmtId="167" fontId="10" fillId="2" borderId="1" xfId="2" applyNumberFormat="1" applyFont="1" applyFill="1" applyBorder="1" applyAlignment="1" applyProtection="1">
      <alignment horizontal="right" vertical="center" wrapText="1"/>
      <protection hidden="1"/>
    </xf>
    <xf numFmtId="0" fontId="12" fillId="0" borderId="4" xfId="3" quotePrefix="1" applyFont="1" applyBorder="1" applyAlignment="1">
      <alignment horizontal="left" vertical="top" wrapText="1"/>
    </xf>
    <xf numFmtId="0" fontId="2" fillId="0" borderId="4" xfId="3" quotePrefix="1" applyFont="1" applyBorder="1" applyAlignment="1">
      <alignment horizontal="left" vertical="center" wrapText="1"/>
    </xf>
    <xf numFmtId="4" fontId="14" fillId="0" borderId="0" xfId="0" applyNumberFormat="1" applyFont="1" applyAlignment="1">
      <alignment vertical="top" wrapText="1"/>
    </xf>
    <xf numFmtId="0" fontId="8" fillId="2" borderId="8" xfId="0" applyFont="1" applyFill="1" applyBorder="1" applyAlignment="1">
      <alignment horizontal="left" vertical="center" wrapText="1"/>
    </xf>
    <xf numFmtId="0" fontId="8" fillId="2" borderId="1" xfId="4" applyFont="1" applyFill="1" applyBorder="1" applyAlignment="1" applyProtection="1">
      <alignment horizontal="center" vertical="center" wrapText="1"/>
      <protection hidden="1"/>
    </xf>
    <xf numFmtId="168" fontId="8" fillId="2" borderId="1" xfId="3" quotePrefix="1" applyNumberFormat="1" applyFont="1" applyFill="1" applyBorder="1" applyAlignment="1" applyProtection="1">
      <alignment vertical="center" wrapText="1"/>
      <protection hidden="1"/>
    </xf>
    <xf numFmtId="167" fontId="8" fillId="2" borderId="1" xfId="2" applyNumberFormat="1" applyFont="1" applyFill="1" applyBorder="1" applyAlignment="1" applyProtection="1">
      <alignment horizontal="right" vertical="center" wrapText="1"/>
      <protection hidden="1"/>
    </xf>
    <xf numFmtId="4" fontId="25" fillId="0" borderId="0" xfId="0" applyNumberFormat="1" applyFont="1" applyAlignment="1" applyProtection="1">
      <alignment vertical="top" wrapText="1"/>
      <protection hidden="1"/>
    </xf>
    <xf numFmtId="170" fontId="26" fillId="0" borderId="0" xfId="2" applyNumberFormat="1" applyFont="1"/>
    <xf numFmtId="166" fontId="26" fillId="0" borderId="0" xfId="0" applyNumberFormat="1" applyFont="1" applyAlignment="1">
      <alignment horizontal="right"/>
    </xf>
    <xf numFmtId="39" fontId="25" fillId="0" borderId="0" xfId="0" applyNumberFormat="1" applyFont="1" applyAlignment="1" applyProtection="1">
      <alignment vertical="top" wrapText="1"/>
      <protection hidden="1"/>
    </xf>
    <xf numFmtId="0" fontId="25" fillId="0" borderId="0" xfId="0" applyFont="1" applyAlignment="1" applyProtection="1">
      <alignment vertical="top" wrapText="1"/>
      <protection hidden="1"/>
    </xf>
    <xf numFmtId="0" fontId="14" fillId="0" borderId="0" xfId="0" applyFont="1" applyAlignment="1">
      <alignment vertical="top" wrapText="1"/>
    </xf>
    <xf numFmtId="4" fontId="15" fillId="0" borderId="0" xfId="0" applyNumberFormat="1" applyFont="1" applyAlignment="1">
      <alignment horizontal="center"/>
    </xf>
    <xf numFmtId="0" fontId="2" fillId="0" borderId="0" xfId="3" applyFont="1" applyAlignment="1">
      <alignment horizontal="center" vertical="top" wrapText="1"/>
    </xf>
    <xf numFmtId="0" fontId="4" fillId="0" borderId="0" xfId="0" applyFont="1" applyAlignment="1">
      <alignment horizontal="center" vertical="top" wrapText="1"/>
    </xf>
    <xf numFmtId="0" fontId="17" fillId="0" borderId="0" xfId="0" applyFont="1" applyAlignment="1">
      <alignment horizontal="center" vertical="top" wrapText="1"/>
    </xf>
    <xf numFmtId="0" fontId="17" fillId="0" borderId="0" xfId="0" applyFont="1" applyAlignment="1">
      <alignment horizontal="right" vertical="top" wrapText="1"/>
    </xf>
    <xf numFmtId="165" fontId="7" fillId="0" borderId="0" xfId="1" applyFont="1" applyFill="1" applyAlignment="1">
      <alignment horizontal="center" vertical="top" wrapText="1"/>
    </xf>
    <xf numFmtId="1" fontId="14" fillId="0" borderId="0" xfId="0" applyNumberFormat="1" applyFont="1" applyAlignment="1" applyProtection="1">
      <alignment vertical="top" wrapText="1"/>
      <protection hidden="1"/>
    </xf>
    <xf numFmtId="4" fontId="15" fillId="0" borderId="0" xfId="0" applyNumberFormat="1" applyFont="1" applyAlignment="1" applyProtection="1">
      <alignment horizontal="center" vertical="top" wrapText="1"/>
      <protection hidden="1"/>
    </xf>
    <xf numFmtId="0" fontId="2" fillId="0" borderId="0" xfId="3" applyFont="1" applyAlignment="1" applyProtection="1">
      <alignment horizontal="center" vertical="top" wrapText="1"/>
      <protection hidden="1"/>
    </xf>
    <xf numFmtId="0" fontId="4" fillId="0" borderId="0" xfId="0" applyFont="1" applyAlignment="1" applyProtection="1">
      <alignment horizontal="center" vertical="top" wrapText="1"/>
      <protection hidden="1"/>
    </xf>
    <xf numFmtId="0" fontId="5" fillId="0" borderId="0" xfId="0" applyFont="1" applyAlignment="1" applyProtection="1">
      <alignment horizontal="center" vertical="top" wrapText="1"/>
      <protection hidden="1"/>
    </xf>
    <xf numFmtId="0" fontId="7" fillId="0" borderId="0" xfId="0" applyFont="1" applyAlignment="1">
      <alignment horizontal="right" vertical="top"/>
    </xf>
    <xf numFmtId="0" fontId="14" fillId="0" borderId="0" xfId="0" applyFont="1" applyAlignment="1">
      <alignment horizontal="left" vertical="top" wrapText="1"/>
    </xf>
    <xf numFmtId="4" fontId="15" fillId="0" borderId="0" xfId="0" applyNumberFormat="1" applyFont="1" applyAlignment="1">
      <alignment horizontal="center" vertical="top"/>
    </xf>
    <xf numFmtId="0" fontId="15" fillId="0" borderId="0" xfId="0" applyFont="1" applyAlignment="1">
      <alignment horizontal="center" vertical="top"/>
    </xf>
    <xf numFmtId="0" fontId="2" fillId="0" borderId="0" xfId="0" applyFont="1" applyAlignment="1">
      <alignment horizontal="center" vertical="top"/>
    </xf>
    <xf numFmtId="0" fontId="10" fillId="0" borderId="0" xfId="0" applyFont="1" applyAlignment="1">
      <alignment horizontal="center" vertical="top"/>
    </xf>
    <xf numFmtId="0" fontId="7" fillId="0" borderId="0" xfId="0" applyFont="1" applyAlignment="1">
      <alignment horizontal="center" vertical="top"/>
    </xf>
    <xf numFmtId="39" fontId="15" fillId="0" borderId="0" xfId="2" applyNumberFormat="1" applyFont="1" applyAlignment="1">
      <alignment horizontal="center" vertical="top" wrapText="1"/>
    </xf>
    <xf numFmtId="0" fontId="2" fillId="0" borderId="0" xfId="0" applyFont="1" applyAlignment="1">
      <alignment horizontal="center" wrapText="1"/>
    </xf>
    <xf numFmtId="0" fontId="4" fillId="0" borderId="0" xfId="0" applyFont="1" applyAlignment="1">
      <alignment horizontal="center" wrapText="1"/>
    </xf>
    <xf numFmtId="4" fontId="15" fillId="0" borderId="0" xfId="1" applyNumberFormat="1" applyFont="1" applyAlignment="1">
      <alignment horizontal="center" wrapText="1"/>
    </xf>
    <xf numFmtId="165" fontId="7" fillId="0" borderId="0" xfId="1" applyFont="1" applyAlignment="1">
      <alignment horizontal="center" vertical="top" wrapText="1"/>
    </xf>
    <xf numFmtId="4" fontId="21" fillId="0" borderId="0" xfId="0" applyNumberFormat="1" applyFont="1" applyAlignment="1">
      <alignment horizontal="center" wrapText="1"/>
    </xf>
    <xf numFmtId="4" fontId="15" fillId="0" borderId="0" xfId="0" applyNumberFormat="1" applyFont="1" applyAlignment="1">
      <alignment horizontal="center" wrapText="1"/>
    </xf>
  </cellXfs>
  <cellStyles count="5">
    <cellStyle name="Comma" xfId="1" builtinId="3"/>
    <cellStyle name="Comma [0]" xfId="2" builtinId="6"/>
    <cellStyle name="Normal" xfId="0" builtinId="0"/>
    <cellStyle name="Normal_Perhitungan.TA.2002" xfId="3" xr:uid="{A2B46101-1020-4A01-8324-BE2BBA513721}"/>
    <cellStyle name="Normal_Triwulan IV.2002.OKE" xfId="4" xr:uid="{1CEA6F71-C017-4C2C-888B-12C77551E3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xdr:from>
      <xdr:col>6</xdr:col>
      <xdr:colOff>190500</xdr:colOff>
      <xdr:row>0</xdr:row>
      <xdr:rowOff>114300</xdr:rowOff>
    </xdr:from>
    <xdr:to>
      <xdr:col>10</xdr:col>
      <xdr:colOff>304800</xdr:colOff>
      <xdr:row>6</xdr:row>
      <xdr:rowOff>0</xdr:rowOff>
    </xdr:to>
    <xdr:sp macro="" textlink="">
      <xdr:nvSpPr>
        <xdr:cNvPr id="2" name="TextBox 1">
          <a:extLst>
            <a:ext uri="{FF2B5EF4-FFF2-40B4-BE49-F238E27FC236}">
              <a16:creationId xmlns:a16="http://schemas.microsoft.com/office/drawing/2014/main" id="{93C1F325-EA9A-4D37-BD49-A1B7A13EC287}"/>
            </a:ext>
          </a:extLst>
        </xdr:cNvPr>
        <xdr:cNvSpPr txBox="1"/>
      </xdr:nvSpPr>
      <xdr:spPr>
        <a:xfrm>
          <a:off x="9852660" y="114300"/>
          <a:ext cx="5410200" cy="94488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irgitta.apsari\Downloads\JUST%20PROLI%20Kabi%20TA%202025%20updt%20190526%20-%20kor%20on%20face.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1b32820cef3cdc8/Desktop/MAESTRO%20LKPD%20Badung%2020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tas"/>
      <sheetName val="Akun"/>
      <sheetName val="Anggaran"/>
      <sheetName val="Jurnal"/>
      <sheetName val="Prosedur Analitis"/>
      <sheetName val="Worksheet"/>
      <sheetName val="LRA"/>
      <sheetName val="LPSAL"/>
      <sheetName val="Neraca"/>
      <sheetName val="LO"/>
      <sheetName val="LAK"/>
      <sheetName val="LPE"/>
      <sheetName val="OM Awal"/>
      <sheetName val="TM Neraca Unaud"/>
      <sheetName val="TM LRA Unaud"/>
      <sheetName val="TM LO Unaud"/>
      <sheetName val="OM Revisi"/>
      <sheetName val="TM Neraca Aud"/>
      <sheetName val="TM LRA Aud"/>
      <sheetName val="TM LO Aud"/>
      <sheetName val="Matriks TP"/>
      <sheetName val="Form IX.3"/>
      <sheetName val="Form IX.4"/>
      <sheetName val="Evaluasi Perumusan Opini"/>
      <sheetName val="Evaluasi KHP"/>
      <sheetName val="Checklist Evaluasi KHP"/>
      <sheetName val="Checklist TP"/>
      <sheetName val="Checklist CALK"/>
      <sheetName val="helper"/>
    </sheetNames>
    <sheetDataSet>
      <sheetData sheetId="0" refreshError="1"/>
      <sheetData sheetId="1" refreshError="1"/>
      <sheetData sheetId="2">
        <row r="7">
          <cell r="C7" t="str">
            <v>PENDAPATAN DAERAH</v>
          </cell>
          <cell r="D7">
            <v>2081414946120</v>
          </cell>
        </row>
        <row r="8">
          <cell r="C8" t="str">
            <v>PENDAPATAN ASLI DAERAH (PAD)</v>
          </cell>
          <cell r="D8">
            <v>220092202270</v>
          </cell>
        </row>
        <row r="9">
          <cell r="C9" t="str">
            <v>Pajak Daerah</v>
          </cell>
          <cell r="D9">
            <v>42085649257</v>
          </cell>
        </row>
        <row r="10">
          <cell r="C10" t="str">
            <v>Pajak Kendaraan Bermotor (PKB)</v>
          </cell>
          <cell r="D10">
            <v>0</v>
          </cell>
        </row>
        <row r="11">
          <cell r="C11" t="str">
            <v>PKB-Mobil Penumpang-Sedan</v>
          </cell>
          <cell r="D11">
            <v>0</v>
          </cell>
        </row>
        <row r="12">
          <cell r="C12" t="str">
            <v>PKB-Mobil Penumpang-Jeep</v>
          </cell>
          <cell r="D12">
            <v>0</v>
          </cell>
        </row>
        <row r="13">
          <cell r="C13" t="str">
            <v>PKB-Mobil Penumpang-Minibus</v>
          </cell>
          <cell r="D13">
            <v>0</v>
          </cell>
        </row>
        <row r="14">
          <cell r="C14" t="str">
            <v>PKB-Mobil Bus-Microbus</v>
          </cell>
          <cell r="D14">
            <v>0</v>
          </cell>
        </row>
        <row r="15">
          <cell r="C15" t="str">
            <v>PKB-Mobil Bus-Bus</v>
          </cell>
          <cell r="D15">
            <v>0</v>
          </cell>
        </row>
        <row r="16">
          <cell r="C16" t="str">
            <v>PKB-Mobil Barang/Beban-Pick Up</v>
          </cell>
          <cell r="D16">
            <v>0</v>
          </cell>
        </row>
        <row r="17">
          <cell r="C17" t="str">
            <v>PKB-Mobil Barang/Beban-Light Truck</v>
          </cell>
          <cell r="D17">
            <v>0</v>
          </cell>
        </row>
        <row r="18">
          <cell r="C18" t="str">
            <v>PKB-Mobil Barang/Beban-Truck</v>
          </cell>
          <cell r="D18">
            <v>0</v>
          </cell>
        </row>
        <row r="19">
          <cell r="C19" t="str">
            <v>PKB-Mobil Barang/Beban-Blind Van</v>
          </cell>
          <cell r="D19">
            <v>0</v>
          </cell>
        </row>
        <row r="20">
          <cell r="C20" t="str">
            <v>PKB-Sepeda Motor-Sepeda Motor Roda Dua</v>
          </cell>
          <cell r="D20">
            <v>0</v>
          </cell>
        </row>
        <row r="21">
          <cell r="C21" t="str">
            <v>PKB-Sepeda Motor-Sepeda Motor Roda Tiga</v>
          </cell>
          <cell r="D21">
            <v>0</v>
          </cell>
        </row>
        <row r="22">
          <cell r="C22" t="str">
            <v>PKB-Kendaraan Bermotor yang Dioperasikan di Air</v>
          </cell>
          <cell r="D22">
            <v>0</v>
          </cell>
        </row>
        <row r="23">
          <cell r="C23" t="str">
            <v>PKB-Kendaraan Khusus Alat Berat/Alat Besar</v>
          </cell>
          <cell r="D23">
            <v>0</v>
          </cell>
        </row>
        <row r="24">
          <cell r="C24" t="str">
            <v>PKB-Mobil Roda Tiga</v>
          </cell>
          <cell r="D24">
            <v>0</v>
          </cell>
        </row>
        <row r="25">
          <cell r="C25" t="str">
            <v>PKB-Mobil Penumpang-Roda Tiga</v>
          </cell>
          <cell r="D25">
            <v>0</v>
          </cell>
        </row>
        <row r="26">
          <cell r="C26" t="str">
            <v>PKB-Mobil Barang-Roda Tiga</v>
          </cell>
          <cell r="D26">
            <v>0</v>
          </cell>
        </row>
        <row r="27">
          <cell r="C27" t="str">
            <v>PKB-Mobil Barang/Beban-Pick Up Box</v>
          </cell>
          <cell r="D27">
            <v>0</v>
          </cell>
        </row>
        <row r="28">
          <cell r="C28" t="str">
            <v>PKB-Sepeda Motor-Sepeda Motor Roda Tiga Penumpang</v>
          </cell>
          <cell r="D28">
            <v>0</v>
          </cell>
        </row>
        <row r="29">
          <cell r="C29" t="str">
            <v>Bea Balik Nama Kendaraan Bermotor (BBNKB)</v>
          </cell>
          <cell r="D29">
            <v>0</v>
          </cell>
        </row>
        <row r="30">
          <cell r="C30" t="str">
            <v>BBNKB-Mobil Penumpang-Sedan</v>
          </cell>
          <cell r="D30">
            <v>0</v>
          </cell>
        </row>
        <row r="31">
          <cell r="C31" t="str">
            <v>BBNKB-Mobil Penumpang-Jeep</v>
          </cell>
          <cell r="D31">
            <v>0</v>
          </cell>
        </row>
        <row r="32">
          <cell r="C32" t="str">
            <v>BBNKB-Mobil Penumpang-Minibus</v>
          </cell>
          <cell r="D32">
            <v>0</v>
          </cell>
        </row>
        <row r="33">
          <cell r="C33" t="str">
            <v>BBNKB-Mobil Bus-Microbus</v>
          </cell>
          <cell r="D33">
            <v>0</v>
          </cell>
        </row>
        <row r="34">
          <cell r="C34" t="str">
            <v>BBNKB-Mobil Bus-Bus</v>
          </cell>
          <cell r="D34">
            <v>0</v>
          </cell>
        </row>
        <row r="35">
          <cell r="C35" t="str">
            <v>BBNKB-Mobil Barang/Beban-Pick Up</v>
          </cell>
          <cell r="D35">
            <v>0</v>
          </cell>
        </row>
        <row r="36">
          <cell r="C36" t="str">
            <v>BBNKB-Mobil Barang/Beban-Light Truck</v>
          </cell>
          <cell r="D36">
            <v>0</v>
          </cell>
        </row>
        <row r="37">
          <cell r="C37" t="str">
            <v>BBNKB-Mobil Barang/Beban-Truck</v>
          </cell>
          <cell r="D37">
            <v>0</v>
          </cell>
        </row>
        <row r="38">
          <cell r="C38" t="str">
            <v>BBNKB-Mobil Barang/Beban-Blind Van</v>
          </cell>
          <cell r="D38">
            <v>0</v>
          </cell>
        </row>
        <row r="39">
          <cell r="C39" t="str">
            <v>BBNKB-Sepeda Motor-Sepeda Motor Roda Dua</v>
          </cell>
          <cell r="D39">
            <v>0</v>
          </cell>
        </row>
        <row r="40">
          <cell r="C40" t="str">
            <v>BBNKB-Sepeda Motor-Sepeda Motor Roda Tiga</v>
          </cell>
          <cell r="D40">
            <v>0</v>
          </cell>
        </row>
        <row r="41">
          <cell r="C41" t="str">
            <v>BBNKB-Kendaraan Bermotor yang Dioperasikan di Air</v>
          </cell>
          <cell r="D41">
            <v>0</v>
          </cell>
        </row>
        <row r="42">
          <cell r="C42" t="str">
            <v>BBNKB-Kendaraan Khusus Alat Berat</v>
          </cell>
          <cell r="D42">
            <v>0</v>
          </cell>
        </row>
        <row r="43">
          <cell r="C43" t="str">
            <v>BBNKB-Mobil Roda Tiga</v>
          </cell>
          <cell r="D43">
            <v>0</v>
          </cell>
        </row>
        <row r="44">
          <cell r="C44" t="str">
            <v>BBNKB-Mobil Penumpang-Roda Tiga</v>
          </cell>
          <cell r="D44">
            <v>0</v>
          </cell>
        </row>
        <row r="45">
          <cell r="C45" t="str">
            <v>BBNKB-Mobil Barang-Roda Tiga</v>
          </cell>
          <cell r="D45">
            <v>0</v>
          </cell>
        </row>
        <row r="46">
          <cell r="C46" t="str">
            <v>BBNKB-Mobil Barang/Beban-Pick Up Box</v>
          </cell>
          <cell r="D46">
            <v>0</v>
          </cell>
        </row>
        <row r="47">
          <cell r="C47" t="str">
            <v>BBNKB-Sepeda Motor-Sepeda Motor Roda Tiga Penumpang</v>
          </cell>
          <cell r="D47">
            <v>0</v>
          </cell>
        </row>
        <row r="48">
          <cell r="C48" t="str">
            <v>Pajak Bahan Bakar Kendaraan Bermotor (PBBKB)</v>
          </cell>
          <cell r="D48">
            <v>0</v>
          </cell>
        </row>
        <row r="49">
          <cell r="C49" t="str">
            <v>PBBKB-Bahan Bakar Bensin</v>
          </cell>
          <cell r="D49">
            <v>0</v>
          </cell>
        </row>
        <row r="50">
          <cell r="C50" t="str">
            <v>PBBKB-Bahan Bakar Solar</v>
          </cell>
          <cell r="D50">
            <v>0</v>
          </cell>
        </row>
        <row r="51">
          <cell r="C51" t="str">
            <v>PBBKB-Bahan Bakar Gas</v>
          </cell>
          <cell r="D51">
            <v>0</v>
          </cell>
        </row>
        <row r="52">
          <cell r="C52" t="str">
            <v>PBBKB-Bahan Bakar Lainnya</v>
          </cell>
          <cell r="D52">
            <v>0</v>
          </cell>
        </row>
        <row r="53">
          <cell r="C53" t="str">
            <v>Pajak Air Permukaan</v>
          </cell>
          <cell r="D53">
            <v>0</v>
          </cell>
        </row>
        <row r="54">
          <cell r="C54" t="str">
            <v>Pajak Air Permukaan</v>
          </cell>
          <cell r="D54">
            <v>0</v>
          </cell>
        </row>
        <row r="55">
          <cell r="C55" t="str">
            <v>Pajak Rokok</v>
          </cell>
          <cell r="D55">
            <v>0</v>
          </cell>
        </row>
        <row r="56">
          <cell r="C56" t="str">
            <v>Pajak Rokok</v>
          </cell>
          <cell r="D56">
            <v>0</v>
          </cell>
        </row>
        <row r="57">
          <cell r="C57" t="str">
            <v>Pajak Hotel</v>
          </cell>
          <cell r="D57">
            <v>0</v>
          </cell>
        </row>
        <row r="58">
          <cell r="C58" t="str">
            <v>Pajak Hotel</v>
          </cell>
          <cell r="D58">
            <v>0</v>
          </cell>
        </row>
        <row r="59">
          <cell r="C59" t="str">
            <v>Pajak Motel</v>
          </cell>
          <cell r="D59">
            <v>0</v>
          </cell>
        </row>
        <row r="60">
          <cell r="C60" t="str">
            <v>Pajak Losmen</v>
          </cell>
          <cell r="D60">
            <v>0</v>
          </cell>
        </row>
        <row r="61">
          <cell r="C61" t="str">
            <v>Pajak Gubuk Pariwisata</v>
          </cell>
          <cell r="D61">
            <v>0</v>
          </cell>
        </row>
        <row r="62">
          <cell r="C62" t="str">
            <v>Pajak Wisma Pariwisata</v>
          </cell>
          <cell r="D62">
            <v>0</v>
          </cell>
        </row>
        <row r="63">
          <cell r="C63" t="str">
            <v>Pajak Pesanggrahan</v>
          </cell>
          <cell r="D63">
            <v>0</v>
          </cell>
        </row>
        <row r="64">
          <cell r="C64" t="str">
            <v>Pajak Rumah Penginapan dan Sejenisnya</v>
          </cell>
          <cell r="D64">
            <v>0</v>
          </cell>
        </row>
        <row r="65">
          <cell r="C65" t="str">
            <v>Pajak Rumah Kos dengan Jumlah Kamar Lebih dari 10 (Sepuluh)</v>
          </cell>
          <cell r="D65">
            <v>0</v>
          </cell>
        </row>
        <row r="66">
          <cell r="C66" t="str">
            <v>Pajak Restoran</v>
          </cell>
          <cell r="D66">
            <v>0</v>
          </cell>
        </row>
        <row r="67">
          <cell r="C67" t="str">
            <v>Pajak Restoran dan Sejenisnya</v>
          </cell>
          <cell r="D67">
            <v>0</v>
          </cell>
        </row>
        <row r="68">
          <cell r="C68" t="str">
            <v>Pajak Rumah Makan dan Sejenisnya</v>
          </cell>
          <cell r="D68">
            <v>0</v>
          </cell>
        </row>
        <row r="69">
          <cell r="C69" t="str">
            <v>Pajak Kafetaria dan Sejenisnya</v>
          </cell>
          <cell r="D69">
            <v>0</v>
          </cell>
        </row>
        <row r="70">
          <cell r="C70" t="str">
            <v>Pajak Kantin dan Sejenisnya</v>
          </cell>
          <cell r="D70">
            <v>0</v>
          </cell>
        </row>
        <row r="71">
          <cell r="C71" t="str">
            <v>Pajak Warung dan Sejenisnya</v>
          </cell>
          <cell r="D71">
            <v>0</v>
          </cell>
        </row>
        <row r="72">
          <cell r="C72" t="str">
            <v>Pajak Bar dan Sejenisnya</v>
          </cell>
          <cell r="D72">
            <v>0</v>
          </cell>
        </row>
        <row r="73">
          <cell r="C73" t="str">
            <v>Pajak Jasa Boga/Katering dan Sejenisnya</v>
          </cell>
          <cell r="D73">
            <v>0</v>
          </cell>
        </row>
        <row r="74">
          <cell r="C74" t="str">
            <v>Pajak Hiburan</v>
          </cell>
          <cell r="D74">
            <v>2000000</v>
          </cell>
        </row>
        <row r="75">
          <cell r="C75" t="str">
            <v>Pajak Tontonan Film</v>
          </cell>
          <cell r="D75">
            <v>0</v>
          </cell>
        </row>
        <row r="76">
          <cell r="C76" t="str">
            <v>Pajak Pagelaran Kesenian/Musik/Tari/Busana</v>
          </cell>
          <cell r="D76">
            <v>0</v>
          </cell>
        </row>
        <row r="77">
          <cell r="C77" t="str">
            <v>Pajak Kontes Kecantikan, Binaraga, dan Sejenisnya</v>
          </cell>
          <cell r="D77">
            <v>0</v>
          </cell>
        </row>
        <row r="78">
          <cell r="C78" t="str">
            <v>Pajak Pameran</v>
          </cell>
          <cell r="D78">
            <v>0</v>
          </cell>
        </row>
        <row r="79">
          <cell r="C79" t="str">
            <v>Pajak Diskotik, Karaoke, Klub Malam, dan Sejenisnya</v>
          </cell>
          <cell r="D79">
            <v>0</v>
          </cell>
        </row>
        <row r="80">
          <cell r="C80" t="str">
            <v>Pajak Sirkus/Akrobat/Sulap</v>
          </cell>
          <cell r="D80">
            <v>0</v>
          </cell>
        </row>
        <row r="81">
          <cell r="C81" t="str">
            <v>Pajak Permainan Biliar dan Bowling</v>
          </cell>
          <cell r="D81">
            <v>0</v>
          </cell>
        </row>
        <row r="82">
          <cell r="C82" t="str">
            <v>Pajak Pacuan Kuda, Kendaraan Bermotor, dan Permainan Ketangkasan</v>
          </cell>
          <cell r="D82">
            <v>2000000</v>
          </cell>
        </row>
        <row r="83">
          <cell r="C83" t="str">
            <v>Pajak Panti Pijat, Refleksi, Mandi Uap/Spa dan Pusat Kebugaran (Fitness Center)</v>
          </cell>
          <cell r="D83">
            <v>0</v>
          </cell>
        </row>
        <row r="84">
          <cell r="C84" t="str">
            <v>Pajak Pertandingan Olahraga</v>
          </cell>
          <cell r="D84">
            <v>0</v>
          </cell>
        </row>
        <row r="85">
          <cell r="C85" t="str">
            <v>Pajak Reklame</v>
          </cell>
          <cell r="D85">
            <v>151000000</v>
          </cell>
        </row>
        <row r="86">
          <cell r="C86" t="str">
            <v>Pajak Reklame Papan/Billboard/Videotron/Megatron</v>
          </cell>
          <cell r="D86">
            <v>151000000</v>
          </cell>
        </row>
        <row r="87">
          <cell r="C87" t="str">
            <v>Pajak Reklame Kain</v>
          </cell>
          <cell r="D87">
            <v>0</v>
          </cell>
        </row>
        <row r="88">
          <cell r="C88" t="str">
            <v>Pajak Reklame Melekat/Stiker</v>
          </cell>
          <cell r="D88">
            <v>0</v>
          </cell>
        </row>
        <row r="89">
          <cell r="C89" t="str">
            <v>Pajak Reklame Selebaran</v>
          </cell>
          <cell r="D89">
            <v>0</v>
          </cell>
        </row>
        <row r="90">
          <cell r="C90" t="str">
            <v>Pajak Reklame Berjalan</v>
          </cell>
          <cell r="D90">
            <v>0</v>
          </cell>
        </row>
        <row r="91">
          <cell r="C91" t="str">
            <v>Pajak Reklame Udara</v>
          </cell>
          <cell r="D91">
            <v>0</v>
          </cell>
        </row>
        <row r="92">
          <cell r="C92" t="str">
            <v>Pajak Reklame Apung</v>
          </cell>
          <cell r="D92">
            <v>0</v>
          </cell>
        </row>
        <row r="93">
          <cell r="C93" t="str">
            <v>Pajak Reklame Suara</v>
          </cell>
          <cell r="D93">
            <v>0</v>
          </cell>
        </row>
        <row r="94">
          <cell r="C94" t="str">
            <v>Pajak Reklame Film/Slide</v>
          </cell>
          <cell r="D94">
            <v>0</v>
          </cell>
        </row>
        <row r="95">
          <cell r="C95" t="str">
            <v>Pajak Reklame Peragaan</v>
          </cell>
          <cell r="D95">
            <v>0</v>
          </cell>
        </row>
        <row r="96">
          <cell r="C96" t="str">
            <v>Pajak Penerangan Jalan</v>
          </cell>
          <cell r="D96">
            <v>0</v>
          </cell>
        </row>
        <row r="97">
          <cell r="C97" t="str">
            <v>Pajak Penerangan Jalan Dihasilkan Sendiri</v>
          </cell>
          <cell r="D97">
            <v>0</v>
          </cell>
        </row>
        <row r="98">
          <cell r="C98" t="str">
            <v>Pajak Penerangan Jalan Sumber Lain</v>
          </cell>
          <cell r="D98">
            <v>0</v>
          </cell>
        </row>
        <row r="99">
          <cell r="C99" t="str">
            <v>Pajak Parkir</v>
          </cell>
          <cell r="D99">
            <v>0</v>
          </cell>
        </row>
        <row r="100">
          <cell r="C100" t="str">
            <v>Pajak Parkir</v>
          </cell>
          <cell r="D100">
            <v>0</v>
          </cell>
        </row>
        <row r="101">
          <cell r="C101" t="str">
            <v>Pajak Air Tanah</v>
          </cell>
          <cell r="D101">
            <v>75000000</v>
          </cell>
        </row>
        <row r="102">
          <cell r="C102" t="str">
            <v>Pajak Air Tanah</v>
          </cell>
          <cell r="D102">
            <v>75000000</v>
          </cell>
        </row>
        <row r="103">
          <cell r="C103" t="str">
            <v>Pajak Sarang Burung Walet</v>
          </cell>
          <cell r="D103">
            <v>15000000</v>
          </cell>
        </row>
        <row r="104">
          <cell r="C104" t="str">
            <v>Pajak Sarang Burung Walet</v>
          </cell>
          <cell r="D104">
            <v>15000000</v>
          </cell>
        </row>
        <row r="105">
          <cell r="C105" t="str">
            <v>Pajak Mineral Bukan Logam dan Batuan</v>
          </cell>
          <cell r="D105">
            <v>1000000000</v>
          </cell>
        </row>
        <row r="106">
          <cell r="C106" t="str">
            <v>Pajak Asbes</v>
          </cell>
          <cell r="D106">
            <v>0</v>
          </cell>
        </row>
        <row r="107">
          <cell r="C107" t="str">
            <v>Pajak Batu Tulis</v>
          </cell>
          <cell r="D107">
            <v>0</v>
          </cell>
        </row>
        <row r="108">
          <cell r="C108" t="str">
            <v>Pajak Batu Setengah Permata</v>
          </cell>
          <cell r="D108">
            <v>0</v>
          </cell>
        </row>
        <row r="109">
          <cell r="C109" t="str">
            <v>Pajak Batu Kapur</v>
          </cell>
          <cell r="D109">
            <v>0</v>
          </cell>
        </row>
        <row r="110">
          <cell r="C110" t="str">
            <v>Pajak Batu Apung</v>
          </cell>
          <cell r="D110">
            <v>0</v>
          </cell>
        </row>
        <row r="111">
          <cell r="C111" t="str">
            <v>Pajak Batu Permata</v>
          </cell>
          <cell r="D111">
            <v>0</v>
          </cell>
        </row>
        <row r="112">
          <cell r="C112" t="str">
            <v>Pajak Bentonit</v>
          </cell>
          <cell r="D112">
            <v>0</v>
          </cell>
        </row>
        <row r="113">
          <cell r="C113" t="str">
            <v>Pajak Dolomit</v>
          </cell>
          <cell r="D113">
            <v>0</v>
          </cell>
        </row>
        <row r="114">
          <cell r="C114" t="str">
            <v>Pajak Felspar</v>
          </cell>
          <cell r="D114">
            <v>0</v>
          </cell>
        </row>
        <row r="115">
          <cell r="C115" t="str">
            <v>Pajak Garam Batu (Halite)</v>
          </cell>
          <cell r="D115">
            <v>0</v>
          </cell>
        </row>
        <row r="116">
          <cell r="C116" t="str">
            <v>Pajak Grafit</v>
          </cell>
          <cell r="D116">
            <v>0</v>
          </cell>
        </row>
        <row r="117">
          <cell r="C117" t="str">
            <v>Pajak Granit/Andesit</v>
          </cell>
          <cell r="D117">
            <v>0</v>
          </cell>
        </row>
        <row r="118">
          <cell r="C118" t="str">
            <v>Pajak Gips</v>
          </cell>
          <cell r="D118">
            <v>0</v>
          </cell>
        </row>
        <row r="119">
          <cell r="C119" t="str">
            <v>Pajak Kalsit</v>
          </cell>
          <cell r="D119">
            <v>0</v>
          </cell>
        </row>
        <row r="120">
          <cell r="C120" t="str">
            <v>Pajak Kaolin</v>
          </cell>
          <cell r="D120">
            <v>0</v>
          </cell>
        </row>
        <row r="121">
          <cell r="C121" t="str">
            <v>Pajak Leusit</v>
          </cell>
          <cell r="D121">
            <v>0</v>
          </cell>
        </row>
        <row r="122">
          <cell r="C122" t="str">
            <v>Pajak Magnesit</v>
          </cell>
          <cell r="D122">
            <v>0</v>
          </cell>
        </row>
        <row r="123">
          <cell r="C123" t="str">
            <v>Pajak Mika</v>
          </cell>
          <cell r="D123">
            <v>0</v>
          </cell>
        </row>
        <row r="124">
          <cell r="C124" t="str">
            <v>Pajak Marmer</v>
          </cell>
          <cell r="D124">
            <v>0</v>
          </cell>
        </row>
        <row r="125">
          <cell r="C125" t="str">
            <v>Pajak Nitrat</v>
          </cell>
          <cell r="D125">
            <v>0</v>
          </cell>
        </row>
        <row r="126">
          <cell r="C126" t="str">
            <v>Pajak Opsidien</v>
          </cell>
          <cell r="D126">
            <v>0</v>
          </cell>
        </row>
        <row r="127">
          <cell r="C127" t="str">
            <v>Pajak Oker</v>
          </cell>
          <cell r="D127">
            <v>0</v>
          </cell>
        </row>
        <row r="128">
          <cell r="C128" t="str">
            <v>Pajak Pasir dan Kerikil</v>
          </cell>
          <cell r="D128">
            <v>651019000</v>
          </cell>
        </row>
        <row r="129">
          <cell r="C129" t="str">
            <v>Pajak Pasir Kuarsa</v>
          </cell>
          <cell r="D129">
            <v>0</v>
          </cell>
        </row>
        <row r="130">
          <cell r="C130" t="str">
            <v>Pajak Perlit</v>
          </cell>
          <cell r="D130">
            <v>0</v>
          </cell>
        </row>
        <row r="131">
          <cell r="C131" t="str">
            <v>Pajak Phospat</v>
          </cell>
          <cell r="D131">
            <v>0</v>
          </cell>
        </row>
        <row r="132">
          <cell r="C132" t="str">
            <v>Pajak Talk</v>
          </cell>
          <cell r="D132">
            <v>0</v>
          </cell>
        </row>
        <row r="133">
          <cell r="C133" t="str">
            <v>Pajak Tanah Serap (Fullers Earth)</v>
          </cell>
          <cell r="D133">
            <v>0</v>
          </cell>
        </row>
        <row r="134">
          <cell r="C134" t="str">
            <v>Pajak Tanah Diatome</v>
          </cell>
          <cell r="D134">
            <v>0</v>
          </cell>
        </row>
        <row r="135">
          <cell r="C135" t="str">
            <v>Pajak Tanah Liat</v>
          </cell>
          <cell r="D135">
            <v>135048000</v>
          </cell>
        </row>
        <row r="136">
          <cell r="C136" t="str">
            <v>Pajak Tawas (Alum)</v>
          </cell>
          <cell r="D136">
            <v>0</v>
          </cell>
        </row>
        <row r="137">
          <cell r="C137" t="str">
            <v>Pajak Tras</v>
          </cell>
          <cell r="D137">
            <v>0</v>
          </cell>
        </row>
        <row r="138">
          <cell r="C138" t="str">
            <v>Pajak Yarosif</v>
          </cell>
          <cell r="D138">
            <v>0</v>
          </cell>
        </row>
        <row r="139">
          <cell r="C139" t="str">
            <v>Pajak Zeolit</v>
          </cell>
          <cell r="D139">
            <v>0</v>
          </cell>
        </row>
        <row r="140">
          <cell r="C140" t="str">
            <v>Pajak Basal</v>
          </cell>
          <cell r="D140">
            <v>0</v>
          </cell>
        </row>
        <row r="141">
          <cell r="C141" t="str">
            <v>Pajak Trakit</v>
          </cell>
          <cell r="D141">
            <v>0</v>
          </cell>
        </row>
        <row r="142">
          <cell r="C142" t="str">
            <v>Pajak Mineral bukan Logam dan Batuan Lainnya</v>
          </cell>
          <cell r="D142">
            <v>213933000</v>
          </cell>
        </row>
        <row r="143">
          <cell r="C143" t="str">
            <v>Pajak Belerang</v>
          </cell>
          <cell r="D143">
            <v>0</v>
          </cell>
        </row>
        <row r="144">
          <cell r="C144" t="str">
            <v>Pajak MBLB Ikutan Dalam Suatu Pertambangan Mineral</v>
          </cell>
          <cell r="D144">
            <v>0</v>
          </cell>
        </row>
        <row r="145">
          <cell r="C145" t="str">
            <v>Pajak Bumi dan Bangunan Perdesaan dan Perkotaan (PBBP2)</v>
          </cell>
          <cell r="D145">
            <v>5000000000</v>
          </cell>
        </row>
        <row r="146">
          <cell r="C146" t="str">
            <v>PBBP2</v>
          </cell>
          <cell r="D146">
            <v>5000000000</v>
          </cell>
        </row>
        <row r="147">
          <cell r="C147" t="str">
            <v>Bea Perolehan Hak Atas Tanah dan Bangunan (BPHTB)</v>
          </cell>
          <cell r="D147">
            <v>1500000000</v>
          </cell>
        </row>
        <row r="148">
          <cell r="C148" t="str">
            <v>BPHTB-Pemindahan Hak</v>
          </cell>
          <cell r="D148">
            <v>1000000000</v>
          </cell>
        </row>
        <row r="149">
          <cell r="C149" t="str">
            <v>BPHTB-Pemberian Hak Baru</v>
          </cell>
          <cell r="D149">
            <v>500000000</v>
          </cell>
        </row>
        <row r="150">
          <cell r="C150" t="str">
            <v>Pajak Alat Berat</v>
          </cell>
          <cell r="D150">
            <v>0</v>
          </cell>
        </row>
        <row r="151">
          <cell r="C151" t="str">
            <v>Pajak Alat Berat</v>
          </cell>
          <cell r="D151">
            <v>0</v>
          </cell>
        </row>
        <row r="152">
          <cell r="C152" t="str">
            <v>Opsen Pajak Mineral Bukan Logam dan Batuan (MBLB)</v>
          </cell>
          <cell r="D152">
            <v>0</v>
          </cell>
        </row>
        <row r="153">
          <cell r="C153" t="str">
            <v>Opsen Pajak Mineral Bukan Logam dan Batuan (MBLB)</v>
          </cell>
          <cell r="D153">
            <v>0</v>
          </cell>
        </row>
        <row r="154">
          <cell r="C154" t="str">
            <v>Pajak Barang dan Jasa Tertentu (PBJT)</v>
          </cell>
          <cell r="D154">
            <v>14155000000</v>
          </cell>
        </row>
        <row r="155">
          <cell r="C155" t="str">
            <v>PBJT-Makanan dan/atau Minuman</v>
          </cell>
          <cell r="D155">
            <v>250000000</v>
          </cell>
        </row>
        <row r="156">
          <cell r="C156" t="str">
            <v>PBJT-Tenaga Listrik</v>
          </cell>
          <cell r="D156">
            <v>13000000000</v>
          </cell>
        </row>
        <row r="157">
          <cell r="C157" t="str">
            <v>PBJT-Jasa Perhotelan</v>
          </cell>
          <cell r="D157">
            <v>750000000</v>
          </cell>
        </row>
        <row r="158">
          <cell r="C158" t="str">
            <v>PBJT-Jasa Parkir</v>
          </cell>
          <cell r="D158">
            <v>150000000</v>
          </cell>
        </row>
        <row r="159">
          <cell r="C159" t="str">
            <v>PBJT-Jasa Kesenian dan Hiburan</v>
          </cell>
          <cell r="D159">
            <v>5000000</v>
          </cell>
        </row>
        <row r="160">
          <cell r="C160" t="str">
            <v>Opsen Pajak Kendaraan Bermotor (PKB)</v>
          </cell>
          <cell r="D160">
            <v>11416884391</v>
          </cell>
        </row>
        <row r="161">
          <cell r="C161" t="str">
            <v>Opsen PKB</v>
          </cell>
          <cell r="D161">
            <v>11416884391</v>
          </cell>
        </row>
        <row r="162">
          <cell r="C162" t="str">
            <v>Opsen Bea Balik Nama Kendaraan Bermotor (BBNKB)</v>
          </cell>
          <cell r="D162">
            <v>8770764866</v>
          </cell>
        </row>
        <row r="163">
          <cell r="C163" t="str">
            <v>Opsen BBNKB</v>
          </cell>
          <cell r="D163">
            <v>8770764866</v>
          </cell>
        </row>
        <row r="164">
          <cell r="C164" t="str">
            <v>Retribusi Daerah</v>
          </cell>
          <cell r="D164">
            <v>155006553013</v>
          </cell>
        </row>
        <row r="165">
          <cell r="C165" t="str">
            <v>Retribusi Jasa Umum</v>
          </cell>
          <cell r="D165">
            <v>141599320907</v>
          </cell>
        </row>
        <row r="166">
          <cell r="C166" t="str">
            <v>Retribusi Pelayanan Kesehatan</v>
          </cell>
          <cell r="D166">
            <v>139583920907</v>
          </cell>
        </row>
        <row r="167">
          <cell r="C167" t="str">
            <v>Retribusi Pelayanan Persampahan/Kebersihan</v>
          </cell>
          <cell r="D167">
            <v>250000000</v>
          </cell>
        </row>
        <row r="168">
          <cell r="C168" t="str">
            <v>Retribusi Pelayanan Pemakaman dan Pengabuan Mayat</v>
          </cell>
          <cell r="D168">
            <v>0</v>
          </cell>
        </row>
        <row r="169">
          <cell r="C169" t="str">
            <v>Retribusi Pelayanan Parkir di Tepi Jalan Umum</v>
          </cell>
          <cell r="D169">
            <v>118000000</v>
          </cell>
        </row>
        <row r="170">
          <cell r="C170" t="str">
            <v>Retribusi Pelayanan Pasar</v>
          </cell>
          <cell r="D170">
            <v>1647400000</v>
          </cell>
        </row>
        <row r="171">
          <cell r="C171" t="str">
            <v>Retribusi Pengujian Kendaraan Bermotor</v>
          </cell>
          <cell r="D171">
            <v>0</v>
          </cell>
        </row>
        <row r="172">
          <cell r="C172" t="str">
            <v>Retribusi Pemeriksaan Alat Pemadam Kebakaran</v>
          </cell>
          <cell r="D172">
            <v>0</v>
          </cell>
        </row>
        <row r="173">
          <cell r="C173" t="str">
            <v>Retribusi Penggantian Biaya Cetak Peta</v>
          </cell>
          <cell r="D173">
            <v>0</v>
          </cell>
        </row>
        <row r="174">
          <cell r="C174" t="str">
            <v>Retribusi Penyediaan dan/atau Penyedotan Kakus</v>
          </cell>
          <cell r="D174">
            <v>0</v>
          </cell>
        </row>
        <row r="175">
          <cell r="C175" t="str">
            <v>Retribusi Pengolahan Limbah Cair</v>
          </cell>
          <cell r="D175">
            <v>0</v>
          </cell>
        </row>
        <row r="176">
          <cell r="C176" t="str">
            <v>Retribusi Pelayanan Tera/Tera Ulang</v>
          </cell>
          <cell r="D176">
            <v>0</v>
          </cell>
        </row>
        <row r="177">
          <cell r="C177" t="str">
            <v>Retribusi Pelayanan Pendidikan</v>
          </cell>
          <cell r="D177">
            <v>0</v>
          </cell>
        </row>
        <row r="178">
          <cell r="C178" t="str">
            <v>Retribusi Pengawasan dan Pengendalian Menara Telekomunikasi</v>
          </cell>
          <cell r="D178">
            <v>0</v>
          </cell>
        </row>
        <row r="179">
          <cell r="C179" t="str">
            <v>Retribusi Pelayanan Kebersihan</v>
          </cell>
          <cell r="D179">
            <v>0</v>
          </cell>
        </row>
        <row r="180">
          <cell r="C180" t="str">
            <v>Retribusi Pengendalian Lalu Lintas</v>
          </cell>
          <cell r="D180">
            <v>0</v>
          </cell>
        </row>
        <row r="181">
          <cell r="C181" t="str">
            <v>Retribusi Jasa Usaha</v>
          </cell>
          <cell r="D181">
            <v>12902232106</v>
          </cell>
        </row>
        <row r="182">
          <cell r="C182" t="str">
            <v>Retribusi Pemakaian Kekayaan Daerah</v>
          </cell>
          <cell r="D182">
            <v>11404917106</v>
          </cell>
        </row>
        <row r="183">
          <cell r="C183" t="str">
            <v>Retribusi Pasar Grosir dan/atau Pertokoan</v>
          </cell>
          <cell r="D183">
            <v>0</v>
          </cell>
        </row>
        <row r="184">
          <cell r="C184" t="str">
            <v>Retribusi Tempat Pelelangan</v>
          </cell>
          <cell r="D184">
            <v>240000</v>
          </cell>
        </row>
        <row r="185">
          <cell r="C185" t="str">
            <v>Retribusi Terminal</v>
          </cell>
          <cell r="D185">
            <v>0</v>
          </cell>
        </row>
        <row r="186">
          <cell r="C186" t="str">
            <v>Retribusi Tempat Khusus Parkir</v>
          </cell>
          <cell r="D186">
            <v>130075000</v>
          </cell>
        </row>
        <row r="187">
          <cell r="C187" t="str">
            <v>Retribusi Tempat Penginapan/Pesanggrahan/Vila</v>
          </cell>
          <cell r="D187">
            <v>0</v>
          </cell>
        </row>
        <row r="188">
          <cell r="C188" t="str">
            <v>Retribusi Rumah Potong Hewan</v>
          </cell>
          <cell r="D188">
            <v>0</v>
          </cell>
        </row>
        <row r="189">
          <cell r="C189" t="str">
            <v>Retribusi Pelayanan Kepelabuhanan</v>
          </cell>
          <cell r="D189">
            <v>0</v>
          </cell>
        </row>
        <row r="190">
          <cell r="C190" t="str">
            <v>Retribusi Tempat Rekreasi dan Olahraga</v>
          </cell>
          <cell r="D190">
            <v>137000000</v>
          </cell>
        </row>
        <row r="191">
          <cell r="C191" t="str">
            <v>Retribusi Penyeberangan di Air</v>
          </cell>
          <cell r="D191">
            <v>0</v>
          </cell>
        </row>
        <row r="192">
          <cell r="C192" t="str">
            <v>Retribusi Penjualan Produksi Usaha Daerah</v>
          </cell>
          <cell r="D192">
            <v>600000000</v>
          </cell>
        </row>
        <row r="193">
          <cell r="C193" t="str">
            <v>Retribusi Penyediaan Tempat Kegiatan Usaha berupa Pasar, Grosir, Pertokoan, dan Tempat Kegiatan Usaha Lainnya</v>
          </cell>
          <cell r="D193">
            <v>0</v>
          </cell>
        </row>
        <row r="194">
          <cell r="C194" t="str">
            <v>Retribusi Penyediaan Tempat Pelelangan Ikan, Ternak, Hasil Bumi, dan Hasil Hutan Termasuk Fasilitas Lainnya dalam Lingkungan Tempat Pelelangan</v>
          </cell>
          <cell r="D194">
            <v>0</v>
          </cell>
        </row>
        <row r="195">
          <cell r="C195" t="str">
            <v>Retribusi Penyediaan Tempat Khusus Parkir Diluar Badan Jalan</v>
          </cell>
          <cell r="D195">
            <v>0</v>
          </cell>
        </row>
        <row r="196">
          <cell r="C196" t="str">
            <v>Retribusi Pelayanan Rumah Pemotongan Hewan Ternak</v>
          </cell>
          <cell r="D196">
            <v>110000000</v>
          </cell>
        </row>
        <row r="197">
          <cell r="C197" t="str">
            <v>Retribusi Pelayanan Jasa Kepelabuhanan</v>
          </cell>
          <cell r="D197">
            <v>20000000</v>
          </cell>
        </row>
        <row r="198">
          <cell r="C198" t="str">
            <v>Retribusi Pelayanan Tempat Rekreasi, Pariwisata, dan Olahraga</v>
          </cell>
          <cell r="D198">
            <v>0</v>
          </cell>
        </row>
        <row r="199">
          <cell r="C199" t="str">
            <v>Retribusi Pelayanan Penyeberangan Orang atau Barang dengan Menggunakan Kendaraan di Air</v>
          </cell>
          <cell r="D199">
            <v>0</v>
          </cell>
        </row>
        <row r="200">
          <cell r="C200" t="str">
            <v>Retribusi Penjualan Hasil Produksi Usaha Pemerintah Daerah</v>
          </cell>
          <cell r="D200">
            <v>0</v>
          </cell>
        </row>
        <row r="201">
          <cell r="C201" t="str">
            <v>Retribusi Pemanfaatan Aset Daerah</v>
          </cell>
          <cell r="D201">
            <v>500000000</v>
          </cell>
        </row>
        <row r="202">
          <cell r="C202" t="str">
            <v>Retribusi Perizinan Tertentu</v>
          </cell>
          <cell r="D202">
            <v>505000000</v>
          </cell>
        </row>
        <row r="203">
          <cell r="C203" t="str">
            <v>Retribusi Izin Mendirikan Bangunan</v>
          </cell>
          <cell r="D203">
            <v>0</v>
          </cell>
        </row>
        <row r="204">
          <cell r="C204" t="str">
            <v>Retribusi Izin Tempat Penjualan Minuman Beralkohol</v>
          </cell>
          <cell r="D204">
            <v>0</v>
          </cell>
        </row>
        <row r="205">
          <cell r="C205" t="str">
            <v>Retribusi Izin Trayek untuk Menyediakan Pelayanan Angkutan Umum</v>
          </cell>
          <cell r="D205">
            <v>0</v>
          </cell>
        </row>
        <row r="206">
          <cell r="C206" t="str">
            <v>Retribusi Izin Usaha Perikanan</v>
          </cell>
          <cell r="D206">
            <v>0</v>
          </cell>
        </row>
        <row r="207">
          <cell r="C207" t="str">
            <v>Retribusi Pengendalian Lalu Lintas</v>
          </cell>
          <cell r="D207">
            <v>0</v>
          </cell>
        </row>
        <row r="208">
          <cell r="C208" t="str">
            <v>Retribusi Perpanjangan Izin Mempekerjakan Tenaga Kerja Asing (IMTA)</v>
          </cell>
          <cell r="D208">
            <v>0</v>
          </cell>
        </row>
        <row r="209">
          <cell r="C209" t="str">
            <v>Retribusi Persetujuan Bangunan Gedung</v>
          </cell>
          <cell r="D209">
            <v>500000000</v>
          </cell>
        </row>
        <row r="210">
          <cell r="C210" t="str">
            <v>Retribusi Penggunaan Tenaga Kerja Asing (TKA)</v>
          </cell>
          <cell r="D210">
            <v>5000000</v>
          </cell>
        </row>
        <row r="211">
          <cell r="C211" t="str">
            <v>Retribusi Pertambangan Rakyat</v>
          </cell>
          <cell r="D211">
            <v>0</v>
          </cell>
        </row>
        <row r="212">
          <cell r="C212" t="str">
            <v>Hasil Pengelolaan Kekayaan Daerah yang Dipisahkan</v>
          </cell>
          <cell r="D212">
            <v>7510000000</v>
          </cell>
        </row>
        <row r="213">
          <cell r="C213" t="str">
            <v>Bagian Laba yang Dibagikan kepada Pemerintah Daerah (Dividen) atas Penyertaan Modal pada BUMN</v>
          </cell>
          <cell r="D213">
            <v>50000000</v>
          </cell>
        </row>
        <row r="214">
          <cell r="C214" t="str">
            <v>Bagian Laba yang Dibagikan kepada Pemerintah Daerah (Dividen) atas Penyertaan Modal pada BUMN</v>
          </cell>
          <cell r="D214">
            <v>50000000</v>
          </cell>
        </row>
        <row r="215">
          <cell r="C215" t="str">
            <v>Bagian Laba yang Dibagikan kepada Pemerintah Daerah (Dividen) atas Penyertaan Modal pada BUMD</v>
          </cell>
          <cell r="D215">
            <v>7460000000</v>
          </cell>
        </row>
        <row r="216">
          <cell r="C216" t="str">
            <v>Bagian Laba yang Dibagikan kepada Pemerintah Daerah (Dividen) atas Penyertaan Modal pada BUMD (Lembaga Keuangan)</v>
          </cell>
          <cell r="D216">
            <v>7460000000</v>
          </cell>
        </row>
        <row r="217">
          <cell r="C217" t="str">
            <v>Bagian Laba yang Dibagikan kepada Pemerintah Daerah (Dividen) atas Penyertaan Modal pada BUMD (Aneka Usaha)</v>
          </cell>
          <cell r="D217">
            <v>0</v>
          </cell>
        </row>
        <row r="218">
          <cell r="C218" t="str">
            <v>Bagian Laba yang Dibagikan kepada Pemerintah Daerah (Dividen) atas Penyertaan Modal pada BUMD (Bidang Air Minum)</v>
          </cell>
          <cell r="D218">
            <v>0</v>
          </cell>
        </row>
        <row r="219">
          <cell r="C219" t="str">
            <v>Bagian Laba yang Dibagikan kepada Pemerintah Daerah (Dividen) atas Penyertaan Modal pada BUMD (Bidang Limbah)</v>
          </cell>
          <cell r="D219">
            <v>0</v>
          </cell>
        </row>
        <row r="220">
          <cell r="C220" t="str">
            <v>Bagian Laba yang Dibagikan kepada Pemerintah Daerah (Dividen) atas Penyertaan Modal pada BUMD (Bidang Sanitasi)</v>
          </cell>
          <cell r="D220">
            <v>0</v>
          </cell>
        </row>
        <row r="221">
          <cell r="C221" t="str">
            <v>Bagian Laba yang dibagikan kepada Pemerintah Daerah (Dividen) atas Penyertaan Modal pada Perusahaan Milik Swasta</v>
          </cell>
          <cell r="D221">
            <v>0</v>
          </cell>
        </row>
        <row r="222">
          <cell r="C222" t="str">
            <v>Bagian Laba yang Dibagikan kepada Pemerintah Daerah (Dividen) atas Penyertaan Modal pada Perusahaan Milik Swasta</v>
          </cell>
          <cell r="D222">
            <v>0</v>
          </cell>
        </row>
        <row r="223">
          <cell r="C223" t="str">
            <v>Lain-lain PAD yang Sah</v>
          </cell>
          <cell r="D223">
            <v>15490000000</v>
          </cell>
        </row>
        <row r="224">
          <cell r="C224" t="str">
            <v>Hasil Penjualan BMD yang Tidak Dipisahkan</v>
          </cell>
          <cell r="D224">
            <v>495000000</v>
          </cell>
        </row>
        <row r="225">
          <cell r="C225" t="str">
            <v>Hasil Penjualan Tanah</v>
          </cell>
          <cell r="D225">
            <v>0</v>
          </cell>
        </row>
        <row r="226">
          <cell r="C226" t="str">
            <v>Hasil Penjualan Peralatan dan Mesin</v>
          </cell>
          <cell r="D226">
            <v>400000000</v>
          </cell>
        </row>
        <row r="227">
          <cell r="C227" t="str">
            <v>Hasil Penjualan Gedung dan Bangunan</v>
          </cell>
          <cell r="D227">
            <v>95000000</v>
          </cell>
        </row>
        <row r="228">
          <cell r="C228" t="str">
            <v>Hasil Penjualan Jalan, Jaringan, dan Irigasi</v>
          </cell>
          <cell r="D228">
            <v>0</v>
          </cell>
        </row>
        <row r="229">
          <cell r="C229" t="str">
            <v>Hasil Penjualan Aset Tetap Lainnya</v>
          </cell>
          <cell r="D229">
            <v>0</v>
          </cell>
        </row>
        <row r="230">
          <cell r="C230" t="str">
            <v>Hasil Penjualan Aset Lainnya</v>
          </cell>
          <cell r="D230">
            <v>0</v>
          </cell>
        </row>
        <row r="231">
          <cell r="C231" t="str">
            <v>Hasil Penjualan Aset Tidak Berwujud</v>
          </cell>
          <cell r="D231">
            <v>0</v>
          </cell>
        </row>
        <row r="232">
          <cell r="C232" t="str">
            <v>Hasil Penjualan Aset Lain-Lain</v>
          </cell>
          <cell r="D232">
            <v>0</v>
          </cell>
        </row>
        <row r="233">
          <cell r="C233" t="str">
            <v>Hasil Selisih Lebih Tukar Menukar BMD yang Tidak Dipisahkan</v>
          </cell>
          <cell r="D233">
            <v>0</v>
          </cell>
        </row>
        <row r="234">
          <cell r="C234" t="str">
            <v>Hasil Selisih Lebih Tukar Menukar Tanah</v>
          </cell>
          <cell r="D234">
            <v>0</v>
          </cell>
        </row>
        <row r="235">
          <cell r="C235" t="str">
            <v>Hasil Selisih Lebih Tukar Menukar Peralatan dan Mesin</v>
          </cell>
          <cell r="D235">
            <v>0</v>
          </cell>
        </row>
        <row r="236">
          <cell r="C236" t="str">
            <v>Hasil Selisih Lebih Tukar Menukar Gedung dan Bangunan</v>
          </cell>
          <cell r="D236">
            <v>0</v>
          </cell>
        </row>
        <row r="237">
          <cell r="C237" t="str">
            <v>Hasil Selisih Lebih Tukar Menukar Jalan, Jaringan, dan Irigasi</v>
          </cell>
          <cell r="D237">
            <v>0</v>
          </cell>
        </row>
        <row r="238">
          <cell r="C238" t="str">
            <v>Hasil Selisih Lebih Tukar Menukar Aset Tetap Lainnya</v>
          </cell>
          <cell r="D238">
            <v>0</v>
          </cell>
        </row>
        <row r="239">
          <cell r="C239" t="str">
            <v>Hasil Selisih Lebih Tukar Menukar Aset Lainnya</v>
          </cell>
          <cell r="D239">
            <v>0</v>
          </cell>
        </row>
        <row r="240">
          <cell r="C240" t="str">
            <v>Hasil Selisih Lebih Tukar Menukar Aset Tidak Berwujud</v>
          </cell>
          <cell r="D240">
            <v>0</v>
          </cell>
        </row>
        <row r="241">
          <cell r="C241" t="str">
            <v>Hasil Selisih Lebih Tukar Menukar Aset Lain-Lain</v>
          </cell>
          <cell r="D241">
            <v>0</v>
          </cell>
        </row>
        <row r="242">
          <cell r="C242" t="str">
            <v>Hasil Pemanfaatan BMD yang Tidak Dipisahkan</v>
          </cell>
          <cell r="D242">
            <v>0</v>
          </cell>
        </row>
        <row r="243">
          <cell r="C243" t="str">
            <v>Hasil Sewa BMD</v>
          </cell>
          <cell r="D243">
            <v>0</v>
          </cell>
        </row>
        <row r="244">
          <cell r="C244" t="str">
            <v>Hasil Kerja Sama Pemanfaatan BMD</v>
          </cell>
          <cell r="D244">
            <v>0</v>
          </cell>
        </row>
        <row r="245">
          <cell r="C245" t="str">
            <v>Hasil dari Bangun Guna Serah</v>
          </cell>
          <cell r="D245">
            <v>0</v>
          </cell>
        </row>
        <row r="246">
          <cell r="C246" t="str">
            <v>Hasil dari Bangun Serah Guna</v>
          </cell>
          <cell r="D246">
            <v>0</v>
          </cell>
        </row>
        <row r="247">
          <cell r="C247" t="str">
            <v>Hasil dari Kerja Sama Penyediaan Infrastruktur</v>
          </cell>
          <cell r="D247">
            <v>0</v>
          </cell>
        </row>
        <row r="248">
          <cell r="C248" t="str">
            <v>Hasil Kerja Sama Daerah</v>
          </cell>
          <cell r="D248">
            <v>0</v>
          </cell>
        </row>
        <row r="249">
          <cell r="C249" t="str">
            <v>Hasil Kerja Sama Daerah</v>
          </cell>
          <cell r="D249">
            <v>0</v>
          </cell>
        </row>
        <row r="250">
          <cell r="C250" t="str">
            <v>Jasa Giro</v>
          </cell>
          <cell r="D250">
            <v>3000000000</v>
          </cell>
        </row>
        <row r="251">
          <cell r="C251" t="str">
            <v>Jasa Giro pada Kas Daerah</v>
          </cell>
          <cell r="D251">
            <v>3000000000</v>
          </cell>
        </row>
        <row r="252">
          <cell r="C252" t="str">
            <v>Jasa Giro pada Kas di Bendahara</v>
          </cell>
          <cell r="D252">
            <v>0</v>
          </cell>
        </row>
        <row r="253">
          <cell r="C253" t="str">
            <v>Jasa Giro pada Rekening Dana Cadangan</v>
          </cell>
          <cell r="D253">
            <v>0</v>
          </cell>
        </row>
        <row r="254">
          <cell r="C254" t="str">
            <v>Jasa Giro pada Rekening Dana BOS</v>
          </cell>
          <cell r="D254">
            <v>0</v>
          </cell>
        </row>
        <row r="255">
          <cell r="C255" t="str">
            <v>Jasa Giro Dana Kapitasi pada FKTP</v>
          </cell>
          <cell r="D255">
            <v>0</v>
          </cell>
        </row>
        <row r="256">
          <cell r="C256" t="str">
            <v>Pendapatan Jasa Giro pada Rekening Dana BOSP</v>
          </cell>
          <cell r="D256">
            <v>0</v>
          </cell>
        </row>
        <row r="257">
          <cell r="C257" t="str">
            <v>Pendapatan Jasa Giro pada Rekening Dana BOK Puskesmas</v>
          </cell>
          <cell r="D257">
            <v>0</v>
          </cell>
        </row>
        <row r="258">
          <cell r="C258" t="str">
            <v>Jasa Giro pada Rekening Kas Otonomi Khusus</v>
          </cell>
          <cell r="D258">
            <v>0</v>
          </cell>
        </row>
        <row r="259">
          <cell r="C259" t="str">
            <v>Jasa Giro pada Rekening Kas Dana Abadi Daerah</v>
          </cell>
          <cell r="D259">
            <v>0</v>
          </cell>
        </row>
        <row r="260">
          <cell r="C260" t="str">
            <v>Hasil Pengelolaan Dana Bergulir</v>
          </cell>
          <cell r="D260">
            <v>120000000</v>
          </cell>
        </row>
        <row r="261">
          <cell r="C261" t="str">
            <v>Hasil Pengelolaan Dana Bergulir</v>
          </cell>
          <cell r="D261">
            <v>120000000</v>
          </cell>
        </row>
        <row r="262">
          <cell r="C262" t="str">
            <v>Pendapatan Bunga</v>
          </cell>
          <cell r="D262">
            <v>0</v>
          </cell>
        </row>
        <row r="263">
          <cell r="C263" t="str">
            <v>Pendapatan Bunga atas Penempatan Uang Pemerintah Daerah</v>
          </cell>
          <cell r="D263">
            <v>0</v>
          </cell>
        </row>
        <row r="264">
          <cell r="C264" t="str">
            <v>Penerimaan atas Tuntutan Ganti Kerugian Keuangan Daerah</v>
          </cell>
          <cell r="D264">
            <v>4600000000</v>
          </cell>
        </row>
        <row r="265">
          <cell r="C265" t="str">
            <v>Tuntutan Ganti Kerugian Daerah terhadap Bendahara</v>
          </cell>
          <cell r="D265">
            <v>0</v>
          </cell>
        </row>
        <row r="266">
          <cell r="C266" t="str">
            <v>Tuntutan Ganti Kerugian Daerah terhadap Pegawai Negeri Bukan Bendahara atau Pejabat Lain</v>
          </cell>
          <cell r="D266">
            <v>4600000000</v>
          </cell>
        </row>
        <row r="267">
          <cell r="C267" t="str">
            <v>Penerimaan Komisi, Potongan, atau Bentuk Lain</v>
          </cell>
          <cell r="D267">
            <v>2650000000</v>
          </cell>
        </row>
        <row r="268">
          <cell r="C268" t="str">
            <v>Penerimaan Komisi, Potongan, atau Bentuk Lain</v>
          </cell>
          <cell r="D268">
            <v>2650000000</v>
          </cell>
        </row>
        <row r="269">
          <cell r="C269" t="str">
            <v>Penerimaan Keuntungan dari Selisih Nilai Tukar Rupiah terhadap Mata Uang Asing</v>
          </cell>
          <cell r="D269">
            <v>0</v>
          </cell>
        </row>
        <row r="270">
          <cell r="C270" t="str">
            <v>Penerimaan Keuntungan dari Selisih Nilai Tukar Rupiah terhadap Mata Uang Asing</v>
          </cell>
          <cell r="D270">
            <v>0</v>
          </cell>
        </row>
        <row r="271">
          <cell r="C271" t="str">
            <v>Pendapatan Denda atas Keterlambatan Pelaksanaan Pekerjaan</v>
          </cell>
          <cell r="D271">
            <v>4625000000</v>
          </cell>
        </row>
        <row r="272">
          <cell r="C272" t="str">
            <v>Pendapatan Denda atas Keterlambatan Pelaksanaan Pekerjaan</v>
          </cell>
          <cell r="D272">
            <v>4625000000</v>
          </cell>
        </row>
        <row r="273">
          <cell r="C273" t="str">
            <v>Pendapatan Denda Pajak Daerah</v>
          </cell>
          <cell r="D273">
            <v>0</v>
          </cell>
        </row>
        <row r="274">
          <cell r="C274" t="str">
            <v>Pendapatan Denda Pajak Kendaraan Bermotor (PKB)</v>
          </cell>
          <cell r="D274">
            <v>0</v>
          </cell>
        </row>
        <row r="275">
          <cell r="C275" t="str">
            <v>Pendapatan Denda Bea Balik Nama Kendaraan Bermotor (BBNKB)</v>
          </cell>
          <cell r="D275">
            <v>0</v>
          </cell>
        </row>
        <row r="276">
          <cell r="C276" t="str">
            <v>Pendapatan Denda Pajak Bahan Bakar Kendaraan Bermotor (PBBKB)</v>
          </cell>
          <cell r="D276">
            <v>0</v>
          </cell>
        </row>
        <row r="277">
          <cell r="C277" t="str">
            <v>Pendapatan Denda Pajak Air Permukaan</v>
          </cell>
          <cell r="D277">
            <v>0</v>
          </cell>
        </row>
        <row r="278">
          <cell r="C278" t="str">
            <v>Pendapatan Denda Pajak Rokok</v>
          </cell>
          <cell r="D278">
            <v>0</v>
          </cell>
        </row>
        <row r="279">
          <cell r="C279" t="str">
            <v>Pendapatan Denda Pajak Hotel</v>
          </cell>
          <cell r="D279">
            <v>0</v>
          </cell>
        </row>
        <row r="280">
          <cell r="C280" t="str">
            <v>Pendapatan Denda Pajak Restoran</v>
          </cell>
          <cell r="D280">
            <v>0</v>
          </cell>
        </row>
        <row r="281">
          <cell r="C281" t="str">
            <v>Pendapatan Denda Pajak Hiburan</v>
          </cell>
          <cell r="D281">
            <v>0</v>
          </cell>
        </row>
        <row r="282">
          <cell r="C282" t="str">
            <v>Pendapatan Denda Pajak Reklame</v>
          </cell>
          <cell r="D282">
            <v>0</v>
          </cell>
        </row>
        <row r="283">
          <cell r="C283" t="str">
            <v>Pendapatan Denda Pajak Penerangan Jalan</v>
          </cell>
          <cell r="D283">
            <v>0</v>
          </cell>
        </row>
        <row r="284">
          <cell r="C284" t="str">
            <v>Pendapatan Denda Pajak Parkir</v>
          </cell>
          <cell r="D284">
            <v>0</v>
          </cell>
        </row>
        <row r="285">
          <cell r="C285" t="str">
            <v>Pendapatan Denda Pajak Air Tanah</v>
          </cell>
          <cell r="D285">
            <v>0</v>
          </cell>
        </row>
        <row r="286">
          <cell r="C286" t="str">
            <v>Pendapatan Denda Pajak Sarang Burung Walet</v>
          </cell>
          <cell r="D286">
            <v>0</v>
          </cell>
        </row>
        <row r="287">
          <cell r="C287" t="str">
            <v>Pendapatan Denda Pajak Mineral Bukan Logam dan Batuan</v>
          </cell>
          <cell r="D287">
            <v>0</v>
          </cell>
        </row>
        <row r="288">
          <cell r="C288" t="str">
            <v>Pendapatan Denda Pajak Bumi dan Bangunan Perdesaan dan Perkotaan (PBBP2)</v>
          </cell>
          <cell r="D288">
            <v>0</v>
          </cell>
        </row>
        <row r="289">
          <cell r="C289" t="str">
            <v>Pendapatan Denda Bea Perolehan Hak atas Tanah dan Bangunan (BPHTB)</v>
          </cell>
          <cell r="D289">
            <v>0</v>
          </cell>
        </row>
        <row r="290">
          <cell r="C290" t="str">
            <v>Pendapatan Denda Pajak Alat Berat</v>
          </cell>
          <cell r="D290">
            <v>0</v>
          </cell>
        </row>
        <row r="291">
          <cell r="C291" t="str">
            <v>Pendapatan Denda Opsen Pajak Mineral Bukan Logam dan Batuan (MBLB)</v>
          </cell>
          <cell r="D291">
            <v>0</v>
          </cell>
        </row>
        <row r="292">
          <cell r="C292" t="str">
            <v>Pendapatan Denda Pajak Barang dan Jasa Tertentu (PBJT)</v>
          </cell>
          <cell r="D292">
            <v>0</v>
          </cell>
        </row>
        <row r="293">
          <cell r="C293" t="str">
            <v>Pendapatan Denda Opsen Pajak Kendaraan Bermotor (PKB)</v>
          </cell>
          <cell r="D293">
            <v>0</v>
          </cell>
        </row>
        <row r="294">
          <cell r="C294" t="str">
            <v>Pendapatan Denda Opsen Bea Balik Nama Kendaraan Bermotor (BBNKB)</v>
          </cell>
          <cell r="D294">
            <v>0</v>
          </cell>
        </row>
        <row r="295">
          <cell r="C295" t="str">
            <v>Pendapatan Denda Retribusi Daerah</v>
          </cell>
          <cell r="D295">
            <v>0</v>
          </cell>
        </row>
        <row r="296">
          <cell r="C296" t="str">
            <v>Pendapatan Denda Retribusi Jasa Umum</v>
          </cell>
          <cell r="D296">
            <v>0</v>
          </cell>
        </row>
        <row r="297">
          <cell r="C297" t="str">
            <v>Pendapatan Denda Retribusi Jasa Usaha</v>
          </cell>
          <cell r="D297">
            <v>0</v>
          </cell>
        </row>
        <row r="298">
          <cell r="C298" t="str">
            <v>Pendapatan Denda Retribusi Perizinan Tertentu</v>
          </cell>
          <cell r="D298">
            <v>0</v>
          </cell>
        </row>
        <row r="299">
          <cell r="C299" t="str">
            <v>Pendapatan Hasil Eksekusi atas Jaminan</v>
          </cell>
          <cell r="D299">
            <v>0</v>
          </cell>
        </row>
        <row r="300">
          <cell r="C300" t="str">
            <v>Hasil Eksekusi atas Jaminan atas Pengadaan Barang/Jasa</v>
          </cell>
          <cell r="D300">
            <v>0</v>
          </cell>
        </row>
        <row r="301">
          <cell r="C301" t="str">
            <v>Pendapatan dari Pengembalian</v>
          </cell>
          <cell r="D301">
            <v>0</v>
          </cell>
        </row>
        <row r="302">
          <cell r="C302" t="str">
            <v>Pendapatan dari Pengembalian Kelebihan Pembayaran Pajak Penghasilan Pasal 21</v>
          </cell>
          <cell r="D302">
            <v>0</v>
          </cell>
        </row>
        <row r="303">
          <cell r="C303" t="str">
            <v>Pendapatan dari Pengembalian Kelebihan Pembayaran Iuran Simpanan Peserta Tabungan Perumahan Rakyat ASN</v>
          </cell>
          <cell r="D303">
            <v>0</v>
          </cell>
        </row>
        <row r="304">
          <cell r="C304" t="str">
            <v>Pendapatan dari Pengembalian Kelebihan Pembayaran Gaji dan Tunjangan</v>
          </cell>
          <cell r="D304">
            <v>0</v>
          </cell>
        </row>
        <row r="305">
          <cell r="C305" t="str">
            <v>Pendapatan dari Pengembalian Kelebihan Pembayaran Perjalanan Dinas</v>
          </cell>
          <cell r="D305">
            <v>0</v>
          </cell>
        </row>
        <row r="306">
          <cell r="C306" t="str">
            <v>Pendapatan dari Pengembalian Kelebihan Pembayaran Jaminan Kecelakaan Kerja (JKK)</v>
          </cell>
          <cell r="D306">
            <v>0</v>
          </cell>
        </row>
        <row r="307">
          <cell r="C307" t="str">
            <v>Pendapatan dari Pengembalian Kelebihan Pembayaran Jaminan Kematian (JKM)</v>
          </cell>
          <cell r="D307">
            <v>0</v>
          </cell>
        </row>
        <row r="308">
          <cell r="C308" t="str">
            <v>Pendapatan dari Pengembalian Kelebihan Pembayaran Jaminan Kesehatan Nasional (JKN)</v>
          </cell>
          <cell r="D308">
            <v>0</v>
          </cell>
        </row>
        <row r="309">
          <cell r="C309" t="str">
            <v>Pendapatan dari Pengembalian Kelebihan Pembayaran Belanja Gaji dan Tunjangan ASN</v>
          </cell>
          <cell r="D309">
            <v>0</v>
          </cell>
        </row>
        <row r="310">
          <cell r="C310" t="str">
            <v>Pendapatan dari Pengembalian Kelebihan Pembayaran Belanja Tambahan Penghasilan ASN</v>
          </cell>
          <cell r="D310">
            <v>0</v>
          </cell>
        </row>
        <row r="311">
          <cell r="C311" t="str">
            <v>Pendapatan dari Pengembalian Kelebihan Pembayaran Belanja Tambahan Penghasilan berdasarkan Pertimbangan Objektif Lainnya ASN</v>
          </cell>
          <cell r="D311">
            <v>0</v>
          </cell>
        </row>
        <row r="312">
          <cell r="C312" t="str">
            <v>Pendapatan dari Pengembalian Kelebihan Pembayaran Belanja Gaji dan Tunjangan DPRD</v>
          </cell>
          <cell r="D312">
            <v>0</v>
          </cell>
        </row>
        <row r="313">
          <cell r="C313" t="str">
            <v>Pendapatan dari Pengembalian Kelebihan Pembayaran Belanja Gaji dan Tunjangan KDH/WKDH</v>
          </cell>
          <cell r="D313">
            <v>0</v>
          </cell>
        </row>
        <row r="314">
          <cell r="C314" t="str">
            <v>Pendapatan dari Pengembalian Kelebihan Pembayaran Belanja Penerimaan Lainnya Pimpinan DPRD serta KDH/WKDH</v>
          </cell>
          <cell r="D314">
            <v>0</v>
          </cell>
        </row>
        <row r="315">
          <cell r="C315" t="str">
            <v>Pendapatan dari Pengembalian Kelebihan Pembayaran Belanja Gaji dan Tunjangan MRP</v>
          </cell>
          <cell r="D315">
            <v>0</v>
          </cell>
        </row>
        <row r="316">
          <cell r="C316" t="str">
            <v>Pendapatan dari Pengembalian Kelebihan Pembayaran Belanja Barang</v>
          </cell>
          <cell r="D316">
            <v>0</v>
          </cell>
        </row>
        <row r="317">
          <cell r="C317" t="str">
            <v>Pendapatan dari Pengembalian Kelebihan Pembayaran Belanja Jasa</v>
          </cell>
          <cell r="D317">
            <v>0</v>
          </cell>
        </row>
        <row r="318">
          <cell r="C318" t="str">
            <v>Pendapatan dari Pengembalian Kelebihan Pembayaran Belanja Pemeliharaan</v>
          </cell>
          <cell r="D318">
            <v>0</v>
          </cell>
        </row>
        <row r="319">
          <cell r="C319" t="str">
            <v>Pendapatan dari Pengembalian Kelebihan Pembayaran Belanja Uang dan/atau Jasa untuk Diberikan kepada Pihak Ketiga/Pihak Lain/Masyarakat</v>
          </cell>
          <cell r="D319">
            <v>0</v>
          </cell>
        </row>
        <row r="320">
          <cell r="C320" t="str">
            <v>Pendapatan dari Pengembalian Kelebihan Pembayaran Belanja Penunjang Otonomi Khusus*)</v>
          </cell>
          <cell r="D320">
            <v>0</v>
          </cell>
        </row>
        <row r="321">
          <cell r="C321" t="str">
            <v>Pendapatan dari Pengembalian Kelebihan Pembayaran Belanja Bunga Utang Pinjaman kepada Pemerintah Pusat</v>
          </cell>
          <cell r="D321">
            <v>0</v>
          </cell>
        </row>
        <row r="322">
          <cell r="C322" t="str">
            <v>Pendapatan dari Pengembalian Kelebihan Pembayaran Belanja Bunga Utang Pinjaman kepada Pemerintah Daerah Lain</v>
          </cell>
          <cell r="D322">
            <v>0</v>
          </cell>
        </row>
        <row r="323">
          <cell r="C323" t="str">
            <v>Pendapatan dari Pengembalian Kelebihan Pembayaran Belanja Bunga Utang Pinjaman kepada Lembaga Keuangan Bank (LKB)</v>
          </cell>
          <cell r="D323">
            <v>0</v>
          </cell>
        </row>
        <row r="324">
          <cell r="C324" t="str">
            <v>Pendapatan dari Pengembalian Kelebihan Pembayaran Belanja Bunga Utang Pinjaman kepada Lembaga Keuangan Bukan Bank (LKBB)</v>
          </cell>
          <cell r="D324">
            <v>0</v>
          </cell>
        </row>
        <row r="325">
          <cell r="C325" t="str">
            <v>Pendapatan dari Pengembalian Kelebihan Pembayaran Belanja Bunga Utang Kepada Masyarakat (Obligasi)</v>
          </cell>
          <cell r="D325">
            <v>0</v>
          </cell>
        </row>
        <row r="326">
          <cell r="C326" t="str">
            <v>Pendapatan dari Pengembalian Kelebihan Pembayaran Belanja Bunga Utang Pinjaman melalui BLUD</v>
          </cell>
          <cell r="D326">
            <v>0</v>
          </cell>
        </row>
        <row r="327">
          <cell r="C327" t="str">
            <v>Pendapatan dari Pengembalian Kelebihan Pembayaran Belanja Subsidi kepada BUMN</v>
          </cell>
          <cell r="D327">
            <v>0</v>
          </cell>
        </row>
        <row r="328">
          <cell r="C328" t="str">
            <v>Pendapatan dari Pengembalian Kelebihan Pembayaran Belanja Subsidi kepada BUMD</v>
          </cell>
          <cell r="D328">
            <v>0</v>
          </cell>
        </row>
        <row r="329">
          <cell r="C329" t="str">
            <v>Pendapatan dari Pengembalian Kelebihan Pembayaran Belanja Subsidi kepada Badan Usaha Milik Swasta</v>
          </cell>
          <cell r="D329">
            <v>0</v>
          </cell>
        </row>
        <row r="330">
          <cell r="C330" t="str">
            <v>Pendapatan dari Pengembalian Kelebihan Pembayaran Belanja Subsidi kepada Koperasi</v>
          </cell>
          <cell r="D330">
            <v>0</v>
          </cell>
        </row>
        <row r="331">
          <cell r="C331" t="str">
            <v>Pendapatan dari Pengembalian Kelebihan Pembayaran Belanja Hibah kepada Pemerintah Pusat</v>
          </cell>
          <cell r="D331">
            <v>0</v>
          </cell>
        </row>
        <row r="332">
          <cell r="C332" t="str">
            <v>Pendapatan dari Pengembalian Kelebihan Pembayaran Belanja Hibah kepada Pemerintah Daerah Lainnya</v>
          </cell>
          <cell r="D332">
            <v>0</v>
          </cell>
        </row>
        <row r="333">
          <cell r="C333" t="str">
            <v>Pendapatan dari Pengembalian Kelebihan Pembayaran Belanja Hibah kepada BUMN</v>
          </cell>
          <cell r="D333">
            <v>0</v>
          </cell>
        </row>
        <row r="334">
          <cell r="C334" t="str">
            <v>Pendapatan dari Pengembalian Kelebihan Pembayaran Belanja Hibah kepada BUMD</v>
          </cell>
          <cell r="D334">
            <v>0</v>
          </cell>
        </row>
        <row r="335">
          <cell r="C335" t="str">
            <v>Pendapatan dari Pengembalian Kelebihan Pembayaran Belanja Hibah kepada Badan, Lembaga, Organisasi Kemasyarakatan yang Berbadan Hukum Indonesia</v>
          </cell>
          <cell r="D335">
            <v>0</v>
          </cell>
        </row>
        <row r="336">
          <cell r="C336" t="str">
            <v>Pendapatan dari Pengembalian Kelebihan Pembayaran Belanja Hibah Dana BOS</v>
          </cell>
          <cell r="D336">
            <v>0</v>
          </cell>
        </row>
        <row r="337">
          <cell r="C337" t="str">
            <v>Pendapatan dari Pengembalian Kelebihan Pembayaran Belanja Hibah Bantuan Keuangan kepada Partai Politik</v>
          </cell>
          <cell r="D337">
            <v>0</v>
          </cell>
        </row>
        <row r="338">
          <cell r="C338" t="str">
            <v>Pendapatan dari Pengembalian Kelebihan Pembayaran Belanja Bantuan Sosial kepada Individu</v>
          </cell>
          <cell r="D338">
            <v>0</v>
          </cell>
        </row>
        <row r="339">
          <cell r="C339" t="str">
            <v>Pendapatan dari Pengembalian Kelebihan Pembayaran Belanja Bantuan Sosial kepada Keluarga</v>
          </cell>
          <cell r="D339">
            <v>0</v>
          </cell>
        </row>
        <row r="340">
          <cell r="C340" t="str">
            <v>Pendapatan dari Pengembalian Kelebihan Pembayaran Belanja Bantuan Sosial kepada Kelompok Masyarakat</v>
          </cell>
          <cell r="D340">
            <v>0</v>
          </cell>
        </row>
        <row r="341">
          <cell r="C341" t="str">
            <v>Pendapatan dari Pengembalian Kelebihan Pembayaran Belanja Bantuan Sosial-Bantuan Sosial kepada Lembaga Non Pemerintahan (Bidang Pendidikan, Keagamaan dan Bidang Lainnya)</v>
          </cell>
          <cell r="D341">
            <v>0</v>
          </cell>
        </row>
        <row r="342">
          <cell r="C342" t="str">
            <v>Pendapatan dari Pengembalian Kelebihan Pembayaran Belanja Modal Tanah</v>
          </cell>
          <cell r="D342">
            <v>0</v>
          </cell>
        </row>
        <row r="343">
          <cell r="C343" t="str">
            <v>Pendapatan dari Pengembalian Kelebihan Pembayaran Belanja Modal Peralatan dan Mesin-Alat Besar</v>
          </cell>
          <cell r="D343">
            <v>0</v>
          </cell>
        </row>
        <row r="344">
          <cell r="C344" t="str">
            <v>Pendapatan dari Pengembalian Kelebihan Pembayaran Belanja Modal Peralatan dan Mesin-Alat Angkutan</v>
          </cell>
          <cell r="D344">
            <v>0</v>
          </cell>
        </row>
        <row r="345">
          <cell r="C345" t="str">
            <v>Pendapatan dari Pengembalian Kelebihan Pembayaran Belanja Modal Peralatan dan Mesin-Alat Bengkel dan Alat Ukur</v>
          </cell>
          <cell r="D345">
            <v>0</v>
          </cell>
        </row>
        <row r="346">
          <cell r="C346" t="str">
            <v>Pendapatan dari Pengembalian Kelebihan Pembayaran Belanja Modal Peralatan dan Mesin-Alat Pertanian</v>
          </cell>
          <cell r="D346">
            <v>0</v>
          </cell>
        </row>
        <row r="347">
          <cell r="C347" t="str">
            <v>Pendapatan dari Pengembalian Kelebihan Pembayaran Belanja Modal Peralatan dan Mesin-Alat Kantor dan Rumah Tangga</v>
          </cell>
          <cell r="D347">
            <v>0</v>
          </cell>
        </row>
        <row r="348">
          <cell r="C348" t="str">
            <v>Pendapatan dari Pengembalian Kelebihan Pembayaran Belanja Modal Peralatan dan Mesin-Alat Studio, Komunikasi, dan Pemancar</v>
          </cell>
          <cell r="D348">
            <v>0</v>
          </cell>
        </row>
        <row r="349">
          <cell r="C349" t="str">
            <v>Pendapatan dari Pengembalian Kelebihan Pembayaran Belanja Modal Peralatan dan Mesin-Alat Kedokteran dan Kesehatan</v>
          </cell>
          <cell r="D349">
            <v>0</v>
          </cell>
        </row>
        <row r="350">
          <cell r="C350" t="str">
            <v>Pendapatan dari Pengembalian Kelebihan Pembayaran Belanja Modal Peralatan dan Mesin-Alat Laboratorium</v>
          </cell>
          <cell r="D350">
            <v>0</v>
          </cell>
        </row>
        <row r="351">
          <cell r="C351" t="str">
            <v>Pendapatan dari Pengembalian Kelebihan Pembayaran Belanja Modal Peralatan dan Mesin-Komputer</v>
          </cell>
          <cell r="D351">
            <v>0</v>
          </cell>
        </row>
        <row r="352">
          <cell r="C352" t="str">
            <v>Pendapatan dari Pengembalian Kelebihan Pembayaran Belanja Modal Peralatan dan Mesin-Alat Eksplorasi</v>
          </cell>
          <cell r="D352">
            <v>0</v>
          </cell>
        </row>
        <row r="353">
          <cell r="C353" t="str">
            <v>Pendapatan dari Pengembalian Kelebihan Pembayaran Belanja Modal Peralatan dan Mesin-Alat Pengeboran</v>
          </cell>
          <cell r="D353">
            <v>0</v>
          </cell>
        </row>
        <row r="354">
          <cell r="C354" t="str">
            <v>Pendapatan dari Pengembalian Kelebihan Pembayaran Belanja Modal Peralatan dan Mesin-Alat Produksi, Pengolahan, dan Pemurnian</v>
          </cell>
          <cell r="D354">
            <v>0</v>
          </cell>
        </row>
        <row r="355">
          <cell r="C355" t="str">
            <v>Pendapatan dari Pengembalian Kelebihan Pembayaran Belanja Modal Peralatan dan Mesin-Alat Bantu Eksplorasi</v>
          </cell>
          <cell r="D355">
            <v>0</v>
          </cell>
        </row>
        <row r="356">
          <cell r="C356" t="str">
            <v>Pendapatan dari Pengembalian Kelebihan Pembayaran Belanja Modal Peralatan dan Mesin-Alat Keselamatan Kerja</v>
          </cell>
          <cell r="D356">
            <v>0</v>
          </cell>
        </row>
        <row r="357">
          <cell r="C357" t="str">
            <v>Pendapatan dari Pengembalian Kelebihan Pembayaran Belanja Modal Peralatan dan Mesin-Alat Peraga</v>
          </cell>
          <cell r="D357">
            <v>0</v>
          </cell>
        </row>
        <row r="358">
          <cell r="C358" t="str">
            <v>Pendapatan dari Pengembalian Kelebihan Pembayaran Belanja Modal Peralatan dan Mesin-Peralatan Proses/Produksi</v>
          </cell>
          <cell r="D358">
            <v>0</v>
          </cell>
        </row>
        <row r="359">
          <cell r="C359" t="str">
            <v>Pendapatan dari Pengembalian Kelebihan Pembayaran Belanja Modal Peralatan dan Mesin-Rambu-Rambu</v>
          </cell>
          <cell r="D359">
            <v>0</v>
          </cell>
        </row>
        <row r="360">
          <cell r="C360" t="str">
            <v>Pendapatan dari Pengembalian Kelebihan Pembayaran Belanja Modal Peralatan dan Mesin-Peralatan Olahraga</v>
          </cell>
          <cell r="D360">
            <v>0</v>
          </cell>
        </row>
        <row r="361">
          <cell r="C361" t="str">
            <v>Pendapatan dari Pengembalian Kelebihan Pembayaran Belanja Modal Gedung dan Bangunan-Bangunan Gedung</v>
          </cell>
          <cell r="D361">
            <v>0</v>
          </cell>
        </row>
        <row r="362">
          <cell r="C362" t="str">
            <v>Pendapatan dari Pengembalian Kelebihan Pembayaran Belanja Modal Gedung dan Bangunan-Monumen</v>
          </cell>
          <cell r="D362">
            <v>0</v>
          </cell>
        </row>
        <row r="363">
          <cell r="C363" t="str">
            <v>Pendapatan dari Pengembalian Kelebihan Pembayaran Belanja Modal Gedung dan Bangunan-Bangunan Menara</v>
          </cell>
          <cell r="D363">
            <v>0</v>
          </cell>
        </row>
        <row r="364">
          <cell r="C364" t="str">
            <v>Pendapatan dari Pengembalian Kelebihan Pembayaran Belanja Modal Gedung dan Bangunan-Tugu Titik Kontrol/Pasti</v>
          </cell>
          <cell r="D364">
            <v>0</v>
          </cell>
        </row>
        <row r="365">
          <cell r="C365" t="str">
            <v>Pendapatan dari Pengembalian Kelebihan Pembayaran Belanja Modal Jalan, Jaringan, dan Irigasi-Jalan dan Jembatan</v>
          </cell>
          <cell r="D365">
            <v>0</v>
          </cell>
        </row>
        <row r="366">
          <cell r="C366" t="str">
            <v>Pendapatan dari Pengembalian Kelebihan Pembayaran Belanja Modal Jalan, Jaringan, dan Irigasi-Bangunan Air</v>
          </cell>
          <cell r="D366">
            <v>0</v>
          </cell>
        </row>
        <row r="367">
          <cell r="C367" t="str">
            <v>Pendapatan dari Pengembalian Kelebihan Pembayaran Belanja Jalan, Jaringan, dan Instalasi-Instalasi</v>
          </cell>
          <cell r="D367">
            <v>0</v>
          </cell>
        </row>
        <row r="368">
          <cell r="C368" t="str">
            <v>Pendapatan dari Pengembalian Kelebihan Pembayaran Belanja Modal Jalan, Jaringan, dan Irigasi-Jaringan</v>
          </cell>
          <cell r="D368">
            <v>0</v>
          </cell>
        </row>
        <row r="369">
          <cell r="C369" t="str">
            <v>Pendapatan dari Pengembalian Kelebihan Pembayaran Belanja Modal Aset Tetap Lainnya-Bahan Perpustakaan</v>
          </cell>
          <cell r="D369">
            <v>0</v>
          </cell>
        </row>
        <row r="370">
          <cell r="C370" t="str">
            <v>Pendapatan dari Pengembalian Kelebihan Pembayaran Belanja Modal Aset Tetap Lainnya-Barang Bercorak Kesenian/Kebudayaan/Olahraga</v>
          </cell>
          <cell r="D370">
            <v>0</v>
          </cell>
        </row>
        <row r="371">
          <cell r="C371" t="str">
            <v>Pendapatan dari Pengembalian Kelebihan Pembayaran Belanja Modal Aset Tetap Lainnya-Hewan</v>
          </cell>
          <cell r="D371">
            <v>0</v>
          </cell>
        </row>
        <row r="372">
          <cell r="C372" t="str">
            <v>Pendapatan dari Pengembalian Kelebihan Pembayaran Belanja Modal Aset Tetap Lainnya-Biota Perairan</v>
          </cell>
          <cell r="D372">
            <v>0</v>
          </cell>
        </row>
        <row r="373">
          <cell r="C373" t="str">
            <v>Pendapatan dari Pengembalian Kelebihan Pembayaran Belanja Modal Aset Tetap Lainnya-Tanaman</v>
          </cell>
          <cell r="D373">
            <v>0</v>
          </cell>
        </row>
        <row r="374">
          <cell r="C374" t="str">
            <v>Pendapatan dari Pengembalian Kelebihan Pembayaran Belanja Modal Aset Tetap Lainnya-Barang Koleksi Non Budaya</v>
          </cell>
          <cell r="D374">
            <v>0</v>
          </cell>
        </row>
        <row r="375">
          <cell r="C375" t="str">
            <v>Pendapatan dari Pengembalian Kelebihan Pembayaran Belanja Modal Aset Tetap Lainnya-Aset Tetap dalam Renovasi</v>
          </cell>
          <cell r="D375">
            <v>0</v>
          </cell>
        </row>
        <row r="376">
          <cell r="C376" t="str">
            <v>Pendapatan dari Pengembalian Kelebihan Pembayaran Belanja Modal Aset Lainnya-Aset Tidak Berwujud</v>
          </cell>
          <cell r="D376">
            <v>0</v>
          </cell>
        </row>
        <row r="377">
          <cell r="C377" t="str">
            <v>Pendapatan dari Pengembalian Kelebihan Pembayaran Belanja Tidak Terduga</v>
          </cell>
          <cell r="D377">
            <v>0</v>
          </cell>
        </row>
        <row r="378">
          <cell r="C378" t="str">
            <v>Pendapatan dari Pengembalian Kelebihan Pembayaran Belanja Bagi Hasil Pajak Daerah Kepada Pemerintahan Kabupaten/Kota dan Desa</v>
          </cell>
          <cell r="D378">
            <v>0</v>
          </cell>
        </row>
        <row r="379">
          <cell r="C379" t="str">
            <v>Pendapatan dari Pengembalian Kelebihan Pembayaran Belanja Bagi Hasil Retribusi Daerah Kabupaten/Kota Kepada Pemerintah Desa</v>
          </cell>
          <cell r="D379">
            <v>0</v>
          </cell>
        </row>
        <row r="380">
          <cell r="C380" t="str">
            <v>Pendapatan dari Pengembalian Kelebihan Pembayaran Belanja Bantuan Keuangan antar Daerah Provinsi</v>
          </cell>
          <cell r="D380">
            <v>0</v>
          </cell>
        </row>
        <row r="381">
          <cell r="C381" t="str">
            <v>Pendapatan dari Pengembalian Kelebihan Pembayaran Belanja Bantuan Keuangan antar Daerah Kabupaten/Kota</v>
          </cell>
          <cell r="D381">
            <v>0</v>
          </cell>
        </row>
        <row r="382">
          <cell r="C382" t="str">
            <v>Pendapatan dari Pengembalian Kelebihan Pembayaran Belanja Bantuan Keuangan Daerah Provinsi ke Kabupaten/Kota</v>
          </cell>
          <cell r="D382">
            <v>0</v>
          </cell>
        </row>
        <row r="383">
          <cell r="C383" t="str">
            <v>Pendapatan dari Pengembalian Kelebihan Pembayaran Belanja Bantuan Keuangan Kabupaten/Kota ke Daerah Provinsi</v>
          </cell>
          <cell r="D383">
            <v>0</v>
          </cell>
        </row>
        <row r="384">
          <cell r="C384" t="str">
            <v>Pendapatan dari Pengembalian Kelebihan Pembayaran Belanja Bantuan Keuangan Daerah Provinsi atau Kabupaten/Kota kepada Desa</v>
          </cell>
          <cell r="D384">
            <v>0</v>
          </cell>
        </row>
        <row r="385">
          <cell r="C385" t="str">
            <v>Pendapatan dari Pengembalian Kelebihan Pembayaran Belanja Transfer Dana Otonomi Khusus Provinsi kepada Kabupaten/Kota</v>
          </cell>
          <cell r="D385">
            <v>0</v>
          </cell>
        </row>
        <row r="386">
          <cell r="C386" t="str">
            <v>Pendapatan dari Pengembalian Kelebihan Pembayaran Belanja Gaji dan Tunjangan Perangkat Lembaga Wali Nanggroe</v>
          </cell>
          <cell r="D386">
            <v>0</v>
          </cell>
        </row>
        <row r="387">
          <cell r="C387" t="str">
            <v>Pendapatan dari Pengembalian Kelebihan Pembayaran Belanja Hibah Dana BOSP</v>
          </cell>
          <cell r="D387">
            <v>0</v>
          </cell>
        </row>
        <row r="388">
          <cell r="C388" t="str">
            <v>Pendapatan dari Pengembalian Kelebihan Pembayaran Belanja Pegawai BOS, Belanja Barang dan Jasa BOS, Belanja Modal Peralatan dan Mesin BOS, serta Belanja Modal Aset Tetap Lainnya BOS</v>
          </cell>
          <cell r="D388">
            <v>0</v>
          </cell>
        </row>
        <row r="389">
          <cell r="C389" t="str">
            <v>Pendapatan dari Pengembalian Kelebihan Pembayaran Belanja Pegawai BOSP, Belanja Barang dan Jasa BOSP, Belanja Modal Peralatan dan Mesin BOSP, dan Belanja Modal Aset Tetap Lainnya BOSP</v>
          </cell>
          <cell r="D389">
            <v>0</v>
          </cell>
        </row>
        <row r="390">
          <cell r="C390" t="str">
            <v>Pendapatan dari Pengembalian Kelebihan Pembayaran Belanja Barang dan Jasa BOK Puskesmas</v>
          </cell>
          <cell r="D390">
            <v>0</v>
          </cell>
        </row>
        <row r="391">
          <cell r="C391" t="str">
            <v>Pendapatan dari Pengembalian Kelebihan Pembayaran Belanja Hibah kepada BUMDesa</v>
          </cell>
          <cell r="D391">
            <v>0</v>
          </cell>
        </row>
        <row r="392">
          <cell r="C392" t="str">
            <v>Pendapatan dari Pengembalian Kelebihan Pembayaran Belanja Hibah kepada Koperasi</v>
          </cell>
          <cell r="D392">
            <v>0</v>
          </cell>
        </row>
        <row r="393">
          <cell r="C393" t="str">
            <v>Pendapatan dari Pengembalian Kelebihan Pembayaran Belanja Imbalan-Imbalan Sukuk Daerah</v>
          </cell>
          <cell r="D393">
            <v>0</v>
          </cell>
        </row>
        <row r="394">
          <cell r="C394" t="str">
            <v>Pendapatan dari Pengembalian Kelebihan Pembayaran Belanja Bunga Pembiayaan Utang Daerah-Pinjaman Daerah</v>
          </cell>
          <cell r="D394">
            <v>0</v>
          </cell>
        </row>
        <row r="395">
          <cell r="C395" t="str">
            <v>Pendapatan dari Pengembalian Kelebihan Pembayaran Belanja Bunga Pembiayaan Utang Daerah-Obligasi Daerah</v>
          </cell>
          <cell r="D395">
            <v>0</v>
          </cell>
        </row>
        <row r="396">
          <cell r="C396"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396">
            <v>0</v>
          </cell>
        </row>
        <row r="397">
          <cell r="C397" t="str">
            <v>Pendapatan BLUD</v>
          </cell>
          <cell r="D397">
            <v>0</v>
          </cell>
        </row>
        <row r="398">
          <cell r="C398" t="str">
            <v>Pendapatan BLUD</v>
          </cell>
          <cell r="D398">
            <v>0</v>
          </cell>
        </row>
        <row r="399">
          <cell r="C399" t="str">
            <v>Pendapatan BLUD dari Jasa Layanan</v>
          </cell>
          <cell r="D399">
            <v>0</v>
          </cell>
        </row>
        <row r="400">
          <cell r="C400" t="str">
            <v>Pendapatan BLUD dari Hibah</v>
          </cell>
          <cell r="D400">
            <v>0</v>
          </cell>
        </row>
        <row r="401">
          <cell r="C401" t="str">
            <v>Pendapatan BLUD dari Hasil Kerja Sama dengan Pihak Lain</v>
          </cell>
          <cell r="D401">
            <v>0</v>
          </cell>
        </row>
        <row r="402">
          <cell r="C402" t="str">
            <v>Pendapatan BLUD dari APBD</v>
          </cell>
          <cell r="D402">
            <v>0</v>
          </cell>
        </row>
        <row r="403">
          <cell r="C403" t="str">
            <v>Pendapatan BLUD dari Lain-Lain Pendapatan BLUD yang Sah</v>
          </cell>
          <cell r="D403">
            <v>0</v>
          </cell>
        </row>
        <row r="404">
          <cell r="C404" t="str">
            <v>Pendapatan Denda Pemanfaatan BMD yang tidak Dipisahkan</v>
          </cell>
          <cell r="D404">
            <v>0</v>
          </cell>
        </row>
        <row r="405">
          <cell r="C405" t="str">
            <v>Pendapatan Denda Pengakhiran Sewa BMD</v>
          </cell>
          <cell r="D405">
            <v>0</v>
          </cell>
        </row>
        <row r="406">
          <cell r="C406" t="str">
            <v>Pendapatan Denda Hasil dari Kerja Sama Penyediaan Infrastruktur</v>
          </cell>
          <cell r="D406">
            <v>0</v>
          </cell>
        </row>
        <row r="407">
          <cell r="C407" t="str">
            <v>Pendapatan Dana Kapitasi Jaminan Kesehatan Nasional (JKN) pada Fasilitas Kesehatan Tingkat Pertama (FKTP)</v>
          </cell>
          <cell r="D407">
            <v>0</v>
          </cell>
        </row>
        <row r="408">
          <cell r="C408" t="str">
            <v>Pendapatan Dana Kapitasi JKN pada FKTP</v>
          </cell>
          <cell r="D408">
            <v>0</v>
          </cell>
        </row>
        <row r="409">
          <cell r="C409" t="str">
            <v>Pendapatan Hasil Pengelolaan Dana Bergulir</v>
          </cell>
          <cell r="D409">
            <v>0</v>
          </cell>
        </row>
        <row r="410">
          <cell r="C410" t="str">
            <v>Pendapatan Hasil Pengelolaan Dana Bergulir</v>
          </cell>
          <cell r="D410">
            <v>0</v>
          </cell>
        </row>
        <row r="411">
          <cell r="C411" t="str">
            <v>Pendapatan Berdasarkan Putusan Pengadilan (Inkracht)</v>
          </cell>
          <cell r="D411">
            <v>0</v>
          </cell>
        </row>
        <row r="412">
          <cell r="C412" t="str">
            <v>Pendapatan Berdasarkan Putusan Pengadilan (Inkracht)</v>
          </cell>
          <cell r="D412">
            <v>0</v>
          </cell>
        </row>
        <row r="413">
          <cell r="C413" t="str">
            <v>Pendapatan Denda atas Pelanggaran Peraturan Daerah</v>
          </cell>
          <cell r="D413">
            <v>0</v>
          </cell>
        </row>
        <row r="414">
          <cell r="C414" t="str">
            <v>Pendapatan Denda atas Pelanggaran Peraturan Daerah</v>
          </cell>
          <cell r="D414">
            <v>0</v>
          </cell>
        </row>
        <row r="415">
          <cell r="C415" t="str">
            <v>Pendapatan Zakat, Infaq, Shadaqah, dan Wakaf</v>
          </cell>
          <cell r="D415">
            <v>0</v>
          </cell>
        </row>
        <row r="416">
          <cell r="C416" t="str">
            <v>Pendapatan Zakat</v>
          </cell>
          <cell r="D416">
            <v>0</v>
          </cell>
        </row>
        <row r="417">
          <cell r="C417" t="str">
            <v>Pendapatan Hasil Pelaksanaan Perjanjian/Kontrak</v>
          </cell>
          <cell r="D417">
            <v>0</v>
          </cell>
        </row>
        <row r="418">
          <cell r="C418" t="str">
            <v>Pendapatan Hasil Pelaksanaan Perjanjian/Kontrak</v>
          </cell>
          <cell r="D418">
            <v>0</v>
          </cell>
        </row>
        <row r="419">
          <cell r="C419" t="str">
            <v>Pungutan bagi Wisatawan Asing</v>
          </cell>
          <cell r="D419">
            <v>0</v>
          </cell>
        </row>
        <row r="420">
          <cell r="C420" t="str">
            <v>Pungutan bagi Wisatawan Asing</v>
          </cell>
          <cell r="D420">
            <v>0</v>
          </cell>
        </row>
        <row r="421">
          <cell r="C421" t="str">
            <v>Hasil Pengelolaan Dana Abadi Daerah</v>
          </cell>
          <cell r="D421">
            <v>0</v>
          </cell>
        </row>
        <row r="422">
          <cell r="C422" t="str">
            <v>Hasil Pengelolaan Dana Abadi Daerah</v>
          </cell>
          <cell r="D422">
            <v>0</v>
          </cell>
        </row>
        <row r="423">
          <cell r="C423" t="str">
            <v>Hasil Pengelolaan Dana Cadangan</v>
          </cell>
          <cell r="D423">
            <v>0</v>
          </cell>
        </row>
        <row r="424">
          <cell r="C424" t="str">
            <v>Hasil Pengelolaan Dana Cadangan</v>
          </cell>
          <cell r="D424">
            <v>0</v>
          </cell>
        </row>
        <row r="425">
          <cell r="C425" t="str">
            <v>Pendapatan atas Sanksi Administrasi Pajak Daerah</v>
          </cell>
          <cell r="D425">
            <v>0</v>
          </cell>
        </row>
        <row r="426">
          <cell r="C426" t="str">
            <v>Pendapatan Denda Pajak Daerah</v>
          </cell>
          <cell r="D426">
            <v>0</v>
          </cell>
        </row>
        <row r="427">
          <cell r="C427" t="str">
            <v>Pendapatan Bunga Pajak Daerah</v>
          </cell>
          <cell r="D427">
            <v>0</v>
          </cell>
        </row>
        <row r="428">
          <cell r="C428" t="str">
            <v>Pendapatan Kenaikan Pokok Pajak Daerah</v>
          </cell>
          <cell r="D428">
            <v>0</v>
          </cell>
        </row>
        <row r="429">
          <cell r="C429" t="str">
            <v>Pendapatan atas Sanksi Administrasi Retribusi Daerah</v>
          </cell>
          <cell r="D429">
            <v>0</v>
          </cell>
        </row>
        <row r="430">
          <cell r="C430" t="str">
            <v>Pendapatan Denda Retribusi Daerah</v>
          </cell>
          <cell r="D430">
            <v>0</v>
          </cell>
        </row>
        <row r="431">
          <cell r="C431" t="str">
            <v>Pendapatan Bunga Retribusi Daerah</v>
          </cell>
          <cell r="D431">
            <v>0</v>
          </cell>
        </row>
        <row r="432">
          <cell r="C432" t="str">
            <v>PENDAPATAN TRANSFER</v>
          </cell>
          <cell r="D432">
            <v>1834998222557</v>
          </cell>
        </row>
        <row r="433">
          <cell r="C433" t="str">
            <v>Pendapatan Transfer Pemerintah Pusat</v>
          </cell>
          <cell r="D433">
            <v>1769595187000</v>
          </cell>
        </row>
        <row r="434">
          <cell r="C434" t="str">
            <v>Dana Perimbangan</v>
          </cell>
          <cell r="D434">
            <v>0</v>
          </cell>
        </row>
        <row r="435">
          <cell r="C435" t="str">
            <v>Dana Transfer Umum-Dana Bagi Hasil (DBH)</v>
          </cell>
          <cell r="D435">
            <v>0</v>
          </cell>
        </row>
        <row r="436">
          <cell r="C436" t="str">
            <v>Dana Transfer Umum-Dana Alokasi Umum (DAU)</v>
          </cell>
          <cell r="D436">
            <v>0</v>
          </cell>
        </row>
        <row r="437">
          <cell r="C437" t="str">
            <v>Dana Transfer Khusus-Dana Alokasi Khusus (DAK) Fisik</v>
          </cell>
          <cell r="D437">
            <v>0</v>
          </cell>
        </row>
        <row r="438">
          <cell r="C438" t="str">
            <v>Dana Transfer Khusus-Dana Alokasi Khusus (DAK) Non Fisik</v>
          </cell>
          <cell r="D438">
            <v>0</v>
          </cell>
        </row>
        <row r="439">
          <cell r="C439" t="str">
            <v>Dana Insentif Daerah (DID)</v>
          </cell>
          <cell r="D439">
            <v>0</v>
          </cell>
        </row>
        <row r="440">
          <cell r="C440" t="str">
            <v>DID</v>
          </cell>
          <cell r="D440">
            <v>0</v>
          </cell>
        </row>
        <row r="441">
          <cell r="C441" t="str">
            <v>Dana Otonomi Khusus dan Dana Tambahan Infrastruktur</v>
          </cell>
          <cell r="D441">
            <v>0</v>
          </cell>
        </row>
        <row r="442">
          <cell r="C442" t="str">
            <v>Dana Otonomi Khusus-Provinsi Papua</v>
          </cell>
          <cell r="D442">
            <v>0</v>
          </cell>
        </row>
        <row r="443">
          <cell r="C443" t="str">
            <v>Dana Otonomi Khusus-Provinsi Papua Barat</v>
          </cell>
          <cell r="D443">
            <v>0</v>
          </cell>
        </row>
        <row r="444">
          <cell r="C444" t="str">
            <v>Dana Otonomi Khusus-Provinsi Aceh</v>
          </cell>
          <cell r="D444">
            <v>0</v>
          </cell>
        </row>
        <row r="445">
          <cell r="C445" t="str">
            <v>Dana Tambahan Infrastruktur dalam rangka Otonomi Khusus Provinsi Papua</v>
          </cell>
          <cell r="D445">
            <v>0</v>
          </cell>
        </row>
        <row r="446">
          <cell r="C446" t="str">
            <v>Dana Tambahan Infrastruktur dalam rangka Otonomi Khusus Provinsi Papua Barat</v>
          </cell>
          <cell r="D446">
            <v>0</v>
          </cell>
        </row>
        <row r="447">
          <cell r="C447" t="str">
            <v>Dana Bagi Hasil (DBH) Minyak dan Gas Otonomi Khusus Papua</v>
          </cell>
          <cell r="D447">
            <v>0</v>
          </cell>
        </row>
        <row r="448">
          <cell r="C448" t="str">
            <v>Dana Bagi Hasil (DBH) Minyak dan Gas Otonomi Khusus Aceh</v>
          </cell>
          <cell r="D448">
            <v>0</v>
          </cell>
        </row>
        <row r="449">
          <cell r="C449" t="str">
            <v>Dana Otonomi Khusus 1%-Papua</v>
          </cell>
          <cell r="D449">
            <v>0</v>
          </cell>
        </row>
        <row r="450">
          <cell r="C450" t="str">
            <v>DBH SDA Pertambangan Minyak Bumi-Papua</v>
          </cell>
          <cell r="D450">
            <v>0</v>
          </cell>
        </row>
        <row r="451">
          <cell r="C451" t="str">
            <v>DBH SDA Pertambangan Gas Alam-Papua</v>
          </cell>
          <cell r="D451">
            <v>0</v>
          </cell>
        </row>
        <row r="452">
          <cell r="C452" t="str">
            <v>Dana Otonomi Khusus 1,25%-Papua</v>
          </cell>
          <cell r="D452">
            <v>0</v>
          </cell>
        </row>
        <row r="453">
          <cell r="C453" t="str">
            <v>DTI-Papua</v>
          </cell>
          <cell r="D453">
            <v>0</v>
          </cell>
        </row>
        <row r="454">
          <cell r="C454" t="str">
            <v>DBH SDA Pertambangan Minyak Bumi-Aceh</v>
          </cell>
          <cell r="D454">
            <v>0</v>
          </cell>
        </row>
        <row r="455">
          <cell r="C455" t="str">
            <v>DBH SDA Pertambangan Gas Alam-Aceh</v>
          </cell>
          <cell r="D455">
            <v>0</v>
          </cell>
        </row>
        <row r="456">
          <cell r="C456" t="str">
            <v>Dana Keistimewaan</v>
          </cell>
          <cell r="D456">
            <v>0</v>
          </cell>
        </row>
        <row r="457">
          <cell r="C457" t="str">
            <v>Dana Keistimewaan Daerah Istimewa Yogyakarta</v>
          </cell>
          <cell r="D457">
            <v>0</v>
          </cell>
        </row>
        <row r="458">
          <cell r="C458" t="str">
            <v>Dana Desa</v>
          </cell>
          <cell r="D458">
            <v>180596441000</v>
          </cell>
        </row>
        <row r="459">
          <cell r="C459" t="str">
            <v>Dana Desa</v>
          </cell>
          <cell r="D459">
            <v>180596441000</v>
          </cell>
        </row>
        <row r="460">
          <cell r="C460" t="str">
            <v>Insentif Fiskal</v>
          </cell>
          <cell r="D460">
            <v>0</v>
          </cell>
        </row>
        <row r="461">
          <cell r="C461" t="str">
            <v>Insentif Fiskal</v>
          </cell>
          <cell r="D461">
            <v>0</v>
          </cell>
        </row>
        <row r="462">
          <cell r="C462" t="str">
            <v>Insentif Fiskal Untuk Penghargaan Kinerja Tahun Sebelumnya</v>
          </cell>
          <cell r="D462">
            <v>0</v>
          </cell>
        </row>
        <row r="463">
          <cell r="C463" t="str">
            <v>Insentif Fiskal Untuk Penghargaan Kinerja Tahun Berjalan</v>
          </cell>
          <cell r="D463">
            <v>0</v>
          </cell>
        </row>
        <row r="464">
          <cell r="C464" t="str">
            <v>Dana Bagi Hasil (DBH)</v>
          </cell>
          <cell r="D464">
            <v>103870024000</v>
          </cell>
        </row>
        <row r="465">
          <cell r="C465" t="str">
            <v>DBH Pajak</v>
          </cell>
          <cell r="D465">
            <v>35527567000</v>
          </cell>
        </row>
        <row r="466">
          <cell r="C466" t="str">
            <v>DBH Sumber Daya Alam (SDA)</v>
          </cell>
          <cell r="D466">
            <v>68342457000</v>
          </cell>
        </row>
        <row r="467">
          <cell r="C467" t="str">
            <v>DBH Lainnya</v>
          </cell>
          <cell r="D467">
            <v>0</v>
          </cell>
        </row>
        <row r="468">
          <cell r="C468" t="str">
            <v>Dana Alokasi Umum (DAU)</v>
          </cell>
          <cell r="D468">
            <v>1130073280000</v>
          </cell>
        </row>
        <row r="469">
          <cell r="C469" t="str">
            <v>DAU yang Tidak Ditentukan Penggunaannya</v>
          </cell>
          <cell r="D469">
            <v>940742930000</v>
          </cell>
        </row>
        <row r="470">
          <cell r="C470" t="str">
            <v>DAU yang Ditentukan Penggunaannya</v>
          </cell>
          <cell r="D470">
            <v>189330350000</v>
          </cell>
        </row>
        <row r="471">
          <cell r="C471" t="str">
            <v>Dana Alokasi Khusus (DAK)</v>
          </cell>
          <cell r="D471">
            <v>355055442000</v>
          </cell>
        </row>
        <row r="472">
          <cell r="C472" t="str">
            <v>DAK Fisik</v>
          </cell>
          <cell r="D472">
            <v>40830524000</v>
          </cell>
        </row>
        <row r="473">
          <cell r="C473" t="str">
            <v>DAK Non Fisik</v>
          </cell>
          <cell r="D473">
            <v>314224918000</v>
          </cell>
        </row>
        <row r="474">
          <cell r="C474" t="str">
            <v>Hibah kepada Daerah</v>
          </cell>
          <cell r="D474">
            <v>0</v>
          </cell>
        </row>
        <row r="475">
          <cell r="C475" t="str">
            <v>Pendapatan Transfer Antar Daerah</v>
          </cell>
          <cell r="D475">
            <v>65403035557</v>
          </cell>
        </row>
        <row r="476">
          <cell r="C476" t="str">
            <v>Pendapatan Bagi Hasil</v>
          </cell>
          <cell r="D476">
            <v>65403035557</v>
          </cell>
        </row>
        <row r="477">
          <cell r="C477" t="str">
            <v>Pendapatan Bagi Hasil Pajak</v>
          </cell>
          <cell r="D477">
            <v>65403035557</v>
          </cell>
        </row>
        <row r="478">
          <cell r="C478" t="str">
            <v>Bantuan Keuangan</v>
          </cell>
          <cell r="D478">
            <v>0</v>
          </cell>
        </row>
        <row r="479">
          <cell r="C479" t="str">
            <v>Bantuan Keuangan Umum dari Pemerintah Provinsi</v>
          </cell>
          <cell r="D479">
            <v>0</v>
          </cell>
        </row>
        <row r="480">
          <cell r="C480" t="str">
            <v>Bantuan Keuangan Khusus dari Pemerintah Provinsi</v>
          </cell>
          <cell r="D480">
            <v>0</v>
          </cell>
        </row>
        <row r="481">
          <cell r="C481" t="str">
            <v>Bantuan Keuangan Umum dari Pemerintah Kabupaten/Kota</v>
          </cell>
          <cell r="D481">
            <v>0</v>
          </cell>
        </row>
        <row r="482">
          <cell r="C482" t="str">
            <v>Bantuan Keuangan Khusus dari Pemerintah Kabupaten/Kota</v>
          </cell>
          <cell r="D482">
            <v>0</v>
          </cell>
        </row>
        <row r="483">
          <cell r="C483" t="str">
            <v>LAIN-LAIN PENDAPATAN DAERAH YANG SAH</v>
          </cell>
          <cell r="D483">
            <v>26324521293</v>
          </cell>
        </row>
        <row r="484">
          <cell r="C484" t="str">
            <v>Pendapatan Hibah</v>
          </cell>
          <cell r="D484">
            <v>0</v>
          </cell>
        </row>
        <row r="485">
          <cell r="C485" t="str">
            <v>Pendapatan Hibah dari Pemerintah Pusat</v>
          </cell>
          <cell r="D485">
            <v>0</v>
          </cell>
        </row>
        <row r="486">
          <cell r="C486" t="str">
            <v>Pendapatan Hibah dari Pemerintah Pusat</v>
          </cell>
          <cell r="D486">
            <v>0</v>
          </cell>
        </row>
        <row r="487">
          <cell r="C487" t="str">
            <v>Pendapatan Hibah dari Pemerintah Daerah Lainnya</v>
          </cell>
          <cell r="D487">
            <v>0</v>
          </cell>
        </row>
        <row r="488">
          <cell r="C488" t="str">
            <v>Pendapatan Hibah dari Pemerintah Daerah Lainnya</v>
          </cell>
          <cell r="D488">
            <v>0</v>
          </cell>
        </row>
        <row r="489">
          <cell r="C489" t="str">
            <v>Pendapatan Hibah dari Kelompok Masyarakat/Perorangan Dalam Negeri</v>
          </cell>
          <cell r="D489">
            <v>0</v>
          </cell>
        </row>
        <row r="490">
          <cell r="C490" t="str">
            <v>Pendapatan Hibah dari Kelompok Masyarakat/Perorangan Dalam Negeri</v>
          </cell>
          <cell r="D490">
            <v>0</v>
          </cell>
        </row>
        <row r="491">
          <cell r="C491" t="str">
            <v>Pendapatan Hibah dari Badan/Lembaga/Organisasi Dalam Negeri/Luar Negeri</v>
          </cell>
          <cell r="D491">
            <v>0</v>
          </cell>
        </row>
        <row r="492">
          <cell r="C492" t="str">
            <v>Pendapatan Hibah dari Badan/Lembaga/Organisasi Dalam Negeri</v>
          </cell>
          <cell r="D492">
            <v>0</v>
          </cell>
        </row>
        <row r="493">
          <cell r="C493" t="str">
            <v>Pendapatan Hibah dari Badan/Lembaga/Organisasi Luar Negeri</v>
          </cell>
          <cell r="D493">
            <v>0</v>
          </cell>
        </row>
        <row r="494">
          <cell r="C494" t="str">
            <v>Pendapatan Hibah dari Lembaga/Organisasi Swasta Dalam Negeri</v>
          </cell>
          <cell r="D494">
            <v>0</v>
          </cell>
        </row>
        <row r="495">
          <cell r="C495" t="str">
            <v>Pendapatan Hibah dari Lembaga/Organisasi Swasta Luar Negeri</v>
          </cell>
          <cell r="D495">
            <v>0</v>
          </cell>
        </row>
        <row r="496">
          <cell r="C496" t="str">
            <v>Sumbangan Pihak Ketiga/Sejenis</v>
          </cell>
          <cell r="D496">
            <v>0</v>
          </cell>
        </row>
        <row r="497">
          <cell r="C497" t="str">
            <v>Sumbangan Pihak Ketiga/Sejenis</v>
          </cell>
          <cell r="D497">
            <v>0</v>
          </cell>
        </row>
        <row r="498">
          <cell r="C498" t="str">
            <v>Dana Darurat</v>
          </cell>
          <cell r="D498">
            <v>0</v>
          </cell>
        </row>
        <row r="499">
          <cell r="C499" t="str">
            <v>Dana Darurat</v>
          </cell>
          <cell r="D499">
            <v>0</v>
          </cell>
        </row>
        <row r="500">
          <cell r="C500" t="str">
            <v>Dana Darurat</v>
          </cell>
          <cell r="D500">
            <v>0</v>
          </cell>
        </row>
        <row r="501">
          <cell r="C501" t="str">
            <v>Lain-lain Pendapatan Sesuai dengan Ketentuan Peraturan Perundang-Undangan</v>
          </cell>
          <cell r="D501">
            <v>26324521293</v>
          </cell>
        </row>
        <row r="502">
          <cell r="C502" t="str">
            <v>Lain-lain Pendapatan</v>
          </cell>
          <cell r="D502">
            <v>0</v>
          </cell>
        </row>
        <row r="503">
          <cell r="C503" t="str">
            <v>Pendapatan Hibah Dana BOS</v>
          </cell>
          <cell r="D503">
            <v>0</v>
          </cell>
        </row>
        <row r="504">
          <cell r="C504" t="str">
            <v>Pendapatan atas Pengembalian Hibah</v>
          </cell>
          <cell r="D504">
            <v>0</v>
          </cell>
        </row>
        <row r="505">
          <cell r="C505" t="str">
            <v>Pendapatan atas Dana Reducing Emission from Deforestration and Forest Degradation (REDD+) Results Based Payment</v>
          </cell>
          <cell r="D505">
            <v>0</v>
          </cell>
        </row>
        <row r="506">
          <cell r="C506" t="str">
            <v>Pendapatan Dana Kapitasi JKN pada FKTP</v>
          </cell>
          <cell r="D506">
            <v>0</v>
          </cell>
        </row>
        <row r="507">
          <cell r="C507" t="str">
            <v>Pendapatan Dana Kapitasi JKN pada FKTP</v>
          </cell>
          <cell r="D507">
            <v>0</v>
          </cell>
        </row>
        <row r="508">
          <cell r="C508" t="str">
            <v>Pendapatan Bagi Hasil Pemegang IUPK atas Pertambangan Mineral Logam dan Batu Bara Pendapatan Bagi Hasil Pemegang IUPK atas Pertambangan Mineral Logam dan Batu Bara</v>
          </cell>
          <cell r="D508">
            <v>26324521293</v>
          </cell>
        </row>
        <row r="509">
          <cell r="C509" t="str">
            <v xml:space="preserve">Pendapatan Bagi Hasil Pemegang IUPK atas Pertambangan Mineral Logam dan Batu Bara </v>
          </cell>
          <cell r="D509">
            <v>26324521293</v>
          </cell>
        </row>
        <row r="510">
          <cell r="C510" t="str">
            <v>Kontribusi dari Sumber Lain yang Sah dan Tidak Mengikat</v>
          </cell>
          <cell r="D510">
            <v>0</v>
          </cell>
        </row>
        <row r="511">
          <cell r="C511" t="str">
            <v>Kontribusi dari Sumber Lain yang Sah dan Tidak Mengikat</v>
          </cell>
          <cell r="D511">
            <v>0</v>
          </cell>
        </row>
        <row r="512">
          <cell r="C512" t="str">
            <v>Pendapatan Klaim Pelayanan Kesehatan/Nonkapitasi</v>
          </cell>
          <cell r="D512">
            <v>0</v>
          </cell>
        </row>
        <row r="513">
          <cell r="C513" t="str">
            <v>Pendapatan Klaim Pelayanan Kesehatan/Nonkapitasi</v>
          </cell>
          <cell r="D513">
            <v>0</v>
          </cell>
        </row>
        <row r="514">
          <cell r="C514" t="str">
            <v>Pendapatan Bonus Produksi Panas Bumi</v>
          </cell>
          <cell r="D514">
            <v>0</v>
          </cell>
        </row>
        <row r="515">
          <cell r="C515" t="str">
            <v>Pendapatan Bonus Produksi Panas Bumi</v>
          </cell>
          <cell r="D515">
            <v>0</v>
          </cell>
        </row>
        <row r="516">
          <cell r="C516" t="str">
            <v>Pendapatan Bonus Tandatangan dan Bonus Produksi Pemerintah Aceh</v>
          </cell>
          <cell r="D516">
            <v>0</v>
          </cell>
        </row>
        <row r="517">
          <cell r="C517" t="str">
            <v>Pendapatan Bonus Tandatangan dan Bonus Produksi Pemerintah Aceh</v>
          </cell>
          <cell r="D517">
            <v>0</v>
          </cell>
        </row>
        <row r="518">
          <cell r="D518">
            <v>0</v>
          </cell>
        </row>
        <row r="519">
          <cell r="C519" t="str">
            <v>BELANJA DAERAH</v>
          </cell>
          <cell r="D519">
            <v>2120341439656.96</v>
          </cell>
        </row>
        <row r="520">
          <cell r="C520" t="str">
            <v>BELANJA OPERASI</v>
          </cell>
          <cell r="D520">
            <v>1620643248454.8599</v>
          </cell>
        </row>
        <row r="521">
          <cell r="C521" t="str">
            <v>Belanja Pegawai</v>
          </cell>
          <cell r="D521">
            <v>1083594408101.8599</v>
          </cell>
        </row>
        <row r="522">
          <cell r="C522" t="str">
            <v>Belanja Gaji dan Tunjangan ASN</v>
          </cell>
          <cell r="D522">
            <v>736390572231.29993</v>
          </cell>
        </row>
        <row r="523">
          <cell r="C523" t="str">
            <v>Belanja Gaji Pokok ASN</v>
          </cell>
          <cell r="D523">
            <v>564857090251.62</v>
          </cell>
        </row>
        <row r="524">
          <cell r="C524" t="str">
            <v>Belanja Tunjangan Keluarga ASN</v>
          </cell>
          <cell r="D524">
            <v>50774576822.199997</v>
          </cell>
        </row>
        <row r="525">
          <cell r="C525" t="str">
            <v>Belanja Tunjangan Jabatan ASN</v>
          </cell>
          <cell r="D525">
            <v>6885779180</v>
          </cell>
        </row>
        <row r="526">
          <cell r="C526" t="str">
            <v>Belanja Tunjangan Fungsional ASN</v>
          </cell>
          <cell r="D526">
            <v>27405559727</v>
          </cell>
        </row>
        <row r="527">
          <cell r="C527" t="str">
            <v>Belanja Tunjangan Fungsional Umum ASN</v>
          </cell>
          <cell r="D527">
            <v>16346666986</v>
          </cell>
        </row>
        <row r="528">
          <cell r="C528" t="str">
            <v>Belanja Tunjangan Beras ASN</v>
          </cell>
          <cell r="D528">
            <v>30884079422.5</v>
          </cell>
        </row>
        <row r="529">
          <cell r="C529" t="str">
            <v>Belanja Tunjangan PPh/Tunjangan Khusus ASN</v>
          </cell>
          <cell r="D529">
            <v>1398641580</v>
          </cell>
        </row>
        <row r="530">
          <cell r="C530" t="str">
            <v>Belanja Pembulatan Gaji ASN</v>
          </cell>
          <cell r="D530">
            <v>15648636.859999999</v>
          </cell>
        </row>
        <row r="531">
          <cell r="C531" t="str">
            <v>Belanja Iuran Jaminan Kesehatan ASN</v>
          </cell>
          <cell r="D531">
            <v>32524673880.02</v>
          </cell>
        </row>
        <row r="532">
          <cell r="C532" t="str">
            <v>Belanja Iuran Jaminan Kecelakaan Kerja ASN</v>
          </cell>
          <cell r="D532">
            <v>1285277816</v>
          </cell>
        </row>
        <row r="533">
          <cell r="C533" t="str">
            <v>Belanja Iuran Jaminan Kematian ASN</v>
          </cell>
          <cell r="D533">
            <v>3740509639.4000001</v>
          </cell>
        </row>
        <row r="534">
          <cell r="C534" t="str">
            <v>Belanja Iuran Simpanan Peserta Tabungan Perumahan Rakyat ASN</v>
          </cell>
          <cell r="D534">
            <v>272068289.69999999</v>
          </cell>
        </row>
        <row r="535">
          <cell r="C535" t="str">
            <v>Belanja Jaminan Hari Tua ASN</v>
          </cell>
          <cell r="D535">
            <v>0</v>
          </cell>
        </row>
        <row r="536">
          <cell r="C536" t="str">
            <v>Belanja Tunjangan Khusus*)</v>
          </cell>
          <cell r="D536">
            <v>0</v>
          </cell>
        </row>
        <row r="537">
          <cell r="C537" t="str">
            <v>Belanja Zakat ASN</v>
          </cell>
          <cell r="D537">
            <v>0</v>
          </cell>
        </row>
        <row r="538">
          <cell r="C538" t="str">
            <v>Belanja Tambahan Penghasilan ASN</v>
          </cell>
          <cell r="D538">
            <v>254281899959.56</v>
          </cell>
        </row>
        <row r="539">
          <cell r="C539" t="str">
            <v>Tambahan Penghasilan berdasarkan Beban Kerja ASN</v>
          </cell>
          <cell r="D539">
            <v>25610580000</v>
          </cell>
        </row>
        <row r="540">
          <cell r="C540" t="str">
            <v>Tambahan Penghasilan berdasarkan Tempat Bertugas ASN</v>
          </cell>
          <cell r="D540">
            <v>0</v>
          </cell>
        </row>
        <row r="541">
          <cell r="C541" t="str">
            <v>Tambahan Penghasilan berdasarkan Kondisi Kerja ASN</v>
          </cell>
          <cell r="D541">
            <v>23870400</v>
          </cell>
        </row>
        <row r="542">
          <cell r="C542" t="str">
            <v>Tambahan Penghasilan berdasarkan Kelangkaan Profesi ASN</v>
          </cell>
          <cell r="D542">
            <v>245006625</v>
          </cell>
        </row>
        <row r="543">
          <cell r="C543" t="str">
            <v>Tambahan Penghasilan berdasarkan Prestasi Kerja ASN</v>
          </cell>
          <cell r="D543">
            <v>30809142975</v>
          </cell>
        </row>
        <row r="544">
          <cell r="C544" t="str">
            <v>Tambahan Penghasilan berdasarkan Pertimbangan Objektif Lainnya ASN</v>
          </cell>
          <cell r="D544">
            <v>197593299959.56</v>
          </cell>
        </row>
        <row r="545">
          <cell r="C545" t="str">
            <v>Tambahan Penghasilan berdasarkan Pertimbangan Objektif Lainnya ASN</v>
          </cell>
          <cell r="D545">
            <v>0</v>
          </cell>
        </row>
        <row r="546">
          <cell r="C546" t="str">
            <v>Belanja Insentif bagi ASN atas Pemungutan Pajak Daerah</v>
          </cell>
          <cell r="D546">
            <v>0</v>
          </cell>
        </row>
        <row r="547">
          <cell r="C547" t="str">
            <v>Belanja bagi ASN atas Insentif Pemungutan Retribusi Daerah</v>
          </cell>
          <cell r="D547">
            <v>0</v>
          </cell>
        </row>
        <row r="548">
          <cell r="C548" t="str">
            <v>Belanja Tunjangan Profesi Guru (TPG) PNSD</v>
          </cell>
          <cell r="D548">
            <v>0</v>
          </cell>
        </row>
        <row r="549">
          <cell r="C549" t="str">
            <v>Belanja Tunjangan Khusus Guru (TKG) PNSD</v>
          </cell>
          <cell r="D549">
            <v>0</v>
          </cell>
        </row>
        <row r="550">
          <cell r="C550" t="str">
            <v>Belanja Tambahan Penghasilan (Tamsil) Guru PNSD</v>
          </cell>
          <cell r="D550">
            <v>0</v>
          </cell>
        </row>
        <row r="551">
          <cell r="C551" t="str">
            <v>Belanja Jasa Pelayanan Kesehatan bagi ASN</v>
          </cell>
          <cell r="D551">
            <v>0</v>
          </cell>
        </row>
        <row r="552">
          <cell r="C552" t="str">
            <v>Belanja Honorarium</v>
          </cell>
          <cell r="D552">
            <v>0</v>
          </cell>
        </row>
        <row r="553">
          <cell r="C553" t="str">
            <v>Belanja Jasa Pengelolaan BMD</v>
          </cell>
          <cell r="D553">
            <v>0</v>
          </cell>
        </row>
        <row r="554">
          <cell r="C554" t="str">
            <v>Belanja Tunjangan Profesi Guru (TPG) PPPK</v>
          </cell>
          <cell r="D554">
            <v>0</v>
          </cell>
        </row>
        <row r="555">
          <cell r="C555" t="str">
            <v>Belanja Tunjangan Khusus Guru (TKG) PPPK</v>
          </cell>
          <cell r="D555">
            <v>0</v>
          </cell>
        </row>
        <row r="556">
          <cell r="C556" t="str">
            <v>Belanja Tambahan Penghasilan (Tamsil) Guru PPPK</v>
          </cell>
          <cell r="D556">
            <v>0</v>
          </cell>
        </row>
        <row r="557">
          <cell r="C557" t="str">
            <v>Belanja Tunjangan Khusus bagi Penyelenggara Pelayanan Terpadu Satu Pintu (PTSP) Daerah</v>
          </cell>
          <cell r="D557">
            <v>0</v>
          </cell>
        </row>
        <row r="558">
          <cell r="C558" t="str">
            <v>Belanja Gaji dan Tunjangan DPRD</v>
          </cell>
          <cell r="D558">
            <v>22590498386</v>
          </cell>
        </row>
        <row r="559">
          <cell r="C559" t="str">
            <v>Belanja Uang Representasi DPRD</v>
          </cell>
          <cell r="D559">
            <v>1004010000</v>
          </cell>
        </row>
        <row r="560">
          <cell r="C560" t="str">
            <v>Belanja Tunjangan Keluarga DPRD</v>
          </cell>
          <cell r="D560">
            <v>140561400</v>
          </cell>
        </row>
        <row r="561">
          <cell r="C561" t="str">
            <v>Belanja Tunjangan Beras DPRD</v>
          </cell>
          <cell r="D561">
            <v>97297200</v>
          </cell>
        </row>
        <row r="562">
          <cell r="C562" t="str">
            <v>Belanja Uang Paket DPRD</v>
          </cell>
          <cell r="D562">
            <v>100401000</v>
          </cell>
        </row>
        <row r="563">
          <cell r="C563" t="str">
            <v>Belanja Tunjangan Jabatan DPRD</v>
          </cell>
          <cell r="D563">
            <v>1455814500</v>
          </cell>
        </row>
        <row r="564">
          <cell r="C564" t="str">
            <v>Belanja Tunjangan Alat Kelengkapan DPRD</v>
          </cell>
          <cell r="D564">
            <v>0</v>
          </cell>
        </row>
        <row r="565">
          <cell r="C565" t="str">
            <v>Belanja Tunjangan Alat Kelengkapan Lainnya DPRD</v>
          </cell>
          <cell r="D565">
            <v>179594100</v>
          </cell>
        </row>
        <row r="566">
          <cell r="C566" t="str">
            <v>Belanja Tunjangan Komunikasi Intensif Pimpinan dan Anggota DPRD</v>
          </cell>
          <cell r="D566">
            <v>5433750000</v>
          </cell>
        </row>
        <row r="567">
          <cell r="C567" t="str">
            <v>Belanja Tunjangan Reses DPRD</v>
          </cell>
          <cell r="D567">
            <v>1275750000</v>
          </cell>
        </row>
        <row r="568">
          <cell r="C568" t="str">
            <v>Belanja Pembebanan PPh kepada Pimpinan dan Anggota DPRD</v>
          </cell>
          <cell r="D568">
            <v>266361690</v>
          </cell>
        </row>
        <row r="569">
          <cell r="C569" t="str">
            <v>Belanja Pembulatan Gaji DPRD</v>
          </cell>
          <cell r="D569">
            <v>0</v>
          </cell>
        </row>
        <row r="570">
          <cell r="C570" t="str">
            <v>Belanja Tunjangan Kesejahteraan Pimpinan dan Anggota DPRD</v>
          </cell>
          <cell r="D570">
            <v>6079638496</v>
          </cell>
        </row>
        <row r="571">
          <cell r="C571" t="str">
            <v>Belanja Tunjangan Transportasi DPRD</v>
          </cell>
          <cell r="D571">
            <v>6092500000</v>
          </cell>
        </row>
        <row r="572">
          <cell r="C572" t="str">
            <v>Belanja Uang Jasa Pengabdian DPRD</v>
          </cell>
          <cell r="D572">
            <v>464820000</v>
          </cell>
        </row>
        <row r="573">
          <cell r="C573" t="str">
            <v>Belanja Gaji dan Tunjangan KDH/WKDH</v>
          </cell>
          <cell r="D573">
            <v>208731402</v>
          </cell>
        </row>
        <row r="574">
          <cell r="C574" t="str">
            <v>Belanja Gaji Pokok KDH/WKDH</v>
          </cell>
          <cell r="D574">
            <v>54600000</v>
          </cell>
        </row>
        <row r="575">
          <cell r="C575" t="str">
            <v>Belanja Tunjangan Keluarga KDH/WKDH</v>
          </cell>
          <cell r="D575">
            <v>7644000</v>
          </cell>
        </row>
        <row r="576">
          <cell r="C576" t="str">
            <v>Belanja Tunjangan Jabatan KDH/WKDH</v>
          </cell>
          <cell r="D576">
            <v>98280000</v>
          </cell>
        </row>
        <row r="577">
          <cell r="C577" t="str">
            <v>Belanja Tunjangan Beras KDH/WKDH</v>
          </cell>
          <cell r="D577">
            <v>41355002</v>
          </cell>
        </row>
        <row r="578">
          <cell r="C578" t="str">
            <v>Belanja Tunjangan PPh/Tunjangan Khusus KDH/WKDH</v>
          </cell>
          <cell r="D578">
            <v>840000</v>
          </cell>
        </row>
        <row r="579">
          <cell r="C579" t="str">
            <v>Belanja Pembulatan Gaji KDH/WKDH</v>
          </cell>
          <cell r="D579">
            <v>2800</v>
          </cell>
        </row>
        <row r="580">
          <cell r="C580" t="str">
            <v>Belanja Iuran Jaminan Kesehatan bagi KDH/WKDH</v>
          </cell>
          <cell r="D580">
            <v>5485440</v>
          </cell>
        </row>
        <row r="581">
          <cell r="C581" t="str">
            <v>Belanja Iuran Jaminan Kecelakaan Kerja KDH/WKDH</v>
          </cell>
          <cell r="D581">
            <v>131040</v>
          </cell>
        </row>
        <row r="582">
          <cell r="C582" t="str">
            <v>Belanja Iuran Jaminan Kematian KDH/WKDH</v>
          </cell>
          <cell r="D582">
            <v>393120</v>
          </cell>
        </row>
        <row r="583">
          <cell r="C583" t="str">
            <v>Belanja Insentif bagi KDH/WKDH atas Pemungutan Pajak Daerah</v>
          </cell>
          <cell r="D583">
            <v>0</v>
          </cell>
        </row>
        <row r="584">
          <cell r="C584" t="str">
            <v>Belanja Insentif bagi KDH/WKDH atas Pemungutan Retribusi Daerah bagi KDH/WKDH</v>
          </cell>
          <cell r="D584">
            <v>0</v>
          </cell>
        </row>
        <row r="585">
          <cell r="C585" t="str">
            <v>Belanja Jasa Pengelolaan BMD bagi KDH</v>
          </cell>
          <cell r="D585">
            <v>0</v>
          </cell>
        </row>
        <row r="586">
          <cell r="C586" t="str">
            <v>Belanja Penerimaan Lainnya Pimpinan DPRD serta KDH/WKDH</v>
          </cell>
          <cell r="D586">
            <v>852200000</v>
          </cell>
        </row>
        <row r="587">
          <cell r="C587" t="str">
            <v>Belanja Dana Operasional Pimpinan DPRD</v>
          </cell>
          <cell r="D587">
            <v>252200000</v>
          </cell>
        </row>
        <row r="588">
          <cell r="C588" t="str">
            <v>Belanja Dana Operasional KDH/WKDH</v>
          </cell>
          <cell r="D588">
            <v>600000000</v>
          </cell>
        </row>
        <row r="589">
          <cell r="C589" t="str">
            <v>Belanja Gaji dan Tunjangan MRP</v>
          </cell>
          <cell r="D589">
            <v>0</v>
          </cell>
        </row>
        <row r="590">
          <cell r="C590" t="str">
            <v>Belanja Uang Representasi MRP</v>
          </cell>
          <cell r="D590">
            <v>0</v>
          </cell>
        </row>
        <row r="591">
          <cell r="C591" t="str">
            <v>Belanja Tunjangan Keluarga MRP</v>
          </cell>
          <cell r="D591">
            <v>0</v>
          </cell>
        </row>
        <row r="592">
          <cell r="C592" t="str">
            <v>Belanja Tunjangan Beras MRP</v>
          </cell>
          <cell r="D592">
            <v>0</v>
          </cell>
        </row>
        <row r="593">
          <cell r="C593" t="str">
            <v>Belanja Uang Paket MRP</v>
          </cell>
          <cell r="D593">
            <v>0</v>
          </cell>
        </row>
        <row r="594">
          <cell r="C594" t="str">
            <v>Belanja Tunjangan Jabatan MRP</v>
          </cell>
          <cell r="D594">
            <v>0</v>
          </cell>
        </row>
        <row r="595">
          <cell r="C595" t="str">
            <v>Belanja Tunjangan Kelompok Kerja MRP</v>
          </cell>
          <cell r="D595">
            <v>0</v>
          </cell>
        </row>
        <row r="596">
          <cell r="C596" t="str">
            <v>Belanja Uang Penghargaan MRP</v>
          </cell>
          <cell r="D596">
            <v>0</v>
          </cell>
        </row>
        <row r="597">
          <cell r="C597" t="str">
            <v>Belanja Tunjangan Komunikasi Intensif MRP</v>
          </cell>
          <cell r="D597">
            <v>0</v>
          </cell>
        </row>
        <row r="598">
          <cell r="C598" t="str">
            <v>Belanja Tunjangan Transportasi MRP</v>
          </cell>
          <cell r="D598">
            <v>0</v>
          </cell>
        </row>
        <row r="599">
          <cell r="C599" t="str">
            <v>Belanja Pembebanan PPh kepada Pimpinan dan Anggota MRP</v>
          </cell>
          <cell r="D599">
            <v>0</v>
          </cell>
        </row>
        <row r="600">
          <cell r="C600" t="str">
            <v>Belanja Pembulatan Gaji MRP</v>
          </cell>
          <cell r="D600">
            <v>0</v>
          </cell>
        </row>
        <row r="601">
          <cell r="C601" t="str">
            <v>Belanja Tunjangan Kesejahteraan Pimpinan dan Anggota MRP</v>
          </cell>
          <cell r="D601">
            <v>0</v>
          </cell>
        </row>
        <row r="602">
          <cell r="C602" t="str">
            <v>Belanja Gaji dan Tunjangan Perangkat Lembaga Wali Nanggroe</v>
          </cell>
          <cell r="D602">
            <v>0</v>
          </cell>
        </row>
        <row r="603">
          <cell r="C603" t="str">
            <v>Belanja Gaji dan Tunjangan Wali Nanggroe</v>
          </cell>
          <cell r="D603">
            <v>0</v>
          </cell>
        </row>
        <row r="604">
          <cell r="C604" t="str">
            <v>Belanja Gaji dan Tunjangan Waliyul Ahdi</v>
          </cell>
          <cell r="D604">
            <v>0</v>
          </cell>
        </row>
        <row r="605">
          <cell r="C605" t="str">
            <v>Belanja Gaji dan Tunjangan Majelis Tinggi</v>
          </cell>
          <cell r="D605">
            <v>0</v>
          </cell>
        </row>
        <row r="606">
          <cell r="C606" t="str">
            <v>Belanja Gaji dan Tunjangan Majelis Fungsional</v>
          </cell>
          <cell r="D606">
            <v>0</v>
          </cell>
        </row>
        <row r="607">
          <cell r="C607" t="str">
            <v>Belanja Pegawai BOS</v>
          </cell>
          <cell r="D607">
            <v>0</v>
          </cell>
        </row>
        <row r="608">
          <cell r="C608" t="str">
            <v>Belanja Pegawai BOS</v>
          </cell>
          <cell r="D608">
            <v>0</v>
          </cell>
        </row>
        <row r="609">
          <cell r="C609" t="str">
            <v>Belanja Pegawai BOSP</v>
          </cell>
          <cell r="D609">
            <v>0</v>
          </cell>
        </row>
        <row r="610">
          <cell r="C610" t="str">
            <v>Belanja Pegawai BOSP-BOS</v>
          </cell>
          <cell r="D610">
            <v>0</v>
          </cell>
        </row>
        <row r="611">
          <cell r="C611" t="str">
            <v>Belanja Pegawai BOSP-BOP PAUD</v>
          </cell>
          <cell r="D611">
            <v>0</v>
          </cell>
        </row>
        <row r="612">
          <cell r="C612" t="str">
            <v>Belanja Pegawai BOSP-BOP Kesetaraan</v>
          </cell>
          <cell r="D612">
            <v>0</v>
          </cell>
        </row>
        <row r="613">
          <cell r="C613" t="str">
            <v>Belanja Pegawai BLUD</v>
          </cell>
          <cell r="D613">
            <v>69270506123</v>
          </cell>
        </row>
        <row r="614">
          <cell r="C614" t="str">
            <v>Belanja Pegawai BLUD</v>
          </cell>
          <cell r="D614">
            <v>69270506123</v>
          </cell>
        </row>
        <row r="615">
          <cell r="C615" t="str">
            <v>Belanja Barang dan Jasa</v>
          </cell>
          <cell r="D615">
            <v>505098630353</v>
          </cell>
        </row>
        <row r="616">
          <cell r="C616" t="str">
            <v>Belanja Barang</v>
          </cell>
          <cell r="D616">
            <v>176582013504</v>
          </cell>
        </row>
        <row r="617">
          <cell r="C617" t="str">
            <v>Belanja Barang Pakai Habis</v>
          </cell>
          <cell r="D617">
            <v>176525733504</v>
          </cell>
        </row>
        <row r="618">
          <cell r="C618" t="str">
            <v>Belanja Barang Tak Habis Pakai</v>
          </cell>
          <cell r="D618">
            <v>385000</v>
          </cell>
        </row>
        <row r="619">
          <cell r="C619" t="str">
            <v>Belanja Barang Bekas Dipakai</v>
          </cell>
          <cell r="D619">
            <v>0</v>
          </cell>
        </row>
        <row r="620">
          <cell r="C620" t="str">
            <v>Belanja Aset Tetap yang Tidak Memenuhi Kriteria Kapitalisasi</v>
          </cell>
          <cell r="D620">
            <v>55895000</v>
          </cell>
        </row>
        <row r="621">
          <cell r="C621" t="str">
            <v>Belanja Jasa</v>
          </cell>
          <cell r="D621">
            <v>165313828914</v>
          </cell>
        </row>
        <row r="622">
          <cell r="C622" t="str">
            <v>Belanja Jasa Kantor</v>
          </cell>
          <cell r="D622">
            <v>87574772991</v>
          </cell>
        </row>
        <row r="623">
          <cell r="C623" t="str">
            <v>Belanja Iuran Jaminan/Asuransi</v>
          </cell>
          <cell r="D623">
            <v>54078932902</v>
          </cell>
        </row>
        <row r="624">
          <cell r="C624" t="str">
            <v>Belanja Sewa Tanah</v>
          </cell>
          <cell r="D624">
            <v>0</v>
          </cell>
        </row>
        <row r="625">
          <cell r="C625" t="str">
            <v>Belanja Sewa Peralatan dan Mesin</v>
          </cell>
          <cell r="D625">
            <v>3123985200</v>
          </cell>
        </row>
        <row r="626">
          <cell r="C626" t="str">
            <v>Belanja Sewa Gedung dan Bangunan</v>
          </cell>
          <cell r="D626">
            <v>914160000</v>
          </cell>
        </row>
        <row r="627">
          <cell r="C627" t="str">
            <v>Belanja Sewa Jalan, Jaringan dan Irigasi</v>
          </cell>
          <cell r="D627">
            <v>0</v>
          </cell>
        </row>
        <row r="628">
          <cell r="C628" t="str">
            <v>Belanja Sewa Aset Tetap Lainnya</v>
          </cell>
          <cell r="D628">
            <v>1500000</v>
          </cell>
        </row>
        <row r="629">
          <cell r="C629" t="str">
            <v>Belanja Jasa Konsultansi Konstruksi</v>
          </cell>
          <cell r="D629">
            <v>6576742310</v>
          </cell>
        </row>
        <row r="630">
          <cell r="C630" t="str">
            <v>Belanja Jasa Konsultansi Non Konstruksi</v>
          </cell>
          <cell r="D630">
            <v>0</v>
          </cell>
        </row>
        <row r="631">
          <cell r="C631" t="str">
            <v>Belanja Jasa Ketersediaan Layanan (Availibility Payment)</v>
          </cell>
          <cell r="D631">
            <v>420000000</v>
          </cell>
        </row>
        <row r="632">
          <cell r="C632" t="str">
            <v>Belanja Beasiswa Pendidikan PNS</v>
          </cell>
          <cell r="D632">
            <v>55000000</v>
          </cell>
        </row>
        <row r="633">
          <cell r="C633" t="str">
            <v>Belanja Kursus/Pelatihan, Sosialisasi, Bimbingan Teknis serta Pendidikan dan Pelatihan</v>
          </cell>
          <cell r="D633">
            <v>12418584511</v>
          </cell>
        </row>
        <row r="634">
          <cell r="C634" t="str">
            <v>Belanja Jasa Insentif bagi Pegawai Non ASN atas Pemungutan Pajak Daerah</v>
          </cell>
          <cell r="D634">
            <v>150151000</v>
          </cell>
        </row>
        <row r="635">
          <cell r="C635" t="str">
            <v>Belanja Jasa Insentif bagi Pegawai Non ASN atas Pemungutan Retribusi Daerah</v>
          </cell>
          <cell r="D635">
            <v>0</v>
          </cell>
        </row>
        <row r="636">
          <cell r="C636" t="str">
            <v>Belanja Sewa Aset Tidak Berwujud</v>
          </cell>
          <cell r="D636">
            <v>0</v>
          </cell>
        </row>
        <row r="637">
          <cell r="C637" t="str">
            <v>Belanja Gaji dan Tunjangan Perangkat Lembaga Wali Nanggroe</v>
          </cell>
          <cell r="D637">
            <v>0</v>
          </cell>
        </row>
        <row r="638">
          <cell r="C638" t="str">
            <v>Belanja Jasa Kerja Sama Pemungutan Pajak Daerah</v>
          </cell>
          <cell r="D638">
            <v>0</v>
          </cell>
        </row>
        <row r="639">
          <cell r="C639" t="str">
            <v>Belanja Jasa Kerja Sama Pemungutan Retribusi Daerah</v>
          </cell>
          <cell r="D639">
            <v>0</v>
          </cell>
        </row>
        <row r="640">
          <cell r="C640" t="str">
            <v>Belanja Jasa Pelayanan Kesehatan bagi ASN</v>
          </cell>
          <cell r="D640">
            <v>0</v>
          </cell>
        </row>
        <row r="641">
          <cell r="C641" t="str">
            <v>Belanja Pemeliharaan</v>
          </cell>
          <cell r="D641">
            <v>4961546800</v>
          </cell>
        </row>
        <row r="642">
          <cell r="C642" t="str">
            <v>Belanja Pemeliharaan Tanah</v>
          </cell>
          <cell r="D642">
            <v>0</v>
          </cell>
        </row>
        <row r="643">
          <cell r="C643" t="str">
            <v>Belanja Pemeliharaan Peralatan dan Mesin</v>
          </cell>
          <cell r="D643">
            <v>1479523000</v>
          </cell>
        </row>
        <row r="644">
          <cell r="C644" t="str">
            <v>Belanja Pemeliharaan Gedung dan Bangunan</v>
          </cell>
          <cell r="D644">
            <v>3281853800</v>
          </cell>
        </row>
        <row r="645">
          <cell r="C645" t="str">
            <v>Belanja Pemeliharaan Jalan, Jaringan, dan Irigasi</v>
          </cell>
          <cell r="D645">
            <v>200170000</v>
          </cell>
        </row>
        <row r="646">
          <cell r="C646" t="str">
            <v>Belanja Pemeliharaan Aset Tetap Lainnya</v>
          </cell>
          <cell r="D646">
            <v>0</v>
          </cell>
        </row>
        <row r="647">
          <cell r="C647" t="str">
            <v>Belanja Pemeliharaan Aset Tidak Berwujud</v>
          </cell>
          <cell r="D647">
            <v>0</v>
          </cell>
        </row>
        <row r="648">
          <cell r="C648" t="str">
            <v>Belanja Perjalanan Dinas</v>
          </cell>
          <cell r="D648">
            <v>27492525292</v>
          </cell>
        </row>
        <row r="649">
          <cell r="C649" t="str">
            <v>Belanja Perjalanan Dinas Dalam Negeri</v>
          </cell>
          <cell r="D649">
            <v>27492525292</v>
          </cell>
        </row>
        <row r="650">
          <cell r="C650" t="str">
            <v>Belanja Perjalanan Dinas Luar Negeri</v>
          </cell>
          <cell r="D650">
            <v>0</v>
          </cell>
        </row>
        <row r="651">
          <cell r="C651" t="str">
            <v>Belanja Uang dan/atau Jasa untuk Diberikan kepada Pihak Ketiga/Pihak Lain/Masyarakat</v>
          </cell>
          <cell r="D651">
            <v>9282164900</v>
          </cell>
        </row>
        <row r="652">
          <cell r="C652" t="str">
            <v>Belanja Uang yang Diberikan kepada Pihak Ketiga/Pihak Lain/Masyarakat</v>
          </cell>
          <cell r="D652">
            <v>2325900000</v>
          </cell>
        </row>
        <row r="653">
          <cell r="C653" t="str">
            <v>Belanja Jasa yang Diberikan kepada Pihak Ketiga/Pihak Lain/Masyarakat</v>
          </cell>
          <cell r="D653">
            <v>6956264900</v>
          </cell>
        </row>
        <row r="654">
          <cell r="C654" t="str">
            <v>Belanja Penunjang Otonomi Khusus*)</v>
          </cell>
          <cell r="D654">
            <v>0</v>
          </cell>
        </row>
        <row r="655">
          <cell r="C655" t="str">
            <v>Belanja Penunjang Otonomi Khusus*)</v>
          </cell>
          <cell r="D655">
            <v>0</v>
          </cell>
        </row>
        <row r="656">
          <cell r="C656" t="str">
            <v>Belanja Barang dan Jasa BOS</v>
          </cell>
          <cell r="D656">
            <v>0</v>
          </cell>
        </row>
        <row r="657">
          <cell r="C657" t="str">
            <v>Belanja Barang dan Jasa BOS</v>
          </cell>
          <cell r="D657">
            <v>0</v>
          </cell>
        </row>
        <row r="658">
          <cell r="C658" t="str">
            <v>Belanja Barang dan Jasa BOSP</v>
          </cell>
          <cell r="D658">
            <v>52656906181</v>
          </cell>
        </row>
        <row r="659">
          <cell r="C659" t="str">
            <v>Belanja Barang dan Jasa BOSP-BOS</v>
          </cell>
          <cell r="D659">
            <v>51971136281</v>
          </cell>
        </row>
        <row r="660">
          <cell r="C660" t="str">
            <v>Belanja Barang dan Jasa BOSP-BOP PAUD</v>
          </cell>
          <cell r="D660">
            <v>601339900</v>
          </cell>
        </row>
        <row r="661">
          <cell r="C661" t="str">
            <v>Belanja Barang dan Jasa BOSP-BOP Kesetaraan</v>
          </cell>
          <cell r="D661">
            <v>84430000</v>
          </cell>
        </row>
        <row r="662">
          <cell r="C662" t="str">
            <v>Belanja Barang dan Jasa BOK Puskesmas</v>
          </cell>
          <cell r="D662">
            <v>0</v>
          </cell>
        </row>
        <row r="663">
          <cell r="C663" t="str">
            <v>Belanja Barang dan Jasa BOK Puskesmas</v>
          </cell>
          <cell r="D663">
            <v>0</v>
          </cell>
        </row>
        <row r="664">
          <cell r="C664" t="str">
            <v>Belanja Barang dan Jasa BLUD</v>
          </cell>
          <cell r="D664">
            <v>68809644762</v>
          </cell>
        </row>
        <row r="665">
          <cell r="C665" t="str">
            <v>Belanja Barang dan Jasa BLUD</v>
          </cell>
          <cell r="D665">
            <v>68809644762</v>
          </cell>
        </row>
        <row r="666">
          <cell r="C666" t="str">
            <v>Belanja Bunga</v>
          </cell>
          <cell r="D666">
            <v>0</v>
          </cell>
        </row>
        <row r="667">
          <cell r="C667" t="str">
            <v>Belanja Bunga Utang Pinjaman kepada Pemerintah Pusat</v>
          </cell>
          <cell r="D667">
            <v>0</v>
          </cell>
        </row>
        <row r="668">
          <cell r="C668" t="str">
            <v>Belanja Bunga Utang Pinjaman kepada Pemerintah Pusat atas Penerusan Pinjaman Dalam Negeri-Jangka Menengah</v>
          </cell>
          <cell r="D668">
            <v>0</v>
          </cell>
        </row>
        <row r="669">
          <cell r="C669" t="str">
            <v>Belanja Bunga Utang Pinjaman kepada Pemerintah Pusat atas Penerusan Pinjaman Dalam Negeri-Jangka Panjang</v>
          </cell>
          <cell r="D669">
            <v>0</v>
          </cell>
        </row>
        <row r="670">
          <cell r="C670" t="str">
            <v>Belanja Bunga Utang Pinjaman kepada Pemerintah Pusat atas Penerusan Pinjaman Luar Negeri-Jangka Menengah</v>
          </cell>
          <cell r="D670">
            <v>0</v>
          </cell>
        </row>
        <row r="671">
          <cell r="C671" t="str">
            <v>Belanja Bunga Utang Pinjaman kepada Pemerintah Pusat atas Penerusan Pinjaman Luar Negeri-Jangka Panjang</v>
          </cell>
          <cell r="D671">
            <v>0</v>
          </cell>
        </row>
        <row r="672">
          <cell r="C672" t="str">
            <v>Belanja Bunga Utang Pinjaman Sumber Lainnya sesuai Ketentuan Peraturan Perundang-Undangan-Jangka Menengah</v>
          </cell>
          <cell r="D672">
            <v>0</v>
          </cell>
        </row>
        <row r="673">
          <cell r="C673" t="str">
            <v>Belanja Bunga Utang Pinjaman Sumber Lainnya sesuai Ketentuan Peraturan Perundang-Undangan-Jangka Panjang</v>
          </cell>
          <cell r="D673">
            <v>0</v>
          </cell>
        </row>
        <row r="674">
          <cell r="C674" t="str">
            <v>Belanja Bunga Utang Pinjaman kepada Pemerintah Daerah Lain</v>
          </cell>
          <cell r="D674">
            <v>0</v>
          </cell>
        </row>
        <row r="675">
          <cell r="C675" t="str">
            <v>Belanja Bunga Utang Pinjaman kepada Pemerintah Daerah-Jangka Pendek</v>
          </cell>
          <cell r="D675">
            <v>0</v>
          </cell>
        </row>
        <row r="676">
          <cell r="C676" t="str">
            <v>Belanja Bunga Utang Pinjaman kepada Lembaga Keuangan Bank (LKB)</v>
          </cell>
          <cell r="D676">
            <v>0</v>
          </cell>
        </row>
        <row r="677">
          <cell r="C677" t="str">
            <v>Belanja Bunga Utang Pinjaman kepada Lembaga Keuangan Bank (LKB)-BUMN-Jangka Pendek</v>
          </cell>
          <cell r="D677">
            <v>0</v>
          </cell>
        </row>
        <row r="678">
          <cell r="C678" t="str">
            <v>Belanja Bunga Utang Pinjaman kepada Lembaga Keuangan Bank (LKB)-BUMN-Jangka Menengah</v>
          </cell>
          <cell r="D678">
            <v>0</v>
          </cell>
        </row>
        <row r="679">
          <cell r="C679" t="str">
            <v>Belanja Bunga Utang Pinjaman kepada Lembaga Keuangan Bank (LKB)-BUMN-Jangka Panjang</v>
          </cell>
          <cell r="D679">
            <v>0</v>
          </cell>
        </row>
        <row r="680">
          <cell r="C680" t="str">
            <v>Belanja Bunga Utang Pinjaman kepada Lembaga Keuangan Bank (LKB)-BUMD-Jangka Pendek</v>
          </cell>
          <cell r="D680">
            <v>0</v>
          </cell>
        </row>
        <row r="681">
          <cell r="C681" t="str">
            <v>Belanja Bunga Utang Pinjaman kepada Lembaga Keuangan Bank (LKB)-BUMD-Jangka Menengah</v>
          </cell>
          <cell r="D681">
            <v>0</v>
          </cell>
        </row>
        <row r="682">
          <cell r="C682" t="str">
            <v>Belanja Bunga Utang Pinjaman kepada Lembaga Keuangan Bank (LKB)-BUMD-Jangka Panjang</v>
          </cell>
          <cell r="D682">
            <v>0</v>
          </cell>
        </row>
        <row r="683">
          <cell r="C683" t="str">
            <v>Belanja Bunga Utang Pinjaman kepada Lembaga Keuangan Bank (LKB)-Swasta-Jangka Pendek</v>
          </cell>
          <cell r="D683">
            <v>0</v>
          </cell>
        </row>
        <row r="684">
          <cell r="C684" t="str">
            <v>Belanja Bunga Utang Pinjaman kepada Lembaga Keuangan Bank (LKB)-Swasta-Jangka Menengah</v>
          </cell>
          <cell r="D684">
            <v>0</v>
          </cell>
        </row>
        <row r="685">
          <cell r="C685" t="str">
            <v>Belanja Bunga Utang Pinjaman kepada Lembaga Keuangan Bank (LKB)-Swasta-Jangka Panjang</v>
          </cell>
          <cell r="D685">
            <v>0</v>
          </cell>
        </row>
        <row r="686">
          <cell r="C686" t="str">
            <v>Belanja Bunga Utang Pinjaman kepada Lembaga Keuangan Bukan Bank (LKBB)</v>
          </cell>
          <cell r="D686">
            <v>0</v>
          </cell>
        </row>
        <row r="687">
          <cell r="C687" t="str">
            <v>Belanja Bunga Utang Pinjaman kepada Lembaga Keuangan Bukan Bank (LKBB)-BUMN-Jangka Pendek</v>
          </cell>
          <cell r="D687">
            <v>0</v>
          </cell>
        </row>
        <row r="688">
          <cell r="C688" t="str">
            <v>Belanja Bunga Utang Pinjaman kepada Lembaga Keuangan Bukan Bank (LKBB)-BUMN-Jangka Menengah</v>
          </cell>
          <cell r="D688">
            <v>0</v>
          </cell>
        </row>
        <row r="689">
          <cell r="C689" t="str">
            <v>Belanja Bunga Utang Pinjaman kepada Lembaga Keuangan Bukan Bank (LKBB)-BUMN-Jangka Panjang</v>
          </cell>
          <cell r="D689">
            <v>0</v>
          </cell>
        </row>
        <row r="690">
          <cell r="C690" t="str">
            <v>Belanja Bunga Utang Pinjaman kepada Lembaga Keuangan Bukan Bank (LKBB)-BUMD-Jangka Pendek</v>
          </cell>
          <cell r="D690">
            <v>0</v>
          </cell>
        </row>
        <row r="691">
          <cell r="C691" t="str">
            <v>Belanja Bunga Utang Pinjaman kepada Lembaga Keuangan Bukan Bank (LKBB)-BUMD-Jangka Menengah</v>
          </cell>
          <cell r="D691">
            <v>0</v>
          </cell>
        </row>
        <row r="692">
          <cell r="C692" t="str">
            <v>Belanja Bunga Utang Pinjaman kepada Lembaga Keuangan Bukan Bank (LKBB)-BUMD-Jangka Panjang</v>
          </cell>
          <cell r="D692">
            <v>0</v>
          </cell>
        </row>
        <row r="693">
          <cell r="C693" t="str">
            <v>Belanja Bunga Utang Pinjaman kepada Lembaga Keuangan Bukan Bank (LKBB)-Swasta-Jangka Pendek</v>
          </cell>
          <cell r="D693">
            <v>0</v>
          </cell>
        </row>
        <row r="694">
          <cell r="C694" t="str">
            <v>Belanja Bunga Utang Pinjaman kepada Lembaga Keuangan Bukan Bank (LKBB)-Swasta-Jangka Menengah</v>
          </cell>
          <cell r="D694">
            <v>0</v>
          </cell>
        </row>
        <row r="695">
          <cell r="C695" t="str">
            <v>Belanja Bunga Utang Pinjaman kepada Lembaga Keuangan Bukan Bank (LKBB)-Swasta-Jangka Panjang</v>
          </cell>
          <cell r="D695">
            <v>0</v>
          </cell>
        </row>
        <row r="696">
          <cell r="C696" t="str">
            <v>Belanja Bunga Utang Kepada Masyarakat (Obligasi)</v>
          </cell>
          <cell r="D696">
            <v>0</v>
          </cell>
        </row>
        <row r="697">
          <cell r="C697" t="str">
            <v>Belanja Bunga Utang Kepada Masyarakat (Obligasi)</v>
          </cell>
          <cell r="D697">
            <v>0</v>
          </cell>
        </row>
        <row r="698">
          <cell r="C698" t="str">
            <v>Belanja Bunga Utang Pinjaman melalui BLUD</v>
          </cell>
          <cell r="D698">
            <v>0</v>
          </cell>
        </row>
        <row r="699">
          <cell r="C699" t="str">
            <v>Belanja Bunga Utang Pinjaman melalui BLUD-Jangka Pendek</v>
          </cell>
          <cell r="D699">
            <v>0</v>
          </cell>
        </row>
        <row r="700">
          <cell r="C700" t="str">
            <v>Belanja Bunga Utang Pinjaman melalui BLUD-Jangka Menengah</v>
          </cell>
          <cell r="D700">
            <v>0</v>
          </cell>
        </row>
        <row r="701">
          <cell r="C701" t="str">
            <v>Belanja Bunga Utang Pinjaman melalui BLUD-Jangka Panjang</v>
          </cell>
          <cell r="D701">
            <v>0</v>
          </cell>
        </row>
        <row r="702">
          <cell r="C702" t="str">
            <v>Belanja Bunga Pembiayaan Utang Daerah-Pinjaman Daerah</v>
          </cell>
          <cell r="D702">
            <v>0</v>
          </cell>
        </row>
        <row r="703">
          <cell r="C703" t="str">
            <v>Belanja Bunga Pinjaman Daerah dari Pemerintah</v>
          </cell>
          <cell r="D703">
            <v>0</v>
          </cell>
        </row>
        <row r="704">
          <cell r="C704" t="str">
            <v>Belanja Bunga Pinjaman Daerah dari Pemerintah Daerah Lain</v>
          </cell>
          <cell r="D704">
            <v>0</v>
          </cell>
        </row>
        <row r="705">
          <cell r="C705" t="str">
            <v>Belanja Bunga Pinjaman Daerah dari Lembaga Keuangan Bank (LKB)</v>
          </cell>
          <cell r="D705">
            <v>0</v>
          </cell>
        </row>
        <row r="706">
          <cell r="C706" t="str">
            <v>Belanja Bunga Pinjaman Daerah dari Lembaga Keuangan Bukan Bank (LKBB)</v>
          </cell>
          <cell r="D706">
            <v>0</v>
          </cell>
        </row>
        <row r="707">
          <cell r="C707" t="str">
            <v>Belanja Bunga Pembiayaan Utang Daerah-Obligasi Daerah</v>
          </cell>
          <cell r="D707">
            <v>0</v>
          </cell>
        </row>
        <row r="708">
          <cell r="C708" t="str">
            <v>Belanja Bunga Obligasi Daerah</v>
          </cell>
          <cell r="D708">
            <v>0</v>
          </cell>
        </row>
        <row r="709">
          <cell r="C709" t="str">
            <v>Belanja Subsidi</v>
          </cell>
          <cell r="D709">
            <v>0</v>
          </cell>
        </row>
        <row r="710">
          <cell r="C710" t="str">
            <v>Belanja Subsidi kepada BUMN</v>
          </cell>
          <cell r="D710">
            <v>0</v>
          </cell>
        </row>
        <row r="711">
          <cell r="C711" t="str">
            <v>Belanja Subsidi kepada BUMN</v>
          </cell>
          <cell r="D711">
            <v>0</v>
          </cell>
        </row>
        <row r="712">
          <cell r="C712" t="str">
            <v>Belanja Subsidi kepada BUMD</v>
          </cell>
          <cell r="D712">
            <v>0</v>
          </cell>
        </row>
        <row r="713">
          <cell r="C713" t="str">
            <v>Belanja Subsidi kepada BUMD</v>
          </cell>
          <cell r="D713">
            <v>0</v>
          </cell>
        </row>
        <row r="714">
          <cell r="C714" t="str">
            <v>Belanja Subsidi kepada Badan Usaha Milik Swasta</v>
          </cell>
          <cell r="D714">
            <v>0</v>
          </cell>
        </row>
        <row r="715">
          <cell r="C715" t="str">
            <v>Belanja Subsidi kepada Badan Usaha Milik Swasta</v>
          </cell>
          <cell r="D715">
            <v>0</v>
          </cell>
        </row>
        <row r="716">
          <cell r="C716" t="str">
            <v>Belanja Subsidi kepada Koperasi</v>
          </cell>
          <cell r="D716">
            <v>0</v>
          </cell>
        </row>
        <row r="717">
          <cell r="C717" t="str">
            <v>Belanja Subsidi kepada Koperasi</v>
          </cell>
          <cell r="D717">
            <v>0</v>
          </cell>
        </row>
        <row r="718">
          <cell r="C718" t="str">
            <v>Belanja Hibah</v>
          </cell>
          <cell r="D718">
            <v>31499210000</v>
          </cell>
        </row>
        <row r="719">
          <cell r="C719" t="str">
            <v>Belanja Hibah kepada Pemerintah Pusat</v>
          </cell>
          <cell r="D719">
            <v>100000000</v>
          </cell>
        </row>
        <row r="720">
          <cell r="C720" t="str">
            <v>Belanja Hibah Uang kepada Pemerintah Pusat</v>
          </cell>
          <cell r="D720">
            <v>100000000</v>
          </cell>
        </row>
        <row r="721">
          <cell r="C721" t="str">
            <v>Belanja Hibah Barang kepada Pemerintah Pusat</v>
          </cell>
          <cell r="D721">
            <v>0</v>
          </cell>
        </row>
        <row r="722">
          <cell r="C722" t="str">
            <v>Belanja Hibah Jasa kepada Pemerintah Pusat</v>
          </cell>
          <cell r="D722">
            <v>0</v>
          </cell>
        </row>
        <row r="723">
          <cell r="C723" t="str">
            <v>Belanja Hibah kepada Pemerintah Daerah Lainnya</v>
          </cell>
          <cell r="D723">
            <v>0</v>
          </cell>
        </row>
        <row r="724">
          <cell r="C724" t="str">
            <v>Belanja Hibah Uang kepada Pemerintah Daerah Lainnya</v>
          </cell>
          <cell r="D724">
            <v>0</v>
          </cell>
        </row>
        <row r="725">
          <cell r="C725" t="str">
            <v>Belanja Hibah Barang kepada Pemerintah Daerah Lainnya</v>
          </cell>
          <cell r="D725">
            <v>0</v>
          </cell>
        </row>
        <row r="726">
          <cell r="C726" t="str">
            <v>Belanja Hibah Jasa kepada Pemerintah Daerah Lainnya</v>
          </cell>
          <cell r="D726">
            <v>0</v>
          </cell>
        </row>
        <row r="727">
          <cell r="C727" t="str">
            <v>Belanja Hibah kepada BUMN</v>
          </cell>
          <cell r="D727">
            <v>0</v>
          </cell>
        </row>
        <row r="728">
          <cell r="C728" t="str">
            <v>Belanja Hibah Uang kepada BUMN</v>
          </cell>
          <cell r="D728">
            <v>0</v>
          </cell>
        </row>
        <row r="729">
          <cell r="C729" t="str">
            <v>Belanja Hibah Barang kepada BUMN</v>
          </cell>
          <cell r="D729">
            <v>0</v>
          </cell>
        </row>
        <row r="730">
          <cell r="C730" t="str">
            <v>Belanja Hibah Jasa kepada BUMN</v>
          </cell>
          <cell r="D730">
            <v>0</v>
          </cell>
        </row>
        <row r="731">
          <cell r="C731" t="str">
            <v>Belanja Hibah kepada BUMD</v>
          </cell>
          <cell r="D731">
            <v>0</v>
          </cell>
        </row>
        <row r="732">
          <cell r="C732" t="str">
            <v>Belanja Hibah Uang kepada BUMD</v>
          </cell>
          <cell r="D732">
            <v>0</v>
          </cell>
        </row>
        <row r="733">
          <cell r="C733" t="str">
            <v>Belanja Hibah Barang kepada BUMD</v>
          </cell>
          <cell r="D733">
            <v>0</v>
          </cell>
        </row>
        <row r="734">
          <cell r="C734" t="str">
            <v>Belanja Hibah Jasa kepada BUMD</v>
          </cell>
          <cell r="D734">
            <v>0</v>
          </cell>
        </row>
        <row r="735">
          <cell r="C735" t="str">
            <v>Belanja Hibah kepada Badan, Lembaga, Organisasi Kemasyarakatan yang Berbadan Hukum Indonesia</v>
          </cell>
          <cell r="D735">
            <v>9817000000</v>
          </cell>
        </row>
        <row r="736">
          <cell r="C736" t="str">
            <v>Belanja Hibah kepada Badan dan Lembaga yang Bersifat Nirlaba, Sukarela dan Sosial yang Dibentuk Berdasarkan Peraturan Perundang-Undangan</v>
          </cell>
          <cell r="D736">
            <v>1523000000</v>
          </cell>
        </row>
        <row r="737">
          <cell r="C737" t="str">
            <v>Belanja Hibah kepada Badan dan Lembaga Nirlaba, Sukarela dan Sosial yang Telah Memiliki Surat Keterangan Terdaftar</v>
          </cell>
          <cell r="D737">
            <v>7374000000</v>
          </cell>
        </row>
        <row r="738">
          <cell r="C738" t="str">
            <v>Belanja Hibah kepada Badan dan Lembaga Nirlaba, Sukarela Bersifat Sosial Kemasyarakatan</v>
          </cell>
          <cell r="D738">
            <v>820000000</v>
          </cell>
        </row>
        <row r="739">
          <cell r="C739" t="str">
            <v>Belanja Hibah kepada Koperasi</v>
          </cell>
          <cell r="D739">
            <v>100000000</v>
          </cell>
        </row>
        <row r="740">
          <cell r="C740" t="str">
            <v>Belanja Hibah kepada Usaha Mikro dan Usaha Kecil</v>
          </cell>
          <cell r="D740">
            <v>0</v>
          </cell>
        </row>
        <row r="741">
          <cell r="C741" t="str">
            <v>Belanja Hibah kepada Organisasi Kemasyarakatan yang Berbadan Hukum Indonesia</v>
          </cell>
          <cell r="D741">
            <v>0</v>
          </cell>
        </row>
        <row r="742">
          <cell r="C742" t="str">
            <v>Belanja Hibah Dana BOS</v>
          </cell>
          <cell r="D742">
            <v>0</v>
          </cell>
        </row>
        <row r="743">
          <cell r="C743" t="str">
            <v>Belanja Hibah Uang Dana BOS yang Diterima oleh Satdikdas Negeri</v>
          </cell>
          <cell r="D743">
            <v>0</v>
          </cell>
        </row>
        <row r="744">
          <cell r="C744" t="str">
            <v>Belanja Hibah Uang Dana BOS yang Diterima oleh Satdikdas Swasta</v>
          </cell>
          <cell r="D744">
            <v>0</v>
          </cell>
        </row>
        <row r="745">
          <cell r="C745" t="str">
            <v>Belanja Hibah Uang Dana BOS yang Diterima oleh Satdikmen Swasta</v>
          </cell>
          <cell r="D745">
            <v>0</v>
          </cell>
        </row>
        <row r="746">
          <cell r="C746" t="str">
            <v>Belanja Hibah Uang Dana BOS yang Diterima oleh Satdiksus Swasta</v>
          </cell>
          <cell r="D746">
            <v>0</v>
          </cell>
        </row>
        <row r="747">
          <cell r="C747" t="str">
            <v>Belanja Hibah Bantuan Keuangan kepada Partai Politik</v>
          </cell>
          <cell r="D747">
            <v>898749000</v>
          </cell>
        </row>
        <row r="748">
          <cell r="C748" t="str">
            <v>Belanja Hibah Bantuan Keuangan kepada Partai Politik</v>
          </cell>
          <cell r="D748">
            <v>898749000</v>
          </cell>
        </row>
        <row r="749">
          <cell r="C749" t="str">
            <v>Belanja Hibah Dana BOSP</v>
          </cell>
          <cell r="D749">
            <v>20683461000</v>
          </cell>
        </row>
        <row r="750">
          <cell r="C750" t="str">
            <v>Belanja Hibah Dana BOSP-BOS</v>
          </cell>
          <cell r="D750">
            <v>2644760000</v>
          </cell>
        </row>
        <row r="751">
          <cell r="C751" t="str">
            <v>Belanja Hibah Dana BOSP-BOP PAUD</v>
          </cell>
          <cell r="D751">
            <v>15060891000</v>
          </cell>
        </row>
        <row r="752">
          <cell r="C752" t="str">
            <v>Belanja Hibah Dana BOSP-BOP Kesetaraan</v>
          </cell>
          <cell r="D752">
            <v>2977810000</v>
          </cell>
        </row>
        <row r="753">
          <cell r="C753" t="str">
            <v>Belanja Hibah kepada BUMDesa</v>
          </cell>
          <cell r="D753">
            <v>0</v>
          </cell>
        </row>
        <row r="754">
          <cell r="C754" t="str">
            <v>Belanja Hibah Uang kepada BUMDesa</v>
          </cell>
          <cell r="D754">
            <v>0</v>
          </cell>
        </row>
        <row r="755">
          <cell r="C755" t="str">
            <v>Belanja Hibah Barang kepada BUMDesa</v>
          </cell>
          <cell r="D755">
            <v>0</v>
          </cell>
        </row>
        <row r="756">
          <cell r="C756" t="str">
            <v>Belanja Hibah Jasa kepada BUMDesa</v>
          </cell>
          <cell r="D756">
            <v>0</v>
          </cell>
        </row>
        <row r="757">
          <cell r="C757" t="str">
            <v>Belanja Hibah kepada Koperasi</v>
          </cell>
          <cell r="D757">
            <v>0</v>
          </cell>
        </row>
        <row r="758">
          <cell r="C758" t="str">
            <v>Belanja Hibah Uang kepada Koperasi</v>
          </cell>
          <cell r="D758">
            <v>0</v>
          </cell>
        </row>
        <row r="759">
          <cell r="C759" t="str">
            <v>Belanja Hibah Barang kepada Koperasi</v>
          </cell>
          <cell r="D759">
            <v>0</v>
          </cell>
        </row>
        <row r="760">
          <cell r="C760" t="str">
            <v>Belanja Hibah Jasa kepada Koperasi</v>
          </cell>
          <cell r="D760">
            <v>0</v>
          </cell>
        </row>
        <row r="761">
          <cell r="C761" t="str">
            <v>Belanja Bantuan Sosial</v>
          </cell>
          <cell r="D761">
            <v>451000000</v>
          </cell>
        </row>
        <row r="762">
          <cell r="C762" t="str">
            <v>Belanja Bantuan Sosial kepada Individu</v>
          </cell>
          <cell r="D762">
            <v>0</v>
          </cell>
        </row>
        <row r="763">
          <cell r="C763" t="str">
            <v>Belanja Bantuan Sosial Uang yang direncanakan kepada Individu</v>
          </cell>
          <cell r="D763">
            <v>0</v>
          </cell>
        </row>
        <row r="764">
          <cell r="C764" t="str">
            <v>Belanja Bantuan Sosial Barang yang Direncanakan kepada Individu</v>
          </cell>
          <cell r="D764">
            <v>0</v>
          </cell>
        </row>
        <row r="765">
          <cell r="C765" t="str">
            <v>Belanja Bantuan Sosial kepada Keluarga</v>
          </cell>
          <cell r="D765">
            <v>0</v>
          </cell>
        </row>
        <row r="766">
          <cell r="C766" t="str">
            <v>Belanja Bantuan Sosial Uang yang direncanakan kepada Keluarga</v>
          </cell>
          <cell r="D766">
            <v>0</v>
          </cell>
        </row>
        <row r="767">
          <cell r="C767" t="str">
            <v>Belanja Bantuan Sosial Barang yang Direncanakan kepada Keluarga</v>
          </cell>
          <cell r="D767">
            <v>0</v>
          </cell>
        </row>
        <row r="768">
          <cell r="C768" t="str">
            <v>Belanja Bantuan Sosial kepada Kelompok Masyarakat</v>
          </cell>
          <cell r="D768">
            <v>396000000</v>
          </cell>
        </row>
        <row r="769">
          <cell r="C769" t="str">
            <v>Belanja Bantuan Sosial Uang yang direncanakan kepada Kelompok Masyarakat</v>
          </cell>
          <cell r="D769">
            <v>396000000</v>
          </cell>
        </row>
        <row r="770">
          <cell r="C770" t="str">
            <v>Belanja Bantuan Sosial Barang yang Direncanakan kepada Kelompok Masyarakat</v>
          </cell>
          <cell r="D770">
            <v>0</v>
          </cell>
        </row>
        <row r="771">
          <cell r="C771" t="str">
            <v>Belanja Bantuan Sosial kepada Lembaga Non Pemerintahan (Bidang Pendidikan, Keagamaan dan Bidang Lainnya)</v>
          </cell>
          <cell r="D771">
            <v>55000000</v>
          </cell>
        </row>
        <row r="772">
          <cell r="C772" t="str">
            <v>Belanja Bantuan Sosial Uang yang direncanakan kepada Lembaga Non Pemerintahan (Bidang Pendidikan, Keagamaan dan Bidang Lainnya)</v>
          </cell>
          <cell r="D772">
            <v>55000000</v>
          </cell>
        </row>
        <row r="773">
          <cell r="C773" t="str">
            <v>Belanja Bantuan Sosial Barang yang Direncanakan kepada Lembaga Non Pemerintahan Bidang (Pendidikan, Keagamaan dan Bidang Lainnya)</v>
          </cell>
          <cell r="D773">
            <v>0</v>
          </cell>
        </row>
        <row r="774">
          <cell r="C774" t="str">
            <v>Belanja Imbalan</v>
          </cell>
          <cell r="D774">
            <v>0</v>
          </cell>
        </row>
        <row r="775">
          <cell r="C775" t="str">
            <v>Belanja Imbalan Sukuk Daerah</v>
          </cell>
          <cell r="D775">
            <v>0</v>
          </cell>
        </row>
        <row r="776">
          <cell r="C776" t="str">
            <v>Belanja Imbalan Sukuk Daerah</v>
          </cell>
          <cell r="D776">
            <v>0</v>
          </cell>
        </row>
        <row r="777">
          <cell r="C777" t="str">
            <v>BELANJA MODAL</v>
          </cell>
          <cell r="D777">
            <v>181580744245.79999</v>
          </cell>
        </row>
        <row r="778">
          <cell r="C778" t="str">
            <v>Belanja Modal Tanah</v>
          </cell>
          <cell r="D778">
            <v>276500000</v>
          </cell>
        </row>
        <row r="779">
          <cell r="C779" t="str">
            <v>Belanja Modal Tanah</v>
          </cell>
          <cell r="D779">
            <v>276500000</v>
          </cell>
        </row>
        <row r="780">
          <cell r="C780" t="str">
            <v>Belanja Modal Tanah Persil</v>
          </cell>
          <cell r="D780">
            <v>245000000</v>
          </cell>
        </row>
        <row r="781">
          <cell r="C781" t="str">
            <v>Belanja Modal Tanah Non Persil</v>
          </cell>
          <cell r="D781">
            <v>31500000</v>
          </cell>
        </row>
        <row r="782">
          <cell r="C782" t="str">
            <v>Belanja Modal Lapangan</v>
          </cell>
          <cell r="D782">
            <v>0</v>
          </cell>
        </row>
        <row r="783">
          <cell r="C783" t="str">
            <v>Belanja Modal Tanah BLUD</v>
          </cell>
          <cell r="D783">
            <v>0</v>
          </cell>
        </row>
        <row r="784">
          <cell r="C784" t="str">
            <v>Belanja Modal Tanah BLUD</v>
          </cell>
          <cell r="D784">
            <v>0</v>
          </cell>
        </row>
        <row r="785">
          <cell r="C785" t="str">
            <v>Belanja Modal Peralatan dan Mesin</v>
          </cell>
          <cell r="D785">
            <v>39525733415.800003</v>
          </cell>
        </row>
        <row r="786">
          <cell r="C786" t="str">
            <v>Belanja Modal Alat Besar</v>
          </cell>
          <cell r="D786">
            <v>6145750000</v>
          </cell>
        </row>
        <row r="787">
          <cell r="C787" t="str">
            <v>Belanja Modal Alat Besar Darat</v>
          </cell>
          <cell r="D787">
            <v>3900000000</v>
          </cell>
        </row>
        <row r="788">
          <cell r="C788" t="str">
            <v>Belanja Modal Alat Besar Apung</v>
          </cell>
          <cell r="D788">
            <v>0</v>
          </cell>
        </row>
        <row r="789">
          <cell r="C789" t="str">
            <v>Belanja Modal Alat Bantu</v>
          </cell>
          <cell r="D789">
            <v>2245750000</v>
          </cell>
        </row>
        <row r="790">
          <cell r="C790" t="str">
            <v>Belanja Modal Alat Angkutan</v>
          </cell>
          <cell r="D790">
            <v>5952200000</v>
          </cell>
        </row>
        <row r="791">
          <cell r="C791" t="str">
            <v>Belanja Modal Alat Angkutan Darat Bermotor</v>
          </cell>
          <cell r="D791">
            <v>5945600000</v>
          </cell>
        </row>
        <row r="792">
          <cell r="C792" t="str">
            <v>Belanja Modal Alat Angkutan Darat Tak Bermotor</v>
          </cell>
          <cell r="D792">
            <v>0</v>
          </cell>
        </row>
        <row r="793">
          <cell r="C793" t="str">
            <v>Belanja Modal Alat Angkutan Apung Bermotor</v>
          </cell>
          <cell r="D793">
            <v>6600000</v>
          </cell>
        </row>
        <row r="794">
          <cell r="C794" t="str">
            <v>Belanja Modal Alat Angkutan Apung Tak Bermotor</v>
          </cell>
          <cell r="D794">
            <v>0</v>
          </cell>
        </row>
        <row r="795">
          <cell r="C795" t="str">
            <v>Belanja Modal Alat Angkutan Bermotor Udara</v>
          </cell>
          <cell r="D795">
            <v>0</v>
          </cell>
        </row>
        <row r="796">
          <cell r="C796" t="str">
            <v>Belanja Modal Alat Bengkel dan Alat Ukur</v>
          </cell>
          <cell r="D796">
            <v>263275000</v>
          </cell>
        </row>
        <row r="797">
          <cell r="C797" t="str">
            <v>Belanja Modal Alat Bengkel Bermesin</v>
          </cell>
          <cell r="D797">
            <v>0</v>
          </cell>
        </row>
        <row r="798">
          <cell r="C798" t="str">
            <v>Belanja Modal Alat Bengkel Tak Bermesin</v>
          </cell>
          <cell r="D798">
            <v>675000</v>
          </cell>
        </row>
        <row r="799">
          <cell r="C799" t="str">
            <v>Belanja Modal Alat Ukur</v>
          </cell>
          <cell r="D799">
            <v>262600000</v>
          </cell>
        </row>
        <row r="800">
          <cell r="C800" t="str">
            <v>Belanja Modal Alat Pertanian</v>
          </cell>
          <cell r="D800">
            <v>158000000</v>
          </cell>
        </row>
        <row r="801">
          <cell r="C801" t="str">
            <v>Belanja Modal Alat Pengolahan</v>
          </cell>
          <cell r="D801">
            <v>158000000</v>
          </cell>
        </row>
        <row r="802">
          <cell r="C802" t="str">
            <v>Belanja Modal Alat Kantor dan Rumah Tangga</v>
          </cell>
          <cell r="D802">
            <v>5881355759.8000002</v>
          </cell>
        </row>
        <row r="803">
          <cell r="C803" t="str">
            <v>Belanja Modal Alat Kantor</v>
          </cell>
          <cell r="D803">
            <v>980988950</v>
          </cell>
        </row>
        <row r="804">
          <cell r="C804" t="str">
            <v>Belanja Modal Alat Rumah Tangga</v>
          </cell>
          <cell r="D804">
            <v>4723156809.8000002</v>
          </cell>
        </row>
        <row r="805">
          <cell r="C805" t="str">
            <v>Belanja Modal Meja dan Kursi Kerja/Rapat Pejabat</v>
          </cell>
          <cell r="D805">
            <v>177210000</v>
          </cell>
        </row>
        <row r="806">
          <cell r="C806" t="str">
            <v>Belanja Modal Alat Studio, Komunikasi, dan Pemancar</v>
          </cell>
          <cell r="D806">
            <v>723750400</v>
          </cell>
        </row>
        <row r="807">
          <cell r="C807" t="str">
            <v>Belanja Modal Alat Studio</v>
          </cell>
          <cell r="D807">
            <v>686350400</v>
          </cell>
        </row>
        <row r="808">
          <cell r="C808" t="str">
            <v>Belanja Modal Alat Komunikasi</v>
          </cell>
          <cell r="D808">
            <v>37400000</v>
          </cell>
        </row>
        <row r="809">
          <cell r="C809" t="str">
            <v>Belanja Modal Peralatan Pemancar</v>
          </cell>
          <cell r="D809">
            <v>0</v>
          </cell>
        </row>
        <row r="810">
          <cell r="C810" t="str">
            <v>Belanja Modal Peralatan Komunikasi Navigasi</v>
          </cell>
          <cell r="D810">
            <v>0</v>
          </cell>
        </row>
        <row r="811">
          <cell r="C811" t="str">
            <v>Belanja Modal Alat Kedokteran dan Kesehatan</v>
          </cell>
          <cell r="D811">
            <v>1131478940</v>
          </cell>
        </row>
        <row r="812">
          <cell r="C812" t="str">
            <v>Belanja Modal Alat Kedokteran</v>
          </cell>
          <cell r="D812">
            <v>105000000</v>
          </cell>
        </row>
        <row r="813">
          <cell r="C813" t="str">
            <v>Belanja Modal Alat Kesehatan Umum</v>
          </cell>
          <cell r="D813">
            <v>1026478940</v>
          </cell>
        </row>
        <row r="814">
          <cell r="C814" t="str">
            <v>Belanja Modal Alat Laboratorium</v>
          </cell>
          <cell r="D814">
            <v>1826720000</v>
          </cell>
        </row>
        <row r="815">
          <cell r="C815" t="str">
            <v>Belanja Modal Unit Alat Laboratorium</v>
          </cell>
          <cell r="D815">
            <v>285000000</v>
          </cell>
        </row>
        <row r="816">
          <cell r="C816" t="str">
            <v>Belanja Modal Unit Alat Laboratorium Kimia Nuklir</v>
          </cell>
          <cell r="D816">
            <v>0</v>
          </cell>
        </row>
        <row r="817">
          <cell r="C817" t="str">
            <v>Belanja Modal Alat Peraga Praktek Sekolah</v>
          </cell>
          <cell r="D817">
            <v>1541720000</v>
          </cell>
        </row>
        <row r="818">
          <cell r="C818" t="str">
            <v>Belanja Modal Alat Laboratorium Fisika Nuklir/Elektronika</v>
          </cell>
          <cell r="D818">
            <v>0</v>
          </cell>
        </row>
        <row r="819">
          <cell r="C819" t="str">
            <v>Belanja Modal Alat Proteksi Radiasi/Proteksi Lingkungan</v>
          </cell>
          <cell r="D819">
            <v>0</v>
          </cell>
        </row>
        <row r="820">
          <cell r="C820" t="str">
            <v>Belanja Modal Radiation Application and Non Destructive Testing Laboratory Lainnya</v>
          </cell>
          <cell r="D820">
            <v>0</v>
          </cell>
        </row>
        <row r="821">
          <cell r="C821" t="str">
            <v>Belanja Modal Alat Laboratorium Lingkungan Hidup</v>
          </cell>
          <cell r="D821">
            <v>0</v>
          </cell>
        </row>
        <row r="822">
          <cell r="C822" t="str">
            <v>Belanja Modal Peralatan Laboratorium Hydrodinamica</v>
          </cell>
          <cell r="D822">
            <v>0</v>
          </cell>
        </row>
        <row r="823">
          <cell r="C823" t="str">
            <v>Belanja Modal Alat Laboratorium Standarisasi Kalibrasi dan Instrumentasi</v>
          </cell>
          <cell r="D823">
            <v>0</v>
          </cell>
        </row>
        <row r="824">
          <cell r="C824" t="str">
            <v>Belanja Modal Komputer</v>
          </cell>
          <cell r="D824">
            <v>3510031824</v>
          </cell>
        </row>
        <row r="825">
          <cell r="C825" t="str">
            <v>Belanja Modal Komputer Unit</v>
          </cell>
          <cell r="D825">
            <v>2811922174</v>
          </cell>
        </row>
        <row r="826">
          <cell r="C826" t="str">
            <v>Belanja Modal Peralatan Komputer</v>
          </cell>
          <cell r="D826">
            <v>698109650</v>
          </cell>
        </row>
        <row r="827">
          <cell r="C827" t="str">
            <v>Belanja Modal Alat Eksplorasi</v>
          </cell>
          <cell r="D827">
            <v>170150900</v>
          </cell>
        </row>
        <row r="828">
          <cell r="C828" t="str">
            <v>Belanja Modal Alat Eksplorasi Topografi</v>
          </cell>
          <cell r="D828">
            <v>170150900</v>
          </cell>
        </row>
        <row r="829">
          <cell r="C829" t="str">
            <v>Belanja Modal Alat Eksplorasi Geofisika</v>
          </cell>
          <cell r="D829">
            <v>0</v>
          </cell>
        </row>
        <row r="830">
          <cell r="C830" t="str">
            <v>Belanja Modal Alat Pengeboran</v>
          </cell>
          <cell r="D830">
            <v>0</v>
          </cell>
        </row>
        <row r="831">
          <cell r="C831" t="str">
            <v>Belanja Modal Alat Pengeboran Mesin</v>
          </cell>
          <cell r="D831">
            <v>0</v>
          </cell>
        </row>
        <row r="832">
          <cell r="C832" t="str">
            <v>Belanja Modal Alat Pengeboran Non Mesin</v>
          </cell>
          <cell r="D832">
            <v>0</v>
          </cell>
        </row>
        <row r="833">
          <cell r="C833" t="str">
            <v>Belanja Modal Alat Produksi, Pengolahan, dan Pemurnian</v>
          </cell>
          <cell r="D833">
            <v>0</v>
          </cell>
        </row>
        <row r="834">
          <cell r="C834" t="str">
            <v>Belanja Modal Sumur</v>
          </cell>
          <cell r="D834">
            <v>0</v>
          </cell>
        </row>
        <row r="835">
          <cell r="C835" t="str">
            <v>Belanja Modal Produksi</v>
          </cell>
          <cell r="D835">
            <v>0</v>
          </cell>
        </row>
        <row r="836">
          <cell r="C836" t="str">
            <v>Belanja Modal Pengolahan dan Pemurnian</v>
          </cell>
          <cell r="D836">
            <v>0</v>
          </cell>
        </row>
        <row r="837">
          <cell r="C837" t="str">
            <v>Belanja Modal Alat Bantu Eksplorasi</v>
          </cell>
          <cell r="D837">
            <v>0</v>
          </cell>
        </row>
        <row r="838">
          <cell r="C838" t="str">
            <v>Belanja Modal Alat Bantu Eksplorasi</v>
          </cell>
          <cell r="D838">
            <v>0</v>
          </cell>
        </row>
        <row r="839">
          <cell r="C839" t="str">
            <v>Belanja Modal Alat Bantu Produksi</v>
          </cell>
          <cell r="D839">
            <v>0</v>
          </cell>
        </row>
        <row r="840">
          <cell r="C840" t="str">
            <v>Belanja Modal Alat Keselamatan Kerja</v>
          </cell>
          <cell r="D840">
            <v>124000000</v>
          </cell>
        </row>
        <row r="841">
          <cell r="C841" t="str">
            <v>Belanja Modal Alat Deteksi</v>
          </cell>
          <cell r="D841">
            <v>0</v>
          </cell>
        </row>
        <row r="842">
          <cell r="C842" t="str">
            <v>Belanja Modal Alat Pelindung</v>
          </cell>
          <cell r="D842">
            <v>124000000</v>
          </cell>
        </row>
        <row r="843">
          <cell r="C843" t="str">
            <v>Belanja Modal Alat SAR</v>
          </cell>
          <cell r="D843">
            <v>0</v>
          </cell>
        </row>
        <row r="844">
          <cell r="C844" t="str">
            <v>Belanja Modal Alat Kerja Penerbangan</v>
          </cell>
          <cell r="D844">
            <v>0</v>
          </cell>
        </row>
        <row r="845">
          <cell r="C845" t="str">
            <v>Belanja Modal Alat Peraga</v>
          </cell>
          <cell r="D845">
            <v>0</v>
          </cell>
        </row>
        <row r="846">
          <cell r="C846" t="str">
            <v>Belanja Modal Alat Peraga Pelatihan dan Percontohan</v>
          </cell>
          <cell r="D846">
            <v>0</v>
          </cell>
        </row>
        <row r="847">
          <cell r="C847" t="str">
            <v>Belanja Modal Peralatan Proses/Produksi</v>
          </cell>
          <cell r="D847">
            <v>0</v>
          </cell>
        </row>
        <row r="848">
          <cell r="C848" t="str">
            <v>Belanja Modal Unit Peralatan Proses/Produksi</v>
          </cell>
          <cell r="D848">
            <v>0</v>
          </cell>
        </row>
        <row r="849">
          <cell r="C849" t="str">
            <v>Belanja Modal Rambu-Rambu</v>
          </cell>
          <cell r="D849">
            <v>458630250</v>
          </cell>
        </row>
        <row r="850">
          <cell r="C850" t="str">
            <v>Belanja Modal Rambu-Rambu Lalu Lintas Darat</v>
          </cell>
          <cell r="D850">
            <v>458630250</v>
          </cell>
        </row>
        <row r="851">
          <cell r="C851" t="str">
            <v>Belanja Modal Rambu-Rambu Lalu Lintas Udara</v>
          </cell>
          <cell r="D851">
            <v>0</v>
          </cell>
        </row>
        <row r="852">
          <cell r="C852" t="str">
            <v>Belanja Modal Rambu-Rambu Lalu Lintas Laut</v>
          </cell>
          <cell r="D852">
            <v>0</v>
          </cell>
        </row>
        <row r="853">
          <cell r="C853" t="str">
            <v>Belanja Modal Peralatan Olahraga</v>
          </cell>
          <cell r="D853">
            <v>95000000</v>
          </cell>
        </row>
        <row r="854">
          <cell r="C854" t="str">
            <v>Belanja Modal Peralatan Olahraga</v>
          </cell>
          <cell r="D854">
            <v>95000000</v>
          </cell>
        </row>
        <row r="855">
          <cell r="C855" t="str">
            <v>Belanja Modal Peralatan dan Mesin BOS</v>
          </cell>
          <cell r="D855">
            <v>0</v>
          </cell>
        </row>
        <row r="856">
          <cell r="C856" t="str">
            <v>Belanja Modal Peralatan dan Mesin BOS</v>
          </cell>
          <cell r="D856">
            <v>0</v>
          </cell>
        </row>
        <row r="857">
          <cell r="C857" t="str">
            <v>Belanja Modal Peralatan dan Mesin BOSP</v>
          </cell>
          <cell r="D857">
            <v>6284683624</v>
          </cell>
        </row>
        <row r="858">
          <cell r="C858" t="str">
            <v>Belanja Modal Peralatan dan Mesin BOSP-BOS</v>
          </cell>
          <cell r="D858">
            <v>6239276624</v>
          </cell>
        </row>
        <row r="859">
          <cell r="C859" t="str">
            <v>Belanja Modal Peralatan dan Mesin BOSP-BOP PAUD</v>
          </cell>
          <cell r="D859">
            <v>45407000</v>
          </cell>
        </row>
        <row r="860">
          <cell r="C860" t="str">
            <v>Belanja Modal Peralatan dan Mesin BOSP-BOP Kesetaraan</v>
          </cell>
          <cell r="D860">
            <v>0</v>
          </cell>
        </row>
        <row r="861">
          <cell r="C861" t="str">
            <v>Belanja Modal Peralatan dan Mesin BLUD</v>
          </cell>
          <cell r="D861">
            <v>6800706718</v>
          </cell>
        </row>
        <row r="862">
          <cell r="C862" t="str">
            <v>Belanja Modal Peralatan dan Mesin BLUD</v>
          </cell>
          <cell r="D862">
            <v>6800706718</v>
          </cell>
        </row>
        <row r="863">
          <cell r="C863" t="str">
            <v>Belanja Modal Gedung dan Bangunan</v>
          </cell>
          <cell r="D863">
            <v>80385336167</v>
          </cell>
        </row>
        <row r="864">
          <cell r="C864" t="str">
            <v>Belanja Modal Bangunan Gedung</v>
          </cell>
          <cell r="D864">
            <v>70052043392</v>
          </cell>
        </row>
        <row r="865">
          <cell r="C865" t="str">
            <v>Belanja Modal Bangunan Gedung Tempat Kerja</v>
          </cell>
          <cell r="D865">
            <v>67852043392</v>
          </cell>
        </row>
        <row r="866">
          <cell r="C866" t="str">
            <v>Belanja Modal Bangunan Gedung Tempat Tinggal</v>
          </cell>
          <cell r="D866">
            <v>2200000000</v>
          </cell>
        </row>
        <row r="867">
          <cell r="C867" t="str">
            <v>Belanja Modal Monumen</v>
          </cell>
          <cell r="D867">
            <v>0</v>
          </cell>
        </row>
        <row r="868">
          <cell r="C868" t="str">
            <v>Belanja Modal Candi/Tugu Peringatan/Prasasti</v>
          </cell>
          <cell r="D868">
            <v>0</v>
          </cell>
        </row>
        <row r="869">
          <cell r="C869" t="str">
            <v>Belanja Modal Bangunan Menara</v>
          </cell>
          <cell r="D869">
            <v>0</v>
          </cell>
        </row>
        <row r="870">
          <cell r="C870" t="str">
            <v>Belanja Modal Bangunan Menara Perambuan</v>
          </cell>
          <cell r="D870">
            <v>0</v>
          </cell>
        </row>
        <row r="871">
          <cell r="C871" t="str">
            <v>Belanja Modal Tugu Titik Kontrol/Pasti</v>
          </cell>
          <cell r="D871">
            <v>7072400000</v>
          </cell>
        </row>
        <row r="872">
          <cell r="C872" t="str">
            <v>Belanja Modal Tugu/Tanda Batas</v>
          </cell>
          <cell r="D872">
            <v>7072400000</v>
          </cell>
        </row>
        <row r="873">
          <cell r="C873" t="str">
            <v>Belanja Modal Gedung dan Bangunan BLUD</v>
          </cell>
          <cell r="D873">
            <v>3260892775</v>
          </cell>
        </row>
        <row r="874">
          <cell r="C874" t="str">
            <v>Belanja Modal Gedung dan Bangunan BLUD</v>
          </cell>
          <cell r="D874">
            <v>3260892775</v>
          </cell>
        </row>
        <row r="875">
          <cell r="C875" t="str">
            <v>Belanja Modal Jalan, Jaringan, dan Irigasi</v>
          </cell>
          <cell r="D875">
            <v>53730804468</v>
          </cell>
        </row>
        <row r="876">
          <cell r="C876" t="str">
            <v>Belanja Modal Jalan dan Jembatan</v>
          </cell>
          <cell r="D876">
            <v>39653033823</v>
          </cell>
        </row>
        <row r="877">
          <cell r="C877" t="str">
            <v>Belanja Modal Jalan</v>
          </cell>
          <cell r="D877">
            <v>24424716823</v>
          </cell>
        </row>
        <row r="878">
          <cell r="C878" t="str">
            <v>Belanja Modal Jembatan</v>
          </cell>
          <cell r="D878">
            <v>15228317000</v>
          </cell>
        </row>
        <row r="879">
          <cell r="C879" t="str">
            <v>Belanja Modal Bangunan Air</v>
          </cell>
          <cell r="D879">
            <v>7779230000</v>
          </cell>
        </row>
        <row r="880">
          <cell r="C880" t="str">
            <v>Belanja Modal Bangunan Air Irigasi</v>
          </cell>
          <cell r="D880">
            <v>6563230000</v>
          </cell>
        </row>
        <row r="881">
          <cell r="C881" t="str">
            <v>Belanja Modal Bangunan Pengairan Pasang Surut</v>
          </cell>
          <cell r="D881">
            <v>0</v>
          </cell>
        </row>
        <row r="882">
          <cell r="C882" t="str">
            <v>Belanja Modal Bangunan Pengembangan Rawa dan Polder</v>
          </cell>
          <cell r="D882">
            <v>0</v>
          </cell>
        </row>
        <row r="883">
          <cell r="C883" t="str">
            <v>Belanja Modal Bangunan Pengaman Sungai/Pantai dan Penanggulangan Bencana Alam</v>
          </cell>
          <cell r="D883">
            <v>0</v>
          </cell>
        </row>
        <row r="884">
          <cell r="C884" t="str">
            <v>Belanja Modal Bangunan Pengembangan Sumber Air dan Air Tanah</v>
          </cell>
          <cell r="D884">
            <v>0</v>
          </cell>
        </row>
        <row r="885">
          <cell r="C885" t="str">
            <v>Belanja Modal Bangunan Air Bersih/Air Baku</v>
          </cell>
          <cell r="D885">
            <v>1216000000</v>
          </cell>
        </row>
        <row r="886">
          <cell r="C886" t="str">
            <v>Belanja Modal Bangunan Air Kotor</v>
          </cell>
          <cell r="D886">
            <v>0</v>
          </cell>
        </row>
        <row r="887">
          <cell r="C887" t="str">
            <v>Belanja Modal Instalasi</v>
          </cell>
          <cell r="D887">
            <v>560540645</v>
          </cell>
        </row>
        <row r="888">
          <cell r="C888" t="str">
            <v>Belanja Modal Instalasi Air Bersih/Air Baku</v>
          </cell>
          <cell r="D888">
            <v>380000000</v>
          </cell>
        </row>
        <row r="889">
          <cell r="C889" t="str">
            <v>Belanja Modal Instalasi Air Kotor</v>
          </cell>
          <cell r="D889">
            <v>0</v>
          </cell>
        </row>
        <row r="890">
          <cell r="C890" t="str">
            <v>Belanja Modal Instalasi Pengolahan Sampah</v>
          </cell>
          <cell r="D890">
            <v>180540645</v>
          </cell>
        </row>
        <row r="891">
          <cell r="C891" t="str">
            <v>Belanja Modal Instalasi Pengolahan Bahan Bangunan</v>
          </cell>
          <cell r="D891">
            <v>0</v>
          </cell>
        </row>
        <row r="892">
          <cell r="C892" t="str">
            <v>Belanja Modal Instalasi Pembangkit Listrik</v>
          </cell>
          <cell r="D892">
            <v>0</v>
          </cell>
        </row>
        <row r="893">
          <cell r="C893" t="str">
            <v>Belanja Modal Instalasi Gardu Listrik</v>
          </cell>
          <cell r="D893">
            <v>0</v>
          </cell>
        </row>
        <row r="894">
          <cell r="C894" t="str">
            <v>Belanja Modal Instalasi Pertahanan</v>
          </cell>
          <cell r="D894">
            <v>0</v>
          </cell>
        </row>
        <row r="895">
          <cell r="C895" t="str">
            <v>Belanja Modal Instalasi Gas</v>
          </cell>
          <cell r="D895">
            <v>0</v>
          </cell>
        </row>
        <row r="896">
          <cell r="C896" t="str">
            <v>Belanja Modal Instalasi Pengaman</v>
          </cell>
          <cell r="D896">
            <v>0</v>
          </cell>
        </row>
        <row r="897">
          <cell r="C897" t="str">
            <v>Belanja Modal Instalasi Lain</v>
          </cell>
          <cell r="D897">
            <v>0</v>
          </cell>
        </row>
        <row r="898">
          <cell r="C898" t="str">
            <v>Belanja Modal Jaringan</v>
          </cell>
          <cell r="D898">
            <v>5700000000</v>
          </cell>
        </row>
        <row r="899">
          <cell r="C899" t="str">
            <v>Belanja Modal Jaringan Air Minum</v>
          </cell>
          <cell r="D899">
            <v>0</v>
          </cell>
        </row>
        <row r="900">
          <cell r="C900" t="str">
            <v>Belanja Modal Jaringan Listrik</v>
          </cell>
          <cell r="D900">
            <v>5700000000</v>
          </cell>
        </row>
        <row r="901">
          <cell r="C901" t="str">
            <v>Belanja Modal Jaringan Telepon</v>
          </cell>
          <cell r="D901">
            <v>0</v>
          </cell>
        </row>
        <row r="902">
          <cell r="C902" t="str">
            <v>Belanja Modal Jaringan Gas</v>
          </cell>
          <cell r="D902">
            <v>0</v>
          </cell>
        </row>
        <row r="903">
          <cell r="C903" t="str">
            <v>Belanja Modal Jalan, Jaringan, dan Irigasi BLUD</v>
          </cell>
          <cell r="D903">
            <v>38000000</v>
          </cell>
        </row>
        <row r="904">
          <cell r="C904" t="str">
            <v>Belanja Modal Jalan, Jaringan, dan Irigasi BLUD</v>
          </cell>
          <cell r="D904">
            <v>38000000</v>
          </cell>
        </row>
        <row r="905">
          <cell r="C905" t="str">
            <v>Belanja Modal Aset Tetap Lainnya</v>
          </cell>
          <cell r="D905">
            <v>7662370195</v>
          </cell>
        </row>
        <row r="906">
          <cell r="C906" t="str">
            <v>Belanja Modal Bahan Perpustakaan</v>
          </cell>
          <cell r="D906">
            <v>606000000</v>
          </cell>
        </row>
        <row r="907">
          <cell r="C907" t="str">
            <v>Belanja Modal Bahan Perpustakaan Tercetak</v>
          </cell>
          <cell r="D907">
            <v>606000000</v>
          </cell>
        </row>
        <row r="908">
          <cell r="C908" t="str">
            <v>Belanja Modal Bahan Perpustakaan Terekam dan Bentuk Mikro</v>
          </cell>
          <cell r="D908">
            <v>0</v>
          </cell>
        </row>
        <row r="909">
          <cell r="C909" t="str">
            <v>Belanja Modal Kartografi, Naskah, dan Lukisan</v>
          </cell>
          <cell r="D909">
            <v>0</v>
          </cell>
        </row>
        <row r="910">
          <cell r="C910" t="str">
            <v>Belanja Modal Musik</v>
          </cell>
          <cell r="D910">
            <v>0</v>
          </cell>
        </row>
        <row r="911">
          <cell r="C911" t="str">
            <v>Belanja Modal Karya Grafika (Graphic Material)</v>
          </cell>
          <cell r="D911">
            <v>0</v>
          </cell>
        </row>
        <row r="912">
          <cell r="C912" t="str">
            <v>Belanja Modal Three Dimensional Artifacts and Realita</v>
          </cell>
          <cell r="D912">
            <v>0</v>
          </cell>
        </row>
        <row r="913">
          <cell r="C913" t="str">
            <v>Belanja Modal Tarscalt</v>
          </cell>
          <cell r="D913">
            <v>0</v>
          </cell>
        </row>
        <row r="914">
          <cell r="C914" t="str">
            <v>Belanja Modal Barang Bercorak Kesenian/Kebudayaan/Olahraga</v>
          </cell>
          <cell r="D914">
            <v>0</v>
          </cell>
        </row>
        <row r="915">
          <cell r="C915" t="str">
            <v>Belanja Modal Barang Bercorak Kesenian</v>
          </cell>
          <cell r="D915">
            <v>0</v>
          </cell>
        </row>
        <row r="916">
          <cell r="C916" t="str">
            <v>Belanja Modal Alat Bercorak Kebudayaan</v>
          </cell>
          <cell r="D916">
            <v>0</v>
          </cell>
        </row>
        <row r="917">
          <cell r="C917" t="str">
            <v>Belanja Modal Tanda Penghargaan</v>
          </cell>
          <cell r="D917">
            <v>0</v>
          </cell>
        </row>
        <row r="918">
          <cell r="C918" t="str">
            <v>Belanja Modal Hewan</v>
          </cell>
          <cell r="D918">
            <v>0</v>
          </cell>
        </row>
        <row r="919">
          <cell r="C919" t="str">
            <v>Belanja Modal Hewan Piaraan</v>
          </cell>
          <cell r="D919">
            <v>0</v>
          </cell>
        </row>
        <row r="920">
          <cell r="C920" t="str">
            <v>Belanja Modal Ternak</v>
          </cell>
          <cell r="D920">
            <v>0</v>
          </cell>
        </row>
        <row r="921">
          <cell r="C921" t="str">
            <v>Belanja Modal Hewan Lainnya</v>
          </cell>
          <cell r="D921">
            <v>0</v>
          </cell>
        </row>
        <row r="922">
          <cell r="C922" t="str">
            <v>Belanja Modal Biota Perairan</v>
          </cell>
          <cell r="D922">
            <v>0</v>
          </cell>
        </row>
        <row r="923">
          <cell r="C923" t="str">
            <v>Belanja Modal Ikan Bersirip (Pisces/Ikan Bersirip)</v>
          </cell>
          <cell r="D923">
            <v>0</v>
          </cell>
        </row>
        <row r="924">
          <cell r="C924" t="str">
            <v>Belanja Modal Crustacea (Udang, Rajungan, Kepiting, dan Sebangsanya)</v>
          </cell>
          <cell r="D924">
            <v>0</v>
          </cell>
        </row>
        <row r="925">
          <cell r="C925" t="str">
            <v>Belanja Modal Mollusca (Kerang, Tiram, Cumi-cumi, Gurita, Siput, dan Sebangsanya)</v>
          </cell>
          <cell r="D925">
            <v>0</v>
          </cell>
        </row>
        <row r="926">
          <cell r="C926" t="str">
            <v>Belanja Modal Coelenterata (Ubur-ubur dan Sebangsanya)</v>
          </cell>
          <cell r="D926">
            <v>0</v>
          </cell>
        </row>
        <row r="927">
          <cell r="C927" t="str">
            <v>Belanja Modal Echinodermata (Tripang, Bulu Babi, dan Sebangsanya)</v>
          </cell>
          <cell r="D927">
            <v>0</v>
          </cell>
        </row>
        <row r="928">
          <cell r="C928" t="str">
            <v>Belanja Modal Amphibia (Kodok dan Sebangsanya)</v>
          </cell>
          <cell r="D928">
            <v>0</v>
          </cell>
        </row>
        <row r="929">
          <cell r="C929" t="str">
            <v>Belanja Modal Reptilia (Buaya, Penyu, Kura-kura, Biawak, Ular Air, dan Sebangsanya)</v>
          </cell>
          <cell r="D929">
            <v>0</v>
          </cell>
        </row>
        <row r="930">
          <cell r="C930" t="str">
            <v>Belanja Modal Mammalia (Paus, Lumba-lumba, Pesut, Duyung, dan Sebangsanya)</v>
          </cell>
          <cell r="D930">
            <v>0</v>
          </cell>
        </row>
        <row r="931">
          <cell r="C931" t="str">
            <v>Belanja Modal Algae (Rumput Laut dan Tumbuh-Tumbuhan Lain yang Hidup di Dalam Air)</v>
          </cell>
          <cell r="D931">
            <v>0</v>
          </cell>
        </row>
        <row r="932">
          <cell r="C932" t="str">
            <v>Belanja Modal Biota Perairan Lainnya</v>
          </cell>
          <cell r="D932">
            <v>0</v>
          </cell>
        </row>
        <row r="933">
          <cell r="C933" t="str">
            <v>Belanja Modal Tanaman</v>
          </cell>
          <cell r="D933">
            <v>0</v>
          </cell>
        </row>
        <row r="934">
          <cell r="C934" t="str">
            <v>Belanja Modal Tanaman</v>
          </cell>
          <cell r="D934">
            <v>0</v>
          </cell>
        </row>
        <row r="935">
          <cell r="C935" t="str">
            <v>Belanja Modal Barang Koleksi Non Budaya</v>
          </cell>
          <cell r="D935">
            <v>0</v>
          </cell>
        </row>
        <row r="936">
          <cell r="C936" t="str">
            <v>Belanja Modal Barang Koleksi Non Budaya</v>
          </cell>
          <cell r="D936">
            <v>0</v>
          </cell>
        </row>
        <row r="937">
          <cell r="C937" t="str">
            <v>Belanja Modal Aset Tetap Dalam Renovasi</v>
          </cell>
          <cell r="D937">
            <v>500000000</v>
          </cell>
        </row>
        <row r="938">
          <cell r="C938" t="str">
            <v>Belanja Modal Aset Tetap Dalam Renovasi</v>
          </cell>
          <cell r="D938">
            <v>500000000</v>
          </cell>
        </row>
        <row r="939">
          <cell r="C939" t="str">
            <v>Belanja Modal Aset Tidak Berwujud</v>
          </cell>
          <cell r="D939">
            <v>0</v>
          </cell>
        </row>
        <row r="940">
          <cell r="C940" t="str">
            <v>Belanja Modal Aset Tidak Berwujud</v>
          </cell>
          <cell r="D940">
            <v>0</v>
          </cell>
        </row>
        <row r="941">
          <cell r="C941" t="str">
            <v>Belanja Modal Aset Tetap Lainnya BOS</v>
          </cell>
          <cell r="D941">
            <v>0</v>
          </cell>
        </row>
        <row r="942">
          <cell r="C942" t="str">
            <v>Belanja Modal Aset Tetap Lainnya BOS</v>
          </cell>
          <cell r="D942">
            <v>0</v>
          </cell>
        </row>
        <row r="943">
          <cell r="C943" t="str">
            <v>Belanja Modal Aset Tetap Lainnya BOSP</v>
          </cell>
          <cell r="D943">
            <v>6534370195</v>
          </cell>
        </row>
        <row r="944">
          <cell r="C944" t="str">
            <v>Belanja Modal Aset Tetap Lainnya BOSP-BOS</v>
          </cell>
          <cell r="D944">
            <v>6526397095</v>
          </cell>
        </row>
        <row r="945">
          <cell r="C945" t="str">
            <v>Belanja Modal Aset Tetap Lainnya BOSP-BOP PAUD</v>
          </cell>
          <cell r="D945">
            <v>7973100</v>
          </cell>
        </row>
        <row r="946">
          <cell r="C946" t="str">
            <v>Belanja Modal Aset Tetap Lainnya BOSP-BOP Kesetaraan</v>
          </cell>
          <cell r="D946">
            <v>0</v>
          </cell>
        </row>
        <row r="947">
          <cell r="C947" t="str">
            <v>Belanja Modal Aset Tetap Lainnya BLUD</v>
          </cell>
          <cell r="D947">
            <v>22000000</v>
          </cell>
        </row>
        <row r="948">
          <cell r="C948" t="str">
            <v>Belanja Modal Aset Tetap Lainnya BLUD</v>
          </cell>
          <cell r="D948">
            <v>22000000</v>
          </cell>
        </row>
        <row r="949">
          <cell r="C949" t="str">
            <v>Belanja Modal Aset Lainnya</v>
          </cell>
          <cell r="D949">
            <v>0</v>
          </cell>
        </row>
        <row r="950">
          <cell r="C950" t="str">
            <v>Belanja Modal Aset Lainnya-Aset Tidak Berwujud</v>
          </cell>
          <cell r="D950">
            <v>0</v>
          </cell>
        </row>
        <row r="951">
          <cell r="C951" t="str">
            <v>Belanja Modal Aset Tidak Berwujud</v>
          </cell>
          <cell r="D951">
            <v>0</v>
          </cell>
        </row>
        <row r="952">
          <cell r="C952" t="str">
            <v>Belanja Modal Aset Lainnya BLUD</v>
          </cell>
          <cell r="D952">
            <v>0</v>
          </cell>
        </row>
        <row r="953">
          <cell r="C953" t="str">
            <v>Belanja Modal Aset Lainnya BLUD</v>
          </cell>
          <cell r="D953">
            <v>0</v>
          </cell>
        </row>
        <row r="954">
          <cell r="C954" t="str">
            <v>BELANJA TIDAK TERDUGA</v>
          </cell>
          <cell r="D954">
            <v>4500000000</v>
          </cell>
        </row>
        <row r="955">
          <cell r="C955" t="str">
            <v>Belanja Tidak Terduga</v>
          </cell>
          <cell r="D955">
            <v>4500000000</v>
          </cell>
        </row>
        <row r="956">
          <cell r="C956" t="str">
            <v>Belanja Tidak Terduga</v>
          </cell>
          <cell r="D956">
            <v>4500000000</v>
          </cell>
        </row>
        <row r="957">
          <cell r="C957" t="str">
            <v>Belanja Tidak Terduga</v>
          </cell>
          <cell r="D957">
            <v>4500000000</v>
          </cell>
        </row>
        <row r="958">
          <cell r="C958" t="str">
            <v>BELANJA TRANSFER</v>
          </cell>
          <cell r="D958">
            <v>313617446956.29999</v>
          </cell>
        </row>
        <row r="959">
          <cell r="C959" t="str">
            <v>Belanja Bagi Hasil</v>
          </cell>
          <cell r="D959">
            <v>5750828136.3000002</v>
          </cell>
        </row>
        <row r="960">
          <cell r="C960" t="str">
            <v>Belanja Bagi Hasil Pajak Daerah Kepada Pemerintahan Kabupaten/Kota dan Desa</v>
          </cell>
          <cell r="D960">
            <v>4271136636.3000002</v>
          </cell>
        </row>
        <row r="961">
          <cell r="C961" t="str">
            <v>Belanja Bagi Hasil Pajak Daerah Kepada Pemerintahan Kabupaten</v>
          </cell>
          <cell r="D961">
            <v>0</v>
          </cell>
        </row>
        <row r="962">
          <cell r="C962" t="str">
            <v>Belanja Bagi Hasil Pajak Daerah Kepada Pemerintahan Kota</v>
          </cell>
          <cell r="D962">
            <v>0</v>
          </cell>
        </row>
        <row r="963">
          <cell r="C963" t="str">
            <v>Belanja Bagi Hasil Pajak Daerah Kepada Pemerintahan Desa</v>
          </cell>
          <cell r="D963">
            <v>4271136636.3000002</v>
          </cell>
        </row>
        <row r="964">
          <cell r="C964" t="str">
            <v>Belanja Bagi Hasil Retribusi Daerah Kabupaten/Kota Kepada Pemerintah Desa</v>
          </cell>
          <cell r="D964">
            <v>1479691500</v>
          </cell>
        </row>
        <row r="965">
          <cell r="C965" t="str">
            <v>Belanja Bagi Hasil Retribusi Daerah Kabupaten/Kota Kepada Pemerintah Desa</v>
          </cell>
          <cell r="D965">
            <v>1479691500</v>
          </cell>
        </row>
        <row r="966">
          <cell r="C966" t="str">
            <v>Belanja Bantuan Keuangan</v>
          </cell>
          <cell r="D966">
            <v>307866618820</v>
          </cell>
        </row>
        <row r="967">
          <cell r="C967" t="str">
            <v>Belanja Bantuan Keuangan antar Daerah Provinsi</v>
          </cell>
          <cell r="D967">
            <v>0</v>
          </cell>
        </row>
        <row r="968">
          <cell r="C968" t="str">
            <v>Belanja Bantuan Keuangan Umum antar Daerah Provinsi</v>
          </cell>
          <cell r="D968">
            <v>0</v>
          </cell>
        </row>
        <row r="969">
          <cell r="C969" t="str">
            <v>Belanja Bantuan Keuangan Khusus antar Daerah Provinsi</v>
          </cell>
          <cell r="D969">
            <v>0</v>
          </cell>
        </row>
        <row r="970">
          <cell r="C970" t="str">
            <v>Belanja Bantuan Keuangan antar Daerah Kabupaten/Kota</v>
          </cell>
          <cell r="D970">
            <v>0</v>
          </cell>
        </row>
        <row r="971">
          <cell r="C971" t="str">
            <v>Belanja Bantuan Keuangan Umum antar Daerah Kabupaten/Kota</v>
          </cell>
          <cell r="D971">
            <v>0</v>
          </cell>
        </row>
        <row r="972">
          <cell r="C972" t="str">
            <v>Belanja Bantuan Keuangan Khusus kepada Pemerintah Kabupaten/Kota</v>
          </cell>
          <cell r="D972">
            <v>0</v>
          </cell>
        </row>
        <row r="973">
          <cell r="C973" t="str">
            <v>Belanja Bantuan Keuangan Daerah Provinsi ke Kabupaten/Kota</v>
          </cell>
          <cell r="D973">
            <v>0</v>
          </cell>
        </row>
        <row r="974">
          <cell r="C974" t="str">
            <v>Belanja Bantuan Keuangan Umum Daerah Provinsi ke Kabupaten/Kota</v>
          </cell>
          <cell r="D974">
            <v>0</v>
          </cell>
        </row>
        <row r="975">
          <cell r="C975" t="str">
            <v>Belanja Bantuan Keuangan Khusus Daerah Provinsi ke Kabupaten/Kota</v>
          </cell>
          <cell r="D975">
            <v>0</v>
          </cell>
        </row>
        <row r="976">
          <cell r="C976" t="str">
            <v>Belanja Bantuan Keuangan Kabupaten/Kota ke Daerah Provinsi</v>
          </cell>
          <cell r="D976">
            <v>0</v>
          </cell>
        </row>
        <row r="977">
          <cell r="C977" t="str">
            <v>Belanja Bantuan Keuangan Umum Daerah Kabupaten/Kota ke Provinsi</v>
          </cell>
          <cell r="D977">
            <v>0</v>
          </cell>
        </row>
        <row r="978">
          <cell r="C978" t="str">
            <v>Belanja Bantuan Keuangan Khusus Daerah Kabupaten/Kota ke Provinsi</v>
          </cell>
          <cell r="D978">
            <v>0</v>
          </cell>
        </row>
        <row r="979">
          <cell r="C979" t="str">
            <v>Belanja Bantuan Keuangan Daerah Provinsi atau Kabupaten/Kota kepada Desa</v>
          </cell>
          <cell r="D979">
            <v>307866618820</v>
          </cell>
        </row>
        <row r="980">
          <cell r="C980" t="str">
            <v>Belanja Bantuan Keuangan Umum Daerah Provinsi atau Kabupaten/Kota kepada Desa</v>
          </cell>
          <cell r="D980">
            <v>307866618820</v>
          </cell>
        </row>
        <row r="981">
          <cell r="C981" t="str">
            <v>Belanja Bantuan Keuangan Khusus Daerah Provinsi atau Kabupaten/Kota kepada Desa</v>
          </cell>
          <cell r="D981">
            <v>0</v>
          </cell>
        </row>
        <row r="982">
          <cell r="C982" t="str">
            <v>Belanja Transfer Dana Otonomi Khusus Provinsi kepada Kabupaten/Kota</v>
          </cell>
          <cell r="D982">
            <v>0</v>
          </cell>
        </row>
        <row r="983">
          <cell r="C983" t="str">
            <v>Belanja Transfer Dana Otonomi Khusus Provinsi kepada Kabupaten/Kota</v>
          </cell>
          <cell r="D983">
            <v>0</v>
          </cell>
        </row>
        <row r="984">
          <cell r="D984">
            <v>0</v>
          </cell>
        </row>
        <row r="985">
          <cell r="C985" t="str">
            <v>SURPLUS/(DEFISIT)</v>
          </cell>
          <cell r="D985">
            <v>-38926493536.959961</v>
          </cell>
        </row>
        <row r="986">
          <cell r="D986">
            <v>0</v>
          </cell>
        </row>
        <row r="987">
          <cell r="C987" t="str">
            <v>PEMBIAYAAN DAERAH</v>
          </cell>
          <cell r="D987">
            <v>38926493536.959999</v>
          </cell>
        </row>
        <row r="988">
          <cell r="C988" t="str">
            <v>PENERIMAAN PEMBIAYAAN</v>
          </cell>
          <cell r="D988">
            <v>39926493536.959999</v>
          </cell>
        </row>
        <row r="989">
          <cell r="C989" t="str">
            <v>Sisa Lebih Perhitungan Anggaran Tahun Sebelumnya</v>
          </cell>
          <cell r="D989">
            <v>39926493536.959999</v>
          </cell>
        </row>
        <row r="990">
          <cell r="C990" t="str">
            <v>Pelampauan Penerimaan PAD</v>
          </cell>
          <cell r="D990">
            <v>0</v>
          </cell>
        </row>
        <row r="991">
          <cell r="C991" t="str">
            <v>Pelampauan Penerimaan PAD-Pajak Daerah</v>
          </cell>
          <cell r="D991">
            <v>0</v>
          </cell>
        </row>
        <row r="992">
          <cell r="C992" t="str">
            <v>Pelampauan Penerimaan PAD-Retribusi Daerah</v>
          </cell>
          <cell r="D992">
            <v>0</v>
          </cell>
        </row>
        <row r="993">
          <cell r="C993" t="str">
            <v>Pelampauan Penerimaan PAD-Hasil Pengelolaan Kekayaan Daerah yang Dipisahkan</v>
          </cell>
          <cell r="D993">
            <v>0</v>
          </cell>
        </row>
        <row r="994">
          <cell r="C994" t="str">
            <v>Pelampauan Penerimaan PAD-Lain-lain PAD yang Sah</v>
          </cell>
          <cell r="D994">
            <v>0</v>
          </cell>
        </row>
        <row r="995">
          <cell r="C995" t="str">
            <v>Pelampauan Penerimaan Pendapatan Transfer</v>
          </cell>
          <cell r="D995">
            <v>0</v>
          </cell>
        </row>
        <row r="996">
          <cell r="C996" t="str">
            <v>Pelampauan Penerimaan Pendapatan Transfer-Transfer Pemerintah Pusat</v>
          </cell>
          <cell r="D996">
            <v>0</v>
          </cell>
        </row>
        <row r="997">
          <cell r="C997" t="str">
            <v>Pelampauan Penerimaan Pendapatan Transfer antar Daerah</v>
          </cell>
          <cell r="D997">
            <v>0</v>
          </cell>
        </row>
        <row r="998">
          <cell r="C998" t="str">
            <v>Pelampauan Penerimaan Lain-Lain Pendapatan Daerah yang Sah</v>
          </cell>
          <cell r="D998">
            <v>0</v>
          </cell>
        </row>
        <row r="999">
          <cell r="C999" t="str">
            <v>Pelampauan Penerimaan Lain-Lain Pendapatan Daerah yang Sah-Pendapatan Hibah</v>
          </cell>
          <cell r="D999">
            <v>0</v>
          </cell>
        </row>
        <row r="1000">
          <cell r="C1000" t="str">
            <v>Pelampauan Penerimaan Lain-Lain Pendapatan Daerah yang Sah-Dana Darurat</v>
          </cell>
          <cell r="D1000">
            <v>0</v>
          </cell>
        </row>
        <row r="1001">
          <cell r="C1001" t="str">
            <v>Pelampauan Penerimaan Lain-Lain Pendapatan Daerah yang Sah-Lain-Lain Pendapatan Sesuai dengan Ketentuan Peraturan Perundang-Undangan</v>
          </cell>
          <cell r="D1001">
            <v>0</v>
          </cell>
        </row>
        <row r="1002">
          <cell r="C1002" t="str">
            <v>Pelampauan Penerimaan Pembiayaan</v>
          </cell>
          <cell r="D1002">
            <v>0</v>
          </cell>
        </row>
        <row r="1003">
          <cell r="C1003" t="str">
            <v>Pelampauan Penerimaan Pembiayaan-Pencairan Dana Cadangan</v>
          </cell>
          <cell r="D1003">
            <v>0</v>
          </cell>
        </row>
        <row r="1004">
          <cell r="C1004" t="str">
            <v>Pelampauan Penerimaan Pembiayaan-Hasil Penjualan Kekayaan Daerah yang Dipisahkan</v>
          </cell>
          <cell r="D1004">
            <v>0</v>
          </cell>
        </row>
        <row r="1005">
          <cell r="C1005" t="str">
            <v>Pelampauan Penerimaan Pembiayaan-Penerimaan Pinjaman Daerah</v>
          </cell>
          <cell r="D1005">
            <v>0</v>
          </cell>
        </row>
        <row r="1006">
          <cell r="C1006" t="str">
            <v>Pelampauan Penerimaan Pembiayaan-Penerimaan Kembali Pemberian Pinjaman Daerah</v>
          </cell>
          <cell r="D1006">
            <v>0</v>
          </cell>
        </row>
        <row r="1007">
          <cell r="C1007" t="str">
            <v>Pelampauan Penerimaan Pembiayaan-Penerimaan Pembiayaan Lainnya Sesuai dengan Ketentuan Peraturan Perundang-Undangan</v>
          </cell>
          <cell r="D1007">
            <v>0</v>
          </cell>
        </row>
        <row r="1008">
          <cell r="C1008" t="str">
            <v>Pelampauan Penerimaan Pembiayaan-Penarikan Pokok Dana Abadi Daerah</v>
          </cell>
          <cell r="D1008">
            <v>0</v>
          </cell>
        </row>
        <row r="1009">
          <cell r="C1009" t="str">
            <v>Pelampauan Penerimaan Pembiayaan-Penerimaan Pembiayaan Utang Daerah</v>
          </cell>
          <cell r="D1009">
            <v>0</v>
          </cell>
        </row>
        <row r="1010">
          <cell r="C1010" t="str">
            <v>Penghematan Belanja</v>
          </cell>
          <cell r="D1010">
            <v>0</v>
          </cell>
        </row>
        <row r="1011">
          <cell r="C1011" t="str">
            <v>Penghematan Belanja-Belanja Operasi</v>
          </cell>
          <cell r="D1011">
            <v>0</v>
          </cell>
        </row>
        <row r="1012">
          <cell r="C1012" t="str">
            <v>Penghematan Belanja-Belanja Modal</v>
          </cell>
          <cell r="D1012">
            <v>0</v>
          </cell>
        </row>
        <row r="1013">
          <cell r="C1013" t="str">
            <v>Sisa Penggunaan Belanja Tidak Terduga</v>
          </cell>
          <cell r="D1013">
            <v>0</v>
          </cell>
        </row>
        <row r="1014">
          <cell r="C1014" t="str">
            <v>Sisa Belanja Transfer</v>
          </cell>
          <cell r="D1014">
            <v>0</v>
          </cell>
        </row>
        <row r="1015">
          <cell r="C1015" t="str">
            <v>Kewajiban kepada Pihak Ketiga sampai dengan Akhir Tahun Belum Terselesaikan</v>
          </cell>
          <cell r="D1015">
            <v>0</v>
          </cell>
        </row>
        <row r="1016">
          <cell r="C1016" t="str">
            <v>Uang Jaminan</v>
          </cell>
          <cell r="D1016">
            <v>0</v>
          </cell>
        </row>
        <row r="1017">
          <cell r="C1017" t="str">
            <v>Sisa Dana Akibat Tidak Tercapainya Capaian Target Kinerja dan Sisa Dana Pengeluaran Pembiayaan</v>
          </cell>
          <cell r="D1017">
            <v>39926493536.959999</v>
          </cell>
        </row>
        <row r="1018">
          <cell r="C1018" t="str">
            <v>Sisa Dana Akibat Tidak Tercapainya Capaian Target Kinerja</v>
          </cell>
          <cell r="D1018">
            <v>39926493536.959999</v>
          </cell>
        </row>
        <row r="1019">
          <cell r="C1019" t="str">
            <v>Sisa Dana Pengeluaran Pembiayaan</v>
          </cell>
          <cell r="D1019">
            <v>0</v>
          </cell>
        </row>
        <row r="1020">
          <cell r="C1020" t="str">
            <v>Sisa Belanja Lainnya</v>
          </cell>
          <cell r="D1020">
            <v>0</v>
          </cell>
        </row>
        <row r="1021">
          <cell r="C1021" t="str">
            <v>Sisa Lebih Perhitungan Anggaran BLUD</v>
          </cell>
          <cell r="D1021">
            <v>0</v>
          </cell>
        </row>
        <row r="1022">
          <cell r="C1022" t="str">
            <v>Sisa Dana BOS</v>
          </cell>
          <cell r="D1022">
            <v>0</v>
          </cell>
        </row>
        <row r="1023">
          <cell r="C1023" t="str">
            <v>Sisa Dana Kapitasi</v>
          </cell>
          <cell r="D1023">
            <v>0</v>
          </cell>
        </row>
        <row r="1024">
          <cell r="C1024" t="str">
            <v>Sisa Dana BOSP</v>
          </cell>
          <cell r="D1024">
            <v>0</v>
          </cell>
        </row>
        <row r="1025">
          <cell r="C1025" t="str">
            <v>Sisa Dana BOK Puskesmas</v>
          </cell>
          <cell r="D1025">
            <v>0</v>
          </cell>
        </row>
        <row r="1026">
          <cell r="C1026" t="str">
            <v>Penarikan Sisa Lebih Perhitungan Anggaran BLUD</v>
          </cell>
          <cell r="D1026">
            <v>0</v>
          </cell>
        </row>
        <row r="1027">
          <cell r="C1027" t="str">
            <v>Penarikan Sisa Lebih Perhitungan Anggaran BLUD</v>
          </cell>
          <cell r="D1027">
            <v>0</v>
          </cell>
        </row>
        <row r="1028">
          <cell r="C1028" t="str">
            <v>Sisa Dana Otonomi Khusus</v>
          </cell>
          <cell r="D1028">
            <v>0</v>
          </cell>
        </row>
        <row r="1029">
          <cell r="C1029" t="str">
            <v>Sisa Dana Otonomi Khusus-Papua</v>
          </cell>
          <cell r="D1029">
            <v>0</v>
          </cell>
        </row>
        <row r="1030">
          <cell r="C1030" t="str">
            <v>Sisa Dana Otonomi Khusus-Aceh</v>
          </cell>
          <cell r="D1030">
            <v>0</v>
          </cell>
        </row>
        <row r="1031">
          <cell r="C1031" t="str">
            <v>Pencairan Dana Cadangan</v>
          </cell>
          <cell r="D1031">
            <v>0</v>
          </cell>
        </row>
        <row r="1032">
          <cell r="C1032" t="str">
            <v>Pencairan Dana Cadangan</v>
          </cell>
          <cell r="D1032">
            <v>0</v>
          </cell>
        </row>
        <row r="1033">
          <cell r="C1033" t="str">
            <v>Pencairan Dana Cadangan</v>
          </cell>
          <cell r="D1033">
            <v>0</v>
          </cell>
        </row>
        <row r="1034">
          <cell r="C1034" t="str">
            <v>Pencairan Dana Cadangan untuk Pembayaran Pokok Obligasi</v>
          </cell>
          <cell r="D1034">
            <v>0</v>
          </cell>
        </row>
        <row r="1035">
          <cell r="C1035" t="str">
            <v>Pencairan Dana Cadangan untuk Pembayaran Pokok Obligasi</v>
          </cell>
          <cell r="D1035">
            <v>0</v>
          </cell>
        </row>
        <row r="1036">
          <cell r="C1036" t="str">
            <v>Pencairan Dana Cadangan untuk Pembayaran Pokok Sukuk</v>
          </cell>
          <cell r="D1036">
            <v>0</v>
          </cell>
        </row>
        <row r="1037">
          <cell r="C1037" t="str">
            <v>Pencairan Dana Cadangan untuk Pembayaran Pokok Sukuk</v>
          </cell>
          <cell r="D1037">
            <v>0</v>
          </cell>
        </row>
        <row r="1038">
          <cell r="C1038" t="str">
            <v>Hasil Penjualan Kekayaan Daerah yang Dipisahkan</v>
          </cell>
          <cell r="D1038">
            <v>0</v>
          </cell>
        </row>
        <row r="1039">
          <cell r="C1039" t="str">
            <v>Hasil Penjualan Kekayaan Daerah yang Dipisahkan pada Badan Usaha Milik Negara (BUMN)</v>
          </cell>
          <cell r="D1039">
            <v>0</v>
          </cell>
        </row>
        <row r="1040">
          <cell r="C1040" t="str">
            <v>Hasil Penjualan Kekayaan Daerah yang Dipisahkan pada BUMN</v>
          </cell>
          <cell r="D1040">
            <v>0</v>
          </cell>
        </row>
        <row r="1041">
          <cell r="C1041" t="str">
            <v>Hasil Penjualan Kekayaan Daerah yang Dipisahkan pada Badan Usaha Milik Daerah (BUMD)</v>
          </cell>
          <cell r="D1041">
            <v>0</v>
          </cell>
        </row>
        <row r="1042">
          <cell r="C1042" t="str">
            <v>Hasil Penjualan Kekayaan Daerah yang Dipisahkan pada BUMD</v>
          </cell>
          <cell r="D1042">
            <v>0</v>
          </cell>
        </row>
        <row r="1043">
          <cell r="C1043" t="str">
            <v>Penerimaan Pinjaman Daerah</v>
          </cell>
          <cell r="D1043">
            <v>0</v>
          </cell>
        </row>
        <row r="1044">
          <cell r="C1044" t="str">
            <v>Pinjaman Daerah dari Pemerintah Pusat</v>
          </cell>
          <cell r="D1044">
            <v>0</v>
          </cell>
        </row>
        <row r="1045">
          <cell r="C1045" t="str">
            <v>Pinjaman Daerah dari Pemerintah Pusat-Penerusan Pinjaman Dalam Negeri-Jangka Menengah</v>
          </cell>
          <cell r="D1045">
            <v>0</v>
          </cell>
        </row>
        <row r="1046">
          <cell r="C1046" t="str">
            <v>Pinjaman Daerah dari Pemerintah Pusat-Penerusan Pinjaman Dalam Negeri-Jangka Panjang</v>
          </cell>
          <cell r="D1046">
            <v>0</v>
          </cell>
        </row>
        <row r="1047">
          <cell r="C1047" t="str">
            <v>Pinjaman Daerah dari Pemerintah Pusat-Penerusan Pinjaman Luar Negeri-Jangka Menengah</v>
          </cell>
          <cell r="D1047">
            <v>0</v>
          </cell>
        </row>
        <row r="1048">
          <cell r="C1048" t="str">
            <v>Pinjaman Daerah dari Pemerintah Pusat-Penerusan Pinjaman Luar Negeri-Jangka Panjang</v>
          </cell>
          <cell r="D1048">
            <v>0</v>
          </cell>
        </row>
        <row r="1049">
          <cell r="C1049" t="str">
            <v>Pinjaman Daerah dari Pemerintah Pusat-Sumber Lainnya sesuai dengan Ketentuan Peraturan Perundang-Undangan-Jangka Menengah</v>
          </cell>
          <cell r="D1049">
            <v>0</v>
          </cell>
        </row>
        <row r="1050">
          <cell r="C1050" t="str">
            <v>Pinjaman Daerah dari Pemerintah Pusat-Sumber Lainnya sesuai dengan Ketentuan Peraturan Perundang-undangan-Jangka Panjang</v>
          </cell>
          <cell r="D1050">
            <v>0</v>
          </cell>
        </row>
        <row r="1051">
          <cell r="C1051" t="str">
            <v>Pinjaman Daerah dari Pemerintah Daerah Lain</v>
          </cell>
          <cell r="D1051">
            <v>0</v>
          </cell>
        </row>
        <row r="1052">
          <cell r="C1052" t="str">
            <v>Pinjaman Daerah dari Pemerintah Daerah-Jangka Pendek</v>
          </cell>
          <cell r="D1052">
            <v>0</v>
          </cell>
        </row>
        <row r="1053">
          <cell r="C1053" t="str">
            <v>Pinjaman Daerah dari Lembaga Keuangan Bank (LKB)</v>
          </cell>
          <cell r="D1053">
            <v>0</v>
          </cell>
        </row>
        <row r="1054">
          <cell r="C1054" t="str">
            <v>Pinjaman Daerah dari Lembaga Keuangan Bank (LKB)-BUMN-Jangka Pendek</v>
          </cell>
          <cell r="D1054">
            <v>0</v>
          </cell>
        </row>
        <row r="1055">
          <cell r="C1055" t="str">
            <v>Pinjaman Daerah dari Lembaga Keuangan Bank (LKB)-BUMN-Jangka Menengah</v>
          </cell>
          <cell r="D1055">
            <v>0</v>
          </cell>
        </row>
        <row r="1056">
          <cell r="C1056" t="str">
            <v>Pinjaman Daerah dari Lembaga Keuangan Bank (LKB)-BUMN-Jangka Panjang</v>
          </cell>
          <cell r="D1056">
            <v>0</v>
          </cell>
        </row>
        <row r="1057">
          <cell r="C1057" t="str">
            <v>Pinjaman Daerah dari Lembaga Keuangan Bank (LKB)-BUMD-Jangka Pendek</v>
          </cell>
          <cell r="D1057">
            <v>0</v>
          </cell>
        </row>
        <row r="1058">
          <cell r="C1058" t="str">
            <v>Pinjaman Daerah dari Lembaga Keuangan Bank (LKB)-BUMD-Jangka Menengah</v>
          </cell>
          <cell r="D1058">
            <v>0</v>
          </cell>
        </row>
        <row r="1059">
          <cell r="C1059" t="str">
            <v>Pinjaman Daerah dari Lembaga Keuangan Bank (LKB)-BUMD-Jangka Panjang</v>
          </cell>
          <cell r="D1059">
            <v>0</v>
          </cell>
        </row>
        <row r="1060">
          <cell r="C1060" t="str">
            <v>Pinjaman Daerah dari Lembaga Keuangan Bank (LKB)-Swasta-Jangka Pendek</v>
          </cell>
          <cell r="D1060">
            <v>0</v>
          </cell>
        </row>
        <row r="1061">
          <cell r="C1061" t="str">
            <v>Pinjaman Daerah dari Lembaga Keuangan Bank (LKB)-Swasta-Jangka Menengah</v>
          </cell>
          <cell r="D1061">
            <v>0</v>
          </cell>
        </row>
        <row r="1062">
          <cell r="C1062" t="str">
            <v>Pinjaman Daerah dari Lembaga Keuangan Bank (LKB)-Swasta-Jangka Panjang</v>
          </cell>
          <cell r="D1062">
            <v>0</v>
          </cell>
        </row>
        <row r="1063">
          <cell r="C1063" t="str">
            <v>Pinjaman Daerah dari Lembaga Keuangan Bukan Bank (LKBB)</v>
          </cell>
          <cell r="D1063">
            <v>0</v>
          </cell>
        </row>
        <row r="1064">
          <cell r="C1064" t="str">
            <v>Pinjaman Daerah dari Lembaga Keuangan Bukan Bank (LKBB)-BUMN-Jangka Pendek</v>
          </cell>
          <cell r="D1064">
            <v>0</v>
          </cell>
        </row>
        <row r="1065">
          <cell r="C1065" t="str">
            <v>Pinjaman Daerah dari Lembaga Keuangan Bukan Bank (LKBB)-BUMN-Jangka Menengah</v>
          </cell>
          <cell r="D1065">
            <v>0</v>
          </cell>
        </row>
        <row r="1066">
          <cell r="C1066" t="str">
            <v>Pinjaman Daerah dari Lembaga Keuangan Bukan Bank (LKBB)-BUMN-Jangka Panjang</v>
          </cell>
          <cell r="D1066">
            <v>0</v>
          </cell>
        </row>
        <row r="1067">
          <cell r="C1067" t="str">
            <v>Pinjaman Daerah dari Lembaga Keuangan Bukan Bank (LKBB)-BUMD-Jangka Pendek</v>
          </cell>
          <cell r="D1067">
            <v>0</v>
          </cell>
        </row>
        <row r="1068">
          <cell r="C1068" t="str">
            <v>Pinjaman Daerah dari Lembaga Keuangan Bukan Bank (LKBB)-BUMD-Jangka Menengah</v>
          </cell>
          <cell r="D1068">
            <v>0</v>
          </cell>
        </row>
        <row r="1069">
          <cell r="C1069" t="str">
            <v>Pinjaman Daerah dari Lembaga Keuangan Bukan Bank (LKBB)-BUMD-Jangka Panjang</v>
          </cell>
          <cell r="D1069">
            <v>0</v>
          </cell>
        </row>
        <row r="1070">
          <cell r="C1070" t="str">
            <v>Pinjaman Daerah dari Lembaga Keuangan Bukan Bank (LKBB)-Swasta-Jangka Pendek</v>
          </cell>
          <cell r="D1070">
            <v>0</v>
          </cell>
        </row>
        <row r="1071">
          <cell r="C1071" t="str">
            <v>Pinjaman Daerah dari Lembaga Keuangan Bukan Bank (LKBB)-Swasta-Jangka Menengah</v>
          </cell>
          <cell r="D1071">
            <v>0</v>
          </cell>
        </row>
        <row r="1072">
          <cell r="C1072" t="str">
            <v>Pinjaman Daerah dari Lembaga Keuangan Bukan Bank (LKBB)-Swasta-Jangka Panjang</v>
          </cell>
          <cell r="D1072">
            <v>0</v>
          </cell>
        </row>
        <row r="1073">
          <cell r="C1073" t="str">
            <v>Pinjaman Daerah dari Masyarakat</v>
          </cell>
          <cell r="D1073">
            <v>0</v>
          </cell>
        </row>
        <row r="1074">
          <cell r="C1074" t="str">
            <v>Obligasi Daerah</v>
          </cell>
          <cell r="D1074">
            <v>0</v>
          </cell>
        </row>
        <row r="1075">
          <cell r="C1075" t="str">
            <v>Penerimaan Kembali Pemberian Pinjaman Daerah</v>
          </cell>
          <cell r="D1075">
            <v>0</v>
          </cell>
        </row>
        <row r="1076">
          <cell r="C1076" t="str">
            <v>Penerimaan Kembali Pemberian Pinjaman Daerah kepada Pemerintah Pusat</v>
          </cell>
          <cell r="D1076">
            <v>0</v>
          </cell>
        </row>
        <row r="1077">
          <cell r="C1077" t="str">
            <v>Penerimaan Kembali Pemberian Pinjaman Daerah kepada Pemerintah Pusat</v>
          </cell>
          <cell r="D1077">
            <v>0</v>
          </cell>
        </row>
        <row r="1078">
          <cell r="C1078" t="str">
            <v>Penerimaan Kembali Investasi dalam Proyek Pembangunan kepada Pemerintah Pusat</v>
          </cell>
          <cell r="D1078">
            <v>0</v>
          </cell>
        </row>
        <row r="1079">
          <cell r="C1079" t="str">
            <v>Penerimaan Kembali Pemberian Pinjaman Daerah kepada Pemerintah Daerah Lainnya</v>
          </cell>
          <cell r="D1079">
            <v>0</v>
          </cell>
        </row>
        <row r="1080">
          <cell r="C1080" t="str">
            <v>Penerimaan Kembali Pemberian Pinjaman Daerah kepada Pemerintah Daerah Lainnya</v>
          </cell>
          <cell r="D1080">
            <v>0</v>
          </cell>
        </row>
        <row r="1081">
          <cell r="C1081" t="str">
            <v>Penerimaan Kembali Investasi dalam Proyek Pembangunan kepada Pemerintah Daerah Lainnya</v>
          </cell>
          <cell r="D1081">
            <v>0</v>
          </cell>
        </row>
        <row r="1082">
          <cell r="C1082" t="str">
            <v>Penerimaan Kembali Pinjaman kepada BUMD</v>
          </cell>
          <cell r="D1082">
            <v>0</v>
          </cell>
        </row>
        <row r="1083">
          <cell r="C1083" t="str">
            <v>Penerimaan Kembali Pinjaman kepada BUMD</v>
          </cell>
          <cell r="D1083">
            <v>0</v>
          </cell>
        </row>
        <row r="1084">
          <cell r="C1084" t="str">
            <v>Penerimaan Kembali Investasi Non Permanen kepada BUMD</v>
          </cell>
          <cell r="D1084">
            <v>0</v>
          </cell>
        </row>
        <row r="1085">
          <cell r="C1085" t="str">
            <v>Penerimaan Kembali Pinjaman kepada BUMN</v>
          </cell>
          <cell r="D1085">
            <v>0</v>
          </cell>
        </row>
        <row r="1086">
          <cell r="C1086" t="str">
            <v>Penerimaan Kembali Pinjaman kepada BUMN</v>
          </cell>
          <cell r="D1086">
            <v>0</v>
          </cell>
        </row>
        <row r="1087">
          <cell r="C1087" t="str">
            <v>Penerimaan Kembali Investasi Non Permanen kepada BUMN</v>
          </cell>
          <cell r="D1087">
            <v>0</v>
          </cell>
        </row>
        <row r="1088">
          <cell r="C1088" t="str">
            <v>Penerimaan Kembali Pinjaman kepada Koperasi</v>
          </cell>
          <cell r="D1088">
            <v>0</v>
          </cell>
        </row>
        <row r="1089">
          <cell r="C1089" t="str">
            <v>Penerimaan Kembali Pinjaman kepada Koperasi</v>
          </cell>
          <cell r="D1089">
            <v>0</v>
          </cell>
        </row>
        <row r="1090">
          <cell r="C1090" t="str">
            <v>Penerimaan Kembali Dana Bergulir kepada Koperasi</v>
          </cell>
          <cell r="D1090">
            <v>0</v>
          </cell>
        </row>
        <row r="1091">
          <cell r="C1091" t="str">
            <v>Penerimaan Kembali Pinjaman kepada Masyarakat</v>
          </cell>
          <cell r="D1091">
            <v>0</v>
          </cell>
        </row>
        <row r="1092">
          <cell r="C1092" t="str">
            <v>Penerimaan Kembali Pinjaman kepada Masyarakat</v>
          </cell>
          <cell r="D1092">
            <v>0</v>
          </cell>
        </row>
        <row r="1093">
          <cell r="C1093" t="str">
            <v>Penerimaan Kembali Dana Bergulir kepada Masyarakat</v>
          </cell>
          <cell r="D1093">
            <v>0</v>
          </cell>
        </row>
        <row r="1094">
          <cell r="C1094" t="str">
            <v>Penerimaan Kembali Dana Bergulir kepada BLUD</v>
          </cell>
          <cell r="D1094">
            <v>0</v>
          </cell>
        </row>
        <row r="1095">
          <cell r="C1095" t="str">
            <v>Penerimaan Kembali Dana Bergulir kepada BLUD</v>
          </cell>
          <cell r="D1095">
            <v>0</v>
          </cell>
        </row>
        <row r="1096">
          <cell r="C1096" t="str">
            <v>Penerimaan Pembiayaan Lainnya Sesuai dengan Ketentuan Peraturan Perundang-Undangan</v>
          </cell>
          <cell r="D1096">
            <v>0</v>
          </cell>
        </row>
        <row r="1097">
          <cell r="C1097" t="str">
            <v>Penerimaan Kembali Pinjaman melalui BLUD</v>
          </cell>
          <cell r="D1097">
            <v>0</v>
          </cell>
        </row>
        <row r="1098">
          <cell r="C1098" t="str">
            <v>Penerimaan Kembali Pinjaman melalui BLUD-Jangka Pendek</v>
          </cell>
          <cell r="D1098">
            <v>0</v>
          </cell>
        </row>
        <row r="1099">
          <cell r="C1099" t="str">
            <v>Penerimaan Kembali Pinjaman melalui BLUD-Jangka Menengah</v>
          </cell>
          <cell r="D1099">
            <v>0</v>
          </cell>
        </row>
        <row r="1100">
          <cell r="C1100" t="str">
            <v>Penerimaan Kembali Pinjaman melalui BLUD-Jangka Panjang</v>
          </cell>
          <cell r="D1100">
            <v>0</v>
          </cell>
        </row>
        <row r="1101">
          <cell r="C1101" t="str">
            <v>Divestasi BLUD</v>
          </cell>
          <cell r="D1101">
            <v>0</v>
          </cell>
        </row>
        <row r="1102">
          <cell r="C1102" t="str">
            <v>Divestasi Jangka Pendek BLUD</v>
          </cell>
          <cell r="D1102">
            <v>0</v>
          </cell>
        </row>
        <row r="1103">
          <cell r="C1103" t="str">
            <v>Penarikan Pokok Dana Abadi Daerah</v>
          </cell>
          <cell r="D1103">
            <v>0</v>
          </cell>
        </row>
        <row r="1104">
          <cell r="C1104" t="str">
            <v>Penarikan Pokok Dana Abadi Daerah Dalam Kondisi Darurat</v>
          </cell>
          <cell r="D1104">
            <v>0</v>
          </cell>
        </row>
        <row r="1105">
          <cell r="C1105" t="str">
            <v>Penarikan Pokok Dana Abadi Daerah Dalam Kondisi Darurat</v>
          </cell>
          <cell r="D1105">
            <v>0</v>
          </cell>
        </row>
        <row r="1106">
          <cell r="C1106" t="str">
            <v>Penerimaan Pembiayaan Utang Daerah</v>
          </cell>
          <cell r="D1106">
            <v>0</v>
          </cell>
        </row>
        <row r="1107">
          <cell r="C1107" t="str">
            <v>Pinjaman Daerah</v>
          </cell>
          <cell r="D1107">
            <v>0</v>
          </cell>
        </row>
        <row r="1108">
          <cell r="C1108" t="str">
            <v>Pinjaman Daerah dari Pemerintah</v>
          </cell>
          <cell r="D1108">
            <v>0</v>
          </cell>
        </row>
        <row r="1109">
          <cell r="C1109" t="str">
            <v>Pinjaman Daerah dari Pemerintah Daerah Lain</v>
          </cell>
          <cell r="D1109">
            <v>0</v>
          </cell>
        </row>
        <row r="1110">
          <cell r="C1110" t="str">
            <v>Pinjaman Daerah dari Lembaga Keuangan Bank (LKB)</v>
          </cell>
          <cell r="D1110">
            <v>0</v>
          </cell>
        </row>
        <row r="1111">
          <cell r="C1111" t="str">
            <v>Pinjaman Daerah dari Lembaga Keuangan Bukan Bank (LKBB)</v>
          </cell>
          <cell r="D1111">
            <v>0</v>
          </cell>
        </row>
        <row r="1112">
          <cell r="C1112" t="str">
            <v>Obligasi Daerah</v>
          </cell>
          <cell r="D1112">
            <v>0</v>
          </cell>
        </row>
        <row r="1113">
          <cell r="C1113" t="str">
            <v>Obligasi Daerah</v>
          </cell>
          <cell r="D1113">
            <v>0</v>
          </cell>
        </row>
        <row r="1114">
          <cell r="C1114" t="str">
            <v>Sukuk Daerah</v>
          </cell>
          <cell r="D1114">
            <v>0</v>
          </cell>
        </row>
        <row r="1115">
          <cell r="C1115" t="str">
            <v>Sukuk Daerah</v>
          </cell>
          <cell r="D1115">
            <v>0</v>
          </cell>
        </row>
        <row r="1116">
          <cell r="C1116" t="str">
            <v>PENGELUARAN PEMBIAYAAN</v>
          </cell>
          <cell r="D1116">
            <v>1000000000</v>
          </cell>
        </row>
        <row r="1117">
          <cell r="C1117" t="str">
            <v>Pembentukan Dana Cadangan</v>
          </cell>
          <cell r="D1117">
            <v>0</v>
          </cell>
        </row>
        <row r="1118">
          <cell r="C1118" t="str">
            <v>Pembentukan Dana Cadangan</v>
          </cell>
          <cell r="D1118">
            <v>0</v>
          </cell>
        </row>
        <row r="1119">
          <cell r="C1119" t="str">
            <v>Pembentukan Dana Cadangan</v>
          </cell>
          <cell r="D1119">
            <v>0</v>
          </cell>
        </row>
        <row r="1120">
          <cell r="C1120" t="str">
            <v>Pembentukan Dana Cadangan untuk Pembayaran Pokok Obligasi</v>
          </cell>
          <cell r="D1120">
            <v>0</v>
          </cell>
        </row>
        <row r="1121">
          <cell r="C1121" t="str">
            <v>Pembentukan Dana Cadangan untuk Pembayaran Pokok Obligasi</v>
          </cell>
          <cell r="D1121">
            <v>0</v>
          </cell>
        </row>
        <row r="1122">
          <cell r="C1122" t="str">
            <v>Pembentukan Dana Cadangan untuk Pembayaran Pokok Sukuk</v>
          </cell>
          <cell r="D1122">
            <v>0</v>
          </cell>
        </row>
        <row r="1123">
          <cell r="C1123" t="str">
            <v>Pembentukan Dana Cadangan untuk Pembayaran Pokok Sukuk</v>
          </cell>
          <cell r="D1123">
            <v>0</v>
          </cell>
        </row>
        <row r="1124">
          <cell r="C1124" t="str">
            <v>Penyertaan Modal Daerah</v>
          </cell>
          <cell r="D1124">
            <v>1000000000</v>
          </cell>
        </row>
        <row r="1125">
          <cell r="C1125" t="str">
            <v>Penyertaan Modal Daerah pada Badan Usaha Milik Negara (BUMN)</v>
          </cell>
          <cell r="D1125">
            <v>0</v>
          </cell>
        </row>
        <row r="1126">
          <cell r="C1126" t="str">
            <v>Penyertaan Modal Daerah pada BUMN</v>
          </cell>
          <cell r="D1126">
            <v>0</v>
          </cell>
        </row>
        <row r="1127">
          <cell r="C1127" t="str">
            <v>Penyertaan Modal Daerah pada Badan Usaha Milik Daerah (BUMD)</v>
          </cell>
          <cell r="D1127">
            <v>1000000000</v>
          </cell>
        </row>
        <row r="1128">
          <cell r="C1128" t="str">
            <v>Penyertaan Modal Daerah pada BUMD</v>
          </cell>
          <cell r="D1128">
            <v>1000000000</v>
          </cell>
        </row>
        <row r="1129">
          <cell r="C1129" t="str">
            <v>Pembayaran Cicilan Pokok Utang yang Jatuh Tempo</v>
          </cell>
          <cell r="D1129">
            <v>0</v>
          </cell>
        </row>
        <row r="1130">
          <cell r="C1130" t="str">
            <v>Pembayaran Pinjaman Daerah dari Pemerintah Pusat</v>
          </cell>
          <cell r="D1130">
            <v>0</v>
          </cell>
        </row>
        <row r="1131">
          <cell r="C1131" t="str">
            <v>Pembayaran Pinjaman Daerah dari Pemerintah Pusat-Penerusan Pinjaman Dalam Negeri-Jangka Menengah</v>
          </cell>
          <cell r="D1131">
            <v>0</v>
          </cell>
        </row>
        <row r="1132">
          <cell r="C1132" t="str">
            <v>Pembayaran Pinjaman Daerah dari Pemerintah Pusat-Penerusan Pinjaman Dalam Negeri-Jangka Panjang</v>
          </cell>
          <cell r="D1132">
            <v>0</v>
          </cell>
        </row>
        <row r="1133">
          <cell r="C1133" t="str">
            <v>Pembayaran Pinjaman Daerah dari Pemerintah Pusat-Penerusan Pinjaman Luar Negeri-Jangka Menengah</v>
          </cell>
          <cell r="D1133">
            <v>0</v>
          </cell>
        </row>
        <row r="1134">
          <cell r="C1134" t="str">
            <v>Pembayaran Pinjaman Daerah dari Pemerintah Pusat-Penerusan Pinjaman Luar Negeri-Jangka Panjang</v>
          </cell>
          <cell r="D1134">
            <v>0</v>
          </cell>
        </row>
        <row r="1135">
          <cell r="C1135" t="str">
            <v>Pembayaran Pinjaman Daerah dari Pemerintah Pusat-Sumber Lainnya sesuai dengan Ketentuan Peraturan Perundang-Undangan-Jangka Menengah</v>
          </cell>
          <cell r="D1135">
            <v>0</v>
          </cell>
        </row>
        <row r="1136">
          <cell r="C1136" t="str">
            <v>Pembayaran Pinjaman Daerah dari Pemerintah Pusat-Sumber Lainnya sesuai dengan Ketentuan Peraturan Perundang-undangan-Jangka Panjang</v>
          </cell>
          <cell r="D1136">
            <v>0</v>
          </cell>
        </row>
        <row r="1137">
          <cell r="C1137" t="str">
            <v>Pembayaran Pinjaman dari Pemerintah Daerah Lain</v>
          </cell>
          <cell r="D1137">
            <v>0</v>
          </cell>
        </row>
        <row r="1138">
          <cell r="C1138" t="str">
            <v>Pembayaran Pinjaman dari Pemerintah Daerah Lain-Jangka Pendek</v>
          </cell>
          <cell r="D1138">
            <v>0</v>
          </cell>
        </row>
        <row r="1139">
          <cell r="C1139" t="str">
            <v>Pembayaran Pinjaman dari Lembaga Keuangan Bank (LKB)</v>
          </cell>
          <cell r="D1139">
            <v>0</v>
          </cell>
        </row>
        <row r="1140">
          <cell r="C1140" t="str">
            <v>Pembayaran Pinjaman dari Lembaga Keuangan Bank (LKB)-BUMN-Jangka Pendek</v>
          </cell>
          <cell r="D1140">
            <v>0</v>
          </cell>
        </row>
        <row r="1141">
          <cell r="C1141" t="str">
            <v>Pembayaran Pinjaman dari Lembaga Keuangan Bank (LKB)-BUMN-Jangka Menengah</v>
          </cell>
          <cell r="D1141">
            <v>0</v>
          </cell>
        </row>
        <row r="1142">
          <cell r="C1142" t="str">
            <v>Pembayaran Pinjaman dari Lembaga Keuangan Bank (LKB)-BUMN-Jangka Panjang</v>
          </cell>
          <cell r="D1142">
            <v>0</v>
          </cell>
        </row>
        <row r="1143">
          <cell r="C1143" t="str">
            <v>Pembayaran Pinjaman dari Lembaga Keuangan Bank (LKB)-BUMD-Jangka Pendek</v>
          </cell>
          <cell r="D1143">
            <v>0</v>
          </cell>
        </row>
        <row r="1144">
          <cell r="C1144" t="str">
            <v>Pembayaran Pinjaman dari Lembaga Keuangan Bank (LKB)-BUMD-Jangka Menengah</v>
          </cell>
          <cell r="D1144">
            <v>0</v>
          </cell>
        </row>
        <row r="1145">
          <cell r="C1145" t="str">
            <v>Pembayaran Pinjaman dari Lembaga Keuangan Bank (LKB)-BUMD-Jangka Panjang</v>
          </cell>
          <cell r="D1145">
            <v>0</v>
          </cell>
        </row>
        <row r="1146">
          <cell r="C1146" t="str">
            <v>Pembayaran Pinjaman dari Lembaga Keuangan Bank (LKB)-Swasta-Jangka Pendek</v>
          </cell>
          <cell r="D1146">
            <v>0</v>
          </cell>
        </row>
        <row r="1147">
          <cell r="C1147" t="str">
            <v>Pembayaran Pinjaman dari Lembaga Keuangan Bank (LKB)-Swasta-Jangka Menengah</v>
          </cell>
          <cell r="D1147">
            <v>0</v>
          </cell>
        </row>
        <row r="1148">
          <cell r="C1148" t="str">
            <v>Pembayaran Pinjaman dari Lembaga Keuangan Bank (LKB)-Swasta-Jangka Panjang</v>
          </cell>
          <cell r="D1148">
            <v>0</v>
          </cell>
        </row>
        <row r="1149">
          <cell r="C1149" t="str">
            <v>Pembayaran Pinjaman dari Lembaga Keuangan Bukan Bank (LKBB)</v>
          </cell>
          <cell r="D1149">
            <v>0</v>
          </cell>
        </row>
        <row r="1150">
          <cell r="C1150" t="str">
            <v>Pembayaran Pinjaman dari Lembaga Keuangan Bukan Bank (LKBB)-BUMN-Jangka Pendek</v>
          </cell>
          <cell r="D1150">
            <v>0</v>
          </cell>
        </row>
        <row r="1151">
          <cell r="C1151" t="str">
            <v>Pembayaran Pinjaman dari Lembaga Keuangan Bukan Bank (LKBB)-BUMN-Jangka Menengah</v>
          </cell>
          <cell r="D1151">
            <v>0</v>
          </cell>
        </row>
        <row r="1152">
          <cell r="C1152" t="str">
            <v>Pembayaran Pinjaman dari Lembaga Keuangan Bukan Bank (LKBB)-BUMN-Jangka Panjang</v>
          </cell>
          <cell r="D1152">
            <v>0</v>
          </cell>
        </row>
        <row r="1153">
          <cell r="C1153" t="str">
            <v>Pembayaran Pinjaman dari Lembaga Keuangan Bukan Bank (LKBB)-BUMD-Jangka Pendek</v>
          </cell>
          <cell r="D1153">
            <v>0</v>
          </cell>
        </row>
        <row r="1154">
          <cell r="C1154" t="str">
            <v>Pembayaran Pinjaman dari Lembaga Keuangan Bukan Bank (LKBB)-BUMD-Jangka Menengah</v>
          </cell>
          <cell r="D1154">
            <v>0</v>
          </cell>
        </row>
        <row r="1155">
          <cell r="C1155" t="str">
            <v>Pembayaran Pinjaman dari Lembaga Keuangan Bukan Bank (LKBB)-BUMD-Jangka Panjang</v>
          </cell>
          <cell r="D1155">
            <v>0</v>
          </cell>
        </row>
        <row r="1156">
          <cell r="C1156" t="str">
            <v>Pembayaran Pinjaman dari Lembaga Keuangan Bukan Bank (LKBB)-Swasta-Jangka Pendek</v>
          </cell>
          <cell r="D1156">
            <v>0</v>
          </cell>
        </row>
        <row r="1157">
          <cell r="C1157" t="str">
            <v>Pembayaran Pinjaman dari Lembaga Keuangan Bukan Bank (LKBB)-Swasta-Jangka Menengah</v>
          </cell>
          <cell r="D1157">
            <v>0</v>
          </cell>
        </row>
        <row r="1158">
          <cell r="C1158" t="str">
            <v>Pembayaran Pinjaman dari Lembaga Keuangan Bukan Bank (LKBB)-Swasta-Jangka Panjang</v>
          </cell>
          <cell r="D1158">
            <v>0</v>
          </cell>
        </row>
        <row r="1159">
          <cell r="C1159" t="str">
            <v>Pembayaran Pinjaman Daerah dari Masyarakat</v>
          </cell>
          <cell r="D1159">
            <v>0</v>
          </cell>
        </row>
        <row r="1160">
          <cell r="C1160" t="str">
            <v>Pembayaran Obligasi Daerah</v>
          </cell>
          <cell r="D1160">
            <v>0</v>
          </cell>
        </row>
        <row r="1161">
          <cell r="C1161" t="str">
            <v>Pemberian Pinjaman Daerah</v>
          </cell>
          <cell r="D1161">
            <v>0</v>
          </cell>
        </row>
        <row r="1162">
          <cell r="C1162" t="str">
            <v>Pemberian Pinjaman Daerah kepada Pemerintah Pusat</v>
          </cell>
          <cell r="D1162">
            <v>0</v>
          </cell>
        </row>
        <row r="1163">
          <cell r="C1163" t="str">
            <v>Pemberian Pinjaman Daerah kepada Pemerintah Pusat</v>
          </cell>
          <cell r="D1163">
            <v>0</v>
          </cell>
        </row>
        <row r="1164">
          <cell r="C1164" t="str">
            <v>Pemberian Pinjaman-Investasi dalam Proyek Pembangunan kepada Pemerintah Pusat</v>
          </cell>
          <cell r="D1164">
            <v>0</v>
          </cell>
        </row>
        <row r="1165">
          <cell r="C1165" t="str">
            <v>Pemberian Pinjaman Daerah kepada Pemerintah Daerah Lainnya</v>
          </cell>
          <cell r="D1165">
            <v>0</v>
          </cell>
        </row>
        <row r="1166">
          <cell r="C1166" t="str">
            <v>Pemberian Pinjaman Daerah kepada Pemerintah Daerah Lainnya</v>
          </cell>
          <cell r="D1166">
            <v>0</v>
          </cell>
        </row>
        <row r="1167">
          <cell r="C1167" t="str">
            <v>Pemberian Pinjaman-Investasi dalam Proyek Pembangunan kepada Pemerintah Daerah Lainnya</v>
          </cell>
          <cell r="D1167">
            <v>0</v>
          </cell>
        </row>
        <row r="1168">
          <cell r="C1168" t="str">
            <v>Pemberian Pinjaman Daerah kepada BUMD</v>
          </cell>
          <cell r="D1168">
            <v>0</v>
          </cell>
        </row>
        <row r="1169">
          <cell r="C1169" t="str">
            <v>Pemberian Pinjaman Daerah kepada BUMD</v>
          </cell>
          <cell r="D1169">
            <v>0</v>
          </cell>
        </row>
        <row r="1170">
          <cell r="C1170" t="str">
            <v>Pemberian Pinjaman-Investasi Non Permanen kepada BUMD</v>
          </cell>
          <cell r="D1170">
            <v>0</v>
          </cell>
        </row>
        <row r="1171">
          <cell r="C1171" t="str">
            <v>Pemberian Pinjaman Daerah kepada BUMN</v>
          </cell>
          <cell r="D1171">
            <v>0</v>
          </cell>
        </row>
        <row r="1172">
          <cell r="C1172" t="str">
            <v>Pemberian Pinjaman Daerah kepada BUMN</v>
          </cell>
          <cell r="D1172">
            <v>0</v>
          </cell>
        </row>
        <row r="1173">
          <cell r="C1173" t="str">
            <v>Pemberian Pinjaman-Investasi Non Permanen Lainnya kepada BUMN</v>
          </cell>
          <cell r="D1173">
            <v>0</v>
          </cell>
        </row>
        <row r="1174">
          <cell r="C1174" t="str">
            <v>Pemberian Pinjaman Daerah kepada Koperasi</v>
          </cell>
          <cell r="D1174">
            <v>0</v>
          </cell>
        </row>
        <row r="1175">
          <cell r="C1175" t="str">
            <v>Pemberian Pinjaman Daerah kepada Koperasi</v>
          </cell>
          <cell r="D1175">
            <v>0</v>
          </cell>
        </row>
        <row r="1176">
          <cell r="C1176" t="str">
            <v>Pemberian Pinjaman-Dana Bergulir kepada Koperasi</v>
          </cell>
          <cell r="D1176">
            <v>0</v>
          </cell>
        </row>
        <row r="1177">
          <cell r="C1177" t="str">
            <v>Pemberian Pinjaman Daerah kepada Masyarakat</v>
          </cell>
          <cell r="D1177">
            <v>0</v>
          </cell>
        </row>
        <row r="1178">
          <cell r="C1178" t="str">
            <v>Pemberian Pinjaman Daerah kepada Masyarakat</v>
          </cell>
          <cell r="D1178">
            <v>0</v>
          </cell>
        </row>
        <row r="1179">
          <cell r="C1179" t="str">
            <v>Pemberian Pinjaman-Dana Bergulir kepada Masyarakat</v>
          </cell>
          <cell r="D1179">
            <v>0</v>
          </cell>
        </row>
        <row r="1180">
          <cell r="C1180" t="str">
            <v>Pemberian Pinjaman-Dana Bergulir melalui BLUD</v>
          </cell>
          <cell r="D1180">
            <v>0</v>
          </cell>
        </row>
        <row r="1181">
          <cell r="C1181" t="str">
            <v>Pemberian Pinjaman-Dana Bergulir melalui BLUD</v>
          </cell>
          <cell r="D1181">
            <v>0</v>
          </cell>
        </row>
        <row r="1182">
          <cell r="C1182" t="str">
            <v>Pengeluaran Pembiayaan Lainnya sesuai dengan Ketentuan Peraturan Perundang-Undangan</v>
          </cell>
          <cell r="D1182">
            <v>0</v>
          </cell>
        </row>
        <row r="1183">
          <cell r="C1183" t="str">
            <v>Pinjaman melalui BLUD</v>
          </cell>
          <cell r="D1183">
            <v>0</v>
          </cell>
        </row>
        <row r="1184">
          <cell r="C1184" t="str">
            <v>Pinjaman melalui BLUD-Jangka Pendek</v>
          </cell>
          <cell r="D1184">
            <v>0</v>
          </cell>
        </row>
        <row r="1185">
          <cell r="C1185" t="str">
            <v>Pinjaman melalui BLUD-Jangka Menengah</v>
          </cell>
          <cell r="D1185">
            <v>0</v>
          </cell>
        </row>
        <row r="1186">
          <cell r="C1186" t="str">
            <v>Pinjaman melalui BLUD-Jangka Panjang</v>
          </cell>
          <cell r="D1186">
            <v>0</v>
          </cell>
        </row>
        <row r="1187">
          <cell r="C1187" t="str">
            <v>Investasi BLUD</v>
          </cell>
          <cell r="D1187">
            <v>0</v>
          </cell>
        </row>
        <row r="1188">
          <cell r="C1188" t="str">
            <v>Investasi Jangka Pendek BLUD</v>
          </cell>
          <cell r="D1188">
            <v>0</v>
          </cell>
        </row>
        <row r="1189">
          <cell r="C1189" t="str">
            <v>Pembentukan Dana Abadi Daerah</v>
          </cell>
          <cell r="D1189">
            <v>0</v>
          </cell>
        </row>
        <row r="1190">
          <cell r="C1190" t="str">
            <v>Pembentukan Pokok Dana Abadi Daerah</v>
          </cell>
          <cell r="D1190">
            <v>0</v>
          </cell>
        </row>
        <row r="1191">
          <cell r="C1191" t="str">
            <v>Pembentukan Pokok Dana Abadi Daerah</v>
          </cell>
          <cell r="D1191">
            <v>0</v>
          </cell>
        </row>
        <row r="1192">
          <cell r="C1192" t="str">
            <v>Pembentukan atas Penambahan Pokok Dana Abadi Daerah</v>
          </cell>
          <cell r="D1192">
            <v>0</v>
          </cell>
        </row>
        <row r="1193">
          <cell r="C1193" t="str">
            <v>Pembentukan atas Penambahan Pokok Dana Abadi Daerah</v>
          </cell>
          <cell r="D1193">
            <v>0</v>
          </cell>
        </row>
        <row r="1194">
          <cell r="C1194" t="str">
            <v xml:space="preserve">Pembentukan atas Pengembalian Pokok Dana Abadi Daerah Akibat Kondisi Darurat </v>
          </cell>
          <cell r="D1194">
            <v>0</v>
          </cell>
        </row>
        <row r="1195">
          <cell r="C1195" t="str">
            <v xml:space="preserve">Pembentukan atas Pengembalian Pokok Dana Abadi Daerah Akibat Kondisi Darurat </v>
          </cell>
          <cell r="D1195">
            <v>0</v>
          </cell>
        </row>
        <row r="1196">
          <cell r="C1196" t="str">
            <v>Pembayaran Pembiayaan Utang Daerah</v>
          </cell>
          <cell r="D1196">
            <v>0</v>
          </cell>
        </row>
        <row r="1197">
          <cell r="C1197" t="str">
            <v>Pembayaran Cicilan Pokok Pinjaman Daerah</v>
          </cell>
          <cell r="D1197">
            <v>0</v>
          </cell>
        </row>
        <row r="1198">
          <cell r="C1198" t="str">
            <v>Pembayaran Cicilan Pokok Pinjaman Daerah dari Pemerintah</v>
          </cell>
          <cell r="D1198">
            <v>0</v>
          </cell>
        </row>
        <row r="1199">
          <cell r="C1199" t="str">
            <v>Pembayaran Cicilan Pokok Pinjaman Daerah dari Pemerintah Daerah Lain</v>
          </cell>
          <cell r="D1199">
            <v>0</v>
          </cell>
        </row>
        <row r="1200">
          <cell r="C1200" t="str">
            <v>Pembayaran Cicilan Pokok Pinjaman Daerah dari Lembaga Keuangan Bank (LKB)</v>
          </cell>
          <cell r="D1200">
            <v>0</v>
          </cell>
        </row>
        <row r="1201">
          <cell r="C1201" t="str">
            <v>Pembayaran Cicilan Pokok Pinjaman Daerah dari Lembaga Keuangan Bukan Bank (LKBB)</v>
          </cell>
          <cell r="D1201">
            <v>0</v>
          </cell>
        </row>
        <row r="1202">
          <cell r="C1202" t="str">
            <v>Pembelian Kembali Obligasi Daerah</v>
          </cell>
          <cell r="D1202">
            <v>0</v>
          </cell>
        </row>
        <row r="1203">
          <cell r="C1203" t="str">
            <v>Pembelian Kembali Obligasi Daerah</v>
          </cell>
          <cell r="D1203">
            <v>0</v>
          </cell>
        </row>
        <row r="1204">
          <cell r="C1204" t="str">
            <v>Pembelian Kembali Sukuk Daerah</v>
          </cell>
          <cell r="D1204">
            <v>0</v>
          </cell>
        </row>
        <row r="1205">
          <cell r="C1205" t="str">
            <v>Pembelian Kembali Sukuk Daerah</v>
          </cell>
          <cell r="D1205">
            <v>0</v>
          </cell>
        </row>
        <row r="1207">
          <cell r="C1207" t="str">
            <v>PEMBIAYAAN DAERAH NETTO</v>
          </cell>
          <cell r="D1207">
            <v>38926493536.959999</v>
          </cell>
        </row>
        <row r="1209">
          <cell r="C1209" t="str">
            <v>SISA LEBIH/(KURANG) PEMBIAYAAN ANGGARAN - SILPA/(SIKPA)</v>
          </cell>
          <cell r="D1209">
            <v>0</v>
          </cell>
        </row>
      </sheetData>
      <sheetData sheetId="3" refreshError="1"/>
      <sheetData sheetId="4" refreshError="1"/>
      <sheetData sheetId="5">
        <row r="12">
          <cell r="B12" t="str">
            <v>NERACA</v>
          </cell>
          <cell r="C12" t="str">
            <v>NERACA</v>
          </cell>
          <cell r="D12" t="str">
            <v>NERACA</v>
          </cell>
          <cell r="E12" t="str">
            <v>NERACA</v>
          </cell>
          <cell r="F12" t="str">
            <v>NERACA</v>
          </cell>
          <cell r="G12" t="str">
            <v>NERACA</v>
          </cell>
          <cell r="H12" t="str">
            <v>NERACA</v>
          </cell>
          <cell r="I12" t="str">
            <v>NERACA</v>
          </cell>
          <cell r="J12" t="str">
            <v>NERACA</v>
          </cell>
        </row>
        <row r="14">
          <cell r="B14" t="str">
            <v>1</v>
          </cell>
          <cell r="C14" t="str">
            <v>ASET</v>
          </cell>
          <cell r="D14" t="str">
            <v>2.987.207.439.181,28</v>
          </cell>
          <cell r="E14" t="str">
            <v>3.056.297.411.995,59</v>
          </cell>
          <cell r="J14" t="str">
            <v>3.031.483.875.759,72</v>
          </cell>
        </row>
        <row r="15">
          <cell r="B15" t="str">
            <v>1.1</v>
          </cell>
          <cell r="C15" t="str">
            <v>ASET LANCAR</v>
          </cell>
          <cell r="D15">
            <v>97266298953.736588</v>
          </cell>
          <cell r="E15">
            <v>175271851223.92999</v>
          </cell>
          <cell r="J15">
            <v>180757327166.28003</v>
          </cell>
        </row>
        <row r="16">
          <cell r="B16" t="str">
            <v>1.1.01</v>
          </cell>
          <cell r="C16" t="str">
            <v>Kas dan Setara Kas</v>
          </cell>
          <cell r="D16">
            <v>40009174630.370003</v>
          </cell>
          <cell r="E16">
            <v>134180796102.78</v>
          </cell>
          <cell r="J16">
            <v>68604191786.089996</v>
          </cell>
        </row>
        <row r="17">
          <cell r="B17" t="str">
            <v>1.1.01.01</v>
          </cell>
          <cell r="C17" t="str">
            <v>Kas di Kas Daerah</v>
          </cell>
          <cell r="D17">
            <v>29939689016.700001</v>
          </cell>
          <cell r="E17">
            <v>57768870005.419998</v>
          </cell>
          <cell r="J17">
            <v>57768870005.419998</v>
          </cell>
        </row>
        <row r="18">
          <cell r="B18" t="str">
            <v>1.1.01.01.01</v>
          </cell>
          <cell r="C18" t="str">
            <v>Kas di Kas Daerah</v>
          </cell>
          <cell r="D18">
            <v>29939689016.700001</v>
          </cell>
          <cell r="E18">
            <v>57768870005.419998</v>
          </cell>
          <cell r="F18">
            <v>0</v>
          </cell>
          <cell r="G18">
            <v>0</v>
          </cell>
          <cell r="H18">
            <v>0</v>
          </cell>
          <cell r="I18">
            <v>0</v>
          </cell>
          <cell r="J18">
            <v>57768870005.419998</v>
          </cell>
        </row>
        <row r="19">
          <cell r="B19" t="str">
            <v>1.1.01.02</v>
          </cell>
          <cell r="C19" t="str">
            <v>Kas di Bendahara Penerimaan</v>
          </cell>
          <cell r="D19">
            <v>81100000</v>
          </cell>
          <cell r="E19">
            <v>875000</v>
          </cell>
          <cell r="J19">
            <v>0</v>
          </cell>
        </row>
        <row r="20">
          <cell r="B20" t="str">
            <v>1.1.01.02.01</v>
          </cell>
          <cell r="C20" t="str">
            <v>Kas di Bendahara Penerimaan</v>
          </cell>
          <cell r="D20">
            <v>81100000</v>
          </cell>
          <cell r="E20">
            <v>875000</v>
          </cell>
          <cell r="F20">
            <v>0</v>
          </cell>
          <cell r="G20">
            <v>875000</v>
          </cell>
          <cell r="H20">
            <v>0</v>
          </cell>
          <cell r="I20">
            <v>0</v>
          </cell>
          <cell r="J20">
            <v>0</v>
          </cell>
        </row>
        <row r="21">
          <cell r="B21" t="str">
            <v>1.1.01.03</v>
          </cell>
          <cell r="C21" t="str">
            <v>Kas di Bendahara Pengeluaran</v>
          </cell>
          <cell r="D21">
            <v>0</v>
          </cell>
          <cell r="E21">
            <v>5207916</v>
          </cell>
          <cell r="J21">
            <v>5207916</v>
          </cell>
        </row>
        <row r="22">
          <cell r="B22" t="str">
            <v>1.1.01.03.01</v>
          </cell>
          <cell r="C22" t="str">
            <v>Kas di Bendahara Pengeluaran</v>
          </cell>
          <cell r="D22">
            <v>0</v>
          </cell>
          <cell r="E22">
            <v>5207916</v>
          </cell>
          <cell r="F22">
            <v>0</v>
          </cell>
          <cell r="G22">
            <v>0</v>
          </cell>
          <cell r="H22">
            <v>0</v>
          </cell>
          <cell r="I22">
            <v>0</v>
          </cell>
          <cell r="J22">
            <v>5207916</v>
          </cell>
        </row>
        <row r="23">
          <cell r="B23" t="str">
            <v>1.1.01.04</v>
          </cell>
          <cell r="C23" t="str">
            <v>Kas di BLUD</v>
          </cell>
          <cell r="D23">
            <v>8696807068.9500008</v>
          </cell>
          <cell r="E23">
            <v>9467988438.9699993</v>
          </cell>
          <cell r="J23">
            <v>9517506186.9699993</v>
          </cell>
        </row>
        <row r="24">
          <cell r="B24" t="str">
            <v>1.1.01.04.01</v>
          </cell>
          <cell r="C24" t="str">
            <v>Kas di BLUD</v>
          </cell>
          <cell r="D24">
            <v>8696807068.9500008</v>
          </cell>
          <cell r="E24">
            <v>9467988438.9699993</v>
          </cell>
          <cell r="F24">
            <v>49517748</v>
          </cell>
          <cell r="G24">
            <v>0</v>
          </cell>
          <cell r="H24">
            <v>0</v>
          </cell>
          <cell r="I24">
            <v>0</v>
          </cell>
          <cell r="J24">
            <v>9517506186.9699993</v>
          </cell>
        </row>
        <row r="25">
          <cell r="B25" t="str">
            <v>1.1.01.05</v>
          </cell>
          <cell r="C25" t="str">
            <v>Kas Dana BOS</v>
          </cell>
          <cell r="D25">
            <v>59683634.719999999</v>
          </cell>
          <cell r="E25">
            <v>289519656.38999999</v>
          </cell>
          <cell r="J25">
            <v>364491045.69999993</v>
          </cell>
        </row>
        <row r="26">
          <cell r="B26" t="str">
            <v>1.1.01.05.01</v>
          </cell>
          <cell r="C26" t="str">
            <v>Kas Dana BOS</v>
          </cell>
          <cell r="D26">
            <v>59683634.719999999</v>
          </cell>
          <cell r="E26">
            <v>289519656.38999999</v>
          </cell>
          <cell r="F26">
            <v>229401733.31999993</v>
          </cell>
          <cell r="G26">
            <v>154430344.00999999</v>
          </cell>
          <cell r="H26">
            <v>0</v>
          </cell>
          <cell r="I26">
            <v>0</v>
          </cell>
          <cell r="J26">
            <v>364491045.69999993</v>
          </cell>
        </row>
        <row r="27">
          <cell r="B27" t="str">
            <v>1.1.01.06</v>
          </cell>
          <cell r="C27" t="str">
            <v>Kas Dana Kapitasi pada FKTP</v>
          </cell>
          <cell r="D27">
            <v>0</v>
          </cell>
          <cell r="E27">
            <v>0</v>
          </cell>
          <cell r="J27">
            <v>0</v>
          </cell>
        </row>
        <row r="28">
          <cell r="B28" t="str">
            <v>1.1.01.06.01</v>
          </cell>
          <cell r="C28" t="str">
            <v>Kas Dana Kapitasi pada FKTP</v>
          </cell>
          <cell r="D28">
            <v>0</v>
          </cell>
          <cell r="E28">
            <v>0</v>
          </cell>
          <cell r="F28">
            <v>0</v>
          </cell>
          <cell r="G28">
            <v>0</v>
          </cell>
          <cell r="H28">
            <v>0</v>
          </cell>
          <cell r="I28">
            <v>0</v>
          </cell>
          <cell r="J28">
            <v>0</v>
          </cell>
        </row>
        <row r="29">
          <cell r="B29" t="str">
            <v>1.1.01.07</v>
          </cell>
          <cell r="C29" t="str">
            <v>Kas Lainnya</v>
          </cell>
          <cell r="D29">
            <v>0</v>
          </cell>
          <cell r="E29">
            <v>65700218454</v>
          </cell>
          <cell r="J29">
            <v>0</v>
          </cell>
        </row>
        <row r="30">
          <cell r="B30" t="str">
            <v>1.1.01.07.01</v>
          </cell>
          <cell r="C30" t="str">
            <v>Kas Lainnya</v>
          </cell>
          <cell r="D30">
            <v>0</v>
          </cell>
          <cell r="E30">
            <v>65700218454</v>
          </cell>
          <cell r="F30">
            <v>0</v>
          </cell>
          <cell r="G30">
            <v>65700218454</v>
          </cell>
          <cell r="H30">
            <v>0</v>
          </cell>
          <cell r="I30">
            <v>0</v>
          </cell>
          <cell r="J30">
            <v>0</v>
          </cell>
        </row>
        <row r="31">
          <cell r="B31" t="str">
            <v>1.1.01.08</v>
          </cell>
          <cell r="C31" t="str">
            <v>Setara Kas</v>
          </cell>
          <cell r="D31">
            <v>0</v>
          </cell>
          <cell r="E31">
            <v>0</v>
          </cell>
          <cell r="J31">
            <v>0</v>
          </cell>
        </row>
        <row r="32">
          <cell r="B32" t="str">
            <v>1.1.01.08.01</v>
          </cell>
          <cell r="C32" t="str">
            <v>Setara Kas</v>
          </cell>
          <cell r="D32">
            <v>0</v>
          </cell>
          <cell r="E32">
            <v>0</v>
          </cell>
          <cell r="F32">
            <v>0</v>
          </cell>
          <cell r="G32">
            <v>0</v>
          </cell>
          <cell r="H32">
            <v>0</v>
          </cell>
          <cell r="I32">
            <v>0</v>
          </cell>
          <cell r="J32">
            <v>0</v>
          </cell>
        </row>
        <row r="33">
          <cell r="B33" t="str">
            <v>1.1.01.09</v>
          </cell>
          <cell r="C33" t="str">
            <v>Kas Dana Desa</v>
          </cell>
          <cell r="D33">
            <v>0</v>
          </cell>
          <cell r="E33">
            <v>0</v>
          </cell>
          <cell r="J33">
            <v>0</v>
          </cell>
        </row>
        <row r="34">
          <cell r="B34" t="str">
            <v>1.1.01.09.01</v>
          </cell>
          <cell r="C34" t="str">
            <v>Kas Dana Desa</v>
          </cell>
          <cell r="D34">
            <v>0</v>
          </cell>
          <cell r="E34">
            <v>0</v>
          </cell>
          <cell r="F34">
            <v>0</v>
          </cell>
          <cell r="G34">
            <v>0</v>
          </cell>
          <cell r="H34">
            <v>0</v>
          </cell>
          <cell r="I34">
            <v>0</v>
          </cell>
          <cell r="J34">
            <v>0</v>
          </cell>
        </row>
        <row r="35">
          <cell r="B35" t="str">
            <v>1.1.01.10</v>
          </cell>
          <cell r="C35" t="str">
            <v>Kas Dana BOSP</v>
          </cell>
          <cell r="D35">
            <v>0</v>
          </cell>
          <cell r="E35">
            <v>0</v>
          </cell>
          <cell r="J35">
            <v>0</v>
          </cell>
        </row>
        <row r="36">
          <cell r="B36" t="str">
            <v>1.1.01.10.01</v>
          </cell>
          <cell r="C36" t="str">
            <v>Kas Dana BOSP</v>
          </cell>
          <cell r="D36">
            <v>0</v>
          </cell>
          <cell r="E36">
            <v>0</v>
          </cell>
          <cell r="F36">
            <v>0</v>
          </cell>
          <cell r="G36">
            <v>0</v>
          </cell>
          <cell r="H36">
            <v>0</v>
          </cell>
          <cell r="I36">
            <v>0</v>
          </cell>
          <cell r="J36">
            <v>0</v>
          </cell>
        </row>
        <row r="37">
          <cell r="B37" t="str">
            <v>1.1.01.11</v>
          </cell>
          <cell r="C37" t="str">
            <v>Kas Dana BOK Puskesmas</v>
          </cell>
          <cell r="D37">
            <v>1231894910</v>
          </cell>
          <cell r="E37">
            <v>948116632</v>
          </cell>
          <cell r="J37">
            <v>948116632</v>
          </cell>
        </row>
        <row r="38">
          <cell r="B38" t="str">
            <v>1.1.01.11.01</v>
          </cell>
          <cell r="C38" t="str">
            <v>Kas Dana BOK Puskesmas</v>
          </cell>
          <cell r="D38">
            <v>1231894910</v>
          </cell>
          <cell r="E38">
            <v>948116632</v>
          </cell>
          <cell r="F38">
            <v>0</v>
          </cell>
          <cell r="G38">
            <v>0</v>
          </cell>
          <cell r="H38">
            <v>0</v>
          </cell>
          <cell r="I38">
            <v>0</v>
          </cell>
          <cell r="J38">
            <v>948116632</v>
          </cell>
        </row>
        <row r="39">
          <cell r="B39" t="str">
            <v>1.1.01.12</v>
          </cell>
          <cell r="C39" t="str">
            <v>Kas Otonomi Khusus</v>
          </cell>
          <cell r="D39">
            <v>0</v>
          </cell>
          <cell r="E39">
            <v>0</v>
          </cell>
          <cell r="J39">
            <v>0</v>
          </cell>
        </row>
        <row r="40">
          <cell r="B40" t="str">
            <v>1.1.01.12.01</v>
          </cell>
          <cell r="C40" t="str">
            <v>Kas Otonomi Khusus-Papua</v>
          </cell>
          <cell r="F40">
            <v>0</v>
          </cell>
          <cell r="G40">
            <v>0</v>
          </cell>
          <cell r="H40">
            <v>0</v>
          </cell>
          <cell r="I40">
            <v>0</v>
          </cell>
          <cell r="J40">
            <v>0</v>
          </cell>
        </row>
        <row r="41">
          <cell r="B41" t="str">
            <v>1.1.01.12.02</v>
          </cell>
          <cell r="C41" t="str">
            <v>Kas Otonomi Khusus-Aceh</v>
          </cell>
          <cell r="F41">
            <v>0</v>
          </cell>
          <cell r="G41">
            <v>0</v>
          </cell>
          <cell r="H41">
            <v>0</v>
          </cell>
          <cell r="I41">
            <v>0</v>
          </cell>
          <cell r="J41">
            <v>0</v>
          </cell>
        </row>
        <row r="42">
          <cell r="B42" t="str">
            <v>1.1.01.13</v>
          </cell>
          <cell r="C42" t="str">
            <v>Kas Dana Abadi Daerah</v>
          </cell>
          <cell r="D42">
            <v>0</v>
          </cell>
          <cell r="E42">
            <v>0</v>
          </cell>
          <cell r="J42">
            <v>0</v>
          </cell>
        </row>
        <row r="43">
          <cell r="B43" t="str">
            <v>1.1.01.13.01</v>
          </cell>
          <cell r="C43" t="str">
            <v>Kas Dana Abadi Daerah</v>
          </cell>
          <cell r="F43">
            <v>0</v>
          </cell>
          <cell r="G43">
            <v>0</v>
          </cell>
          <cell r="H43">
            <v>0</v>
          </cell>
          <cell r="I43">
            <v>0</v>
          </cell>
          <cell r="J43">
            <v>0</v>
          </cell>
        </row>
        <row r="45">
          <cell r="B45" t="str">
            <v>1.1.02</v>
          </cell>
          <cell r="C45" t="str">
            <v>Investasi Jangka Pendek</v>
          </cell>
          <cell r="D45">
            <v>0</v>
          </cell>
          <cell r="E45">
            <v>0</v>
          </cell>
          <cell r="J45">
            <v>0</v>
          </cell>
        </row>
        <row r="46">
          <cell r="B46" t="str">
            <v>1.1.02.01</v>
          </cell>
          <cell r="C46" t="str">
            <v>Investasi dalam Saham</v>
          </cell>
          <cell r="D46">
            <v>0</v>
          </cell>
          <cell r="E46">
            <v>0</v>
          </cell>
          <cell r="J46">
            <v>0</v>
          </cell>
        </row>
        <row r="47">
          <cell r="B47" t="str">
            <v>1.1.02.01.01</v>
          </cell>
          <cell r="C47" t="str">
            <v>Investasi dalam Saham</v>
          </cell>
          <cell r="F47">
            <v>0</v>
          </cell>
          <cell r="G47">
            <v>0</v>
          </cell>
          <cell r="H47">
            <v>0</v>
          </cell>
          <cell r="I47">
            <v>0</v>
          </cell>
          <cell r="J47">
            <v>0</v>
          </cell>
        </row>
        <row r="48">
          <cell r="B48" t="str">
            <v>1.1.02.02</v>
          </cell>
          <cell r="C48" t="str">
            <v>Investasi dalam Deposito</v>
          </cell>
          <cell r="D48">
            <v>0</v>
          </cell>
          <cell r="E48">
            <v>0</v>
          </cell>
          <cell r="J48">
            <v>0</v>
          </cell>
        </row>
        <row r="49">
          <cell r="B49" t="str">
            <v>1.1.02.02.01</v>
          </cell>
          <cell r="C49" t="str">
            <v>Deposito Jangka Pendek</v>
          </cell>
          <cell r="F49">
            <v>0</v>
          </cell>
          <cell r="G49">
            <v>0</v>
          </cell>
          <cell r="H49">
            <v>0</v>
          </cell>
          <cell r="I49">
            <v>0</v>
          </cell>
          <cell r="J49">
            <v>0</v>
          </cell>
        </row>
        <row r="50">
          <cell r="B50" t="str">
            <v>1.1.02.03</v>
          </cell>
          <cell r="C50" t="str">
            <v>Investasi dalam SUN</v>
          </cell>
          <cell r="D50">
            <v>0</v>
          </cell>
          <cell r="E50">
            <v>0</v>
          </cell>
          <cell r="J50">
            <v>0</v>
          </cell>
        </row>
        <row r="51">
          <cell r="B51" t="str">
            <v>1.1.02.03.01</v>
          </cell>
          <cell r="C51" t="str">
            <v>Investasi dalam SUN</v>
          </cell>
          <cell r="F51">
            <v>0</v>
          </cell>
          <cell r="G51">
            <v>0</v>
          </cell>
          <cell r="H51">
            <v>0</v>
          </cell>
          <cell r="I51">
            <v>0</v>
          </cell>
          <cell r="J51">
            <v>0</v>
          </cell>
        </row>
        <row r="52">
          <cell r="B52" t="str">
            <v>1.1.02.04</v>
          </cell>
          <cell r="C52" t="str">
            <v>Investasi dalam SBI</v>
          </cell>
          <cell r="D52">
            <v>0</v>
          </cell>
          <cell r="E52">
            <v>0</v>
          </cell>
          <cell r="J52">
            <v>0</v>
          </cell>
        </row>
        <row r="53">
          <cell r="B53" t="str">
            <v>1.1.02.04.01</v>
          </cell>
          <cell r="C53" t="str">
            <v>Investasi dalam SBI</v>
          </cell>
          <cell r="F53">
            <v>0</v>
          </cell>
          <cell r="G53">
            <v>0</v>
          </cell>
          <cell r="H53">
            <v>0</v>
          </cell>
          <cell r="I53">
            <v>0</v>
          </cell>
          <cell r="J53">
            <v>0</v>
          </cell>
        </row>
        <row r="54">
          <cell r="B54" t="str">
            <v>1.1.02.05</v>
          </cell>
          <cell r="C54" t="str">
            <v>Investasi dalam SPN</v>
          </cell>
          <cell r="D54">
            <v>0</v>
          </cell>
          <cell r="E54">
            <v>0</v>
          </cell>
          <cell r="J54">
            <v>0</v>
          </cell>
        </row>
        <row r="55">
          <cell r="B55" t="str">
            <v>1.1.02.05.01</v>
          </cell>
          <cell r="C55" t="str">
            <v>Investasi dalam SPN</v>
          </cell>
          <cell r="F55">
            <v>0</v>
          </cell>
          <cell r="G55">
            <v>0</v>
          </cell>
          <cell r="H55">
            <v>0</v>
          </cell>
          <cell r="I55">
            <v>0</v>
          </cell>
          <cell r="J55">
            <v>0</v>
          </cell>
        </row>
        <row r="56">
          <cell r="B56" t="str">
            <v>1.1.02.06</v>
          </cell>
          <cell r="C56" t="str">
            <v>Investasi Jangka Pendek BLUD</v>
          </cell>
          <cell r="D56">
            <v>0</v>
          </cell>
          <cell r="E56">
            <v>0</v>
          </cell>
          <cell r="J56">
            <v>0</v>
          </cell>
        </row>
        <row r="57">
          <cell r="B57" t="str">
            <v>1.1.02.06.01</v>
          </cell>
          <cell r="C57" t="str">
            <v>Investasi Jangka Pendek BLUD</v>
          </cell>
          <cell r="F57">
            <v>0</v>
          </cell>
          <cell r="G57">
            <v>0</v>
          </cell>
          <cell r="H57">
            <v>0</v>
          </cell>
          <cell r="I57">
            <v>0</v>
          </cell>
          <cell r="J57">
            <v>0</v>
          </cell>
        </row>
        <row r="59">
          <cell r="B59" t="str">
            <v>1.1.03</v>
          </cell>
          <cell r="C59" t="str">
            <v>Piutang Pajak Daerah</v>
          </cell>
          <cell r="D59">
            <v>22489883236.32</v>
          </cell>
          <cell r="E59">
            <v>25956079979.719997</v>
          </cell>
          <cell r="J59">
            <v>24523290625.319996</v>
          </cell>
        </row>
        <row r="60">
          <cell r="B60" t="str">
            <v>1.1.03.01</v>
          </cell>
          <cell r="C60" t="str">
            <v>Piutang Pajak Kendaraan Bermotor (PKB)</v>
          </cell>
          <cell r="D60">
            <v>0</v>
          </cell>
          <cell r="E60">
            <v>0</v>
          </cell>
          <cell r="J60">
            <v>0</v>
          </cell>
        </row>
        <row r="61">
          <cell r="B61" t="str">
            <v>1.1.03.01.01</v>
          </cell>
          <cell r="C61" t="str">
            <v>Piutang PKB-Mobil Penumpang-Sedan</v>
          </cell>
          <cell r="F61">
            <v>0</v>
          </cell>
          <cell r="G61">
            <v>0</v>
          </cell>
          <cell r="H61">
            <v>0</v>
          </cell>
          <cell r="I61">
            <v>0</v>
          </cell>
          <cell r="J61">
            <v>0</v>
          </cell>
        </row>
        <row r="62">
          <cell r="B62" t="str">
            <v>1.1.03.01.02</v>
          </cell>
          <cell r="C62" t="str">
            <v>Piutang PKB-Mobil Penumpang-Jeep</v>
          </cell>
          <cell r="F62">
            <v>0</v>
          </cell>
          <cell r="G62">
            <v>0</v>
          </cell>
          <cell r="H62">
            <v>0</v>
          </cell>
          <cell r="I62">
            <v>0</v>
          </cell>
          <cell r="J62">
            <v>0</v>
          </cell>
        </row>
        <row r="63">
          <cell r="B63" t="str">
            <v>1.1.03.01.03</v>
          </cell>
          <cell r="C63" t="str">
            <v>Piutang PKB-Mobil Penumpang-Minibus</v>
          </cell>
          <cell r="F63">
            <v>0</v>
          </cell>
          <cell r="G63">
            <v>0</v>
          </cell>
          <cell r="H63">
            <v>0</v>
          </cell>
          <cell r="I63">
            <v>0</v>
          </cell>
          <cell r="J63">
            <v>0</v>
          </cell>
        </row>
        <row r="64">
          <cell r="B64" t="str">
            <v>1.1.03.01.04</v>
          </cell>
          <cell r="C64" t="str">
            <v>Piutang PKB-Mobil Bus-Microbus</v>
          </cell>
          <cell r="F64">
            <v>0</v>
          </cell>
          <cell r="G64">
            <v>0</v>
          </cell>
          <cell r="H64">
            <v>0</v>
          </cell>
          <cell r="I64">
            <v>0</v>
          </cell>
          <cell r="J64">
            <v>0</v>
          </cell>
        </row>
        <row r="65">
          <cell r="B65" t="str">
            <v>1.1.03.01.05</v>
          </cell>
          <cell r="C65" t="str">
            <v>Piutang PKB-Mobil Bus-Bus</v>
          </cell>
          <cell r="F65">
            <v>0</v>
          </cell>
          <cell r="G65">
            <v>0</v>
          </cell>
          <cell r="H65">
            <v>0</v>
          </cell>
          <cell r="I65">
            <v>0</v>
          </cell>
          <cell r="J65">
            <v>0</v>
          </cell>
        </row>
        <row r="66">
          <cell r="B66" t="str">
            <v>1.1.03.01.06</v>
          </cell>
          <cell r="C66" t="str">
            <v>Piutang PKB-Mobil Barang/Beban-Pick Up</v>
          </cell>
          <cell r="F66">
            <v>0</v>
          </cell>
          <cell r="G66">
            <v>0</v>
          </cell>
          <cell r="H66">
            <v>0</v>
          </cell>
          <cell r="I66">
            <v>0</v>
          </cell>
          <cell r="J66">
            <v>0</v>
          </cell>
        </row>
        <row r="67">
          <cell r="B67" t="str">
            <v>1.1.03.01.07</v>
          </cell>
          <cell r="C67" t="str">
            <v>Piutang PKB-Mobil Barang/Beban-Light Truck</v>
          </cell>
          <cell r="F67">
            <v>0</v>
          </cell>
          <cell r="G67">
            <v>0</v>
          </cell>
          <cell r="H67">
            <v>0</v>
          </cell>
          <cell r="I67">
            <v>0</v>
          </cell>
          <cell r="J67">
            <v>0</v>
          </cell>
        </row>
        <row r="68">
          <cell r="B68" t="str">
            <v>1.1.03.01.08</v>
          </cell>
          <cell r="C68" t="str">
            <v>Piutang PKB-Mobil Barang/Beban-Truck</v>
          </cell>
          <cell r="F68">
            <v>0</v>
          </cell>
          <cell r="G68">
            <v>0</v>
          </cell>
          <cell r="H68">
            <v>0</v>
          </cell>
          <cell r="I68">
            <v>0</v>
          </cell>
          <cell r="J68">
            <v>0</v>
          </cell>
        </row>
        <row r="69">
          <cell r="B69" t="str">
            <v>1.1.03.01.09</v>
          </cell>
          <cell r="C69" t="str">
            <v>Piutang PKB-Mobil Barang/Beban-Blind Van</v>
          </cell>
          <cell r="F69">
            <v>0</v>
          </cell>
          <cell r="G69">
            <v>0</v>
          </cell>
          <cell r="H69">
            <v>0</v>
          </cell>
          <cell r="I69">
            <v>0</v>
          </cell>
          <cell r="J69">
            <v>0</v>
          </cell>
        </row>
        <row r="70">
          <cell r="B70" t="str">
            <v>1.1.03.01.10</v>
          </cell>
          <cell r="C70" t="str">
            <v>Piutang PKB-Sepeda Motor-Sepeda Motor Roda Dua</v>
          </cell>
          <cell r="F70">
            <v>0</v>
          </cell>
          <cell r="G70">
            <v>0</v>
          </cell>
          <cell r="H70">
            <v>0</v>
          </cell>
          <cell r="I70">
            <v>0</v>
          </cell>
          <cell r="J70">
            <v>0</v>
          </cell>
        </row>
        <row r="71">
          <cell r="B71" t="str">
            <v>1.1.03.01.11</v>
          </cell>
          <cell r="C71" t="str">
            <v>Piutang PKB-Sepeda Motor-Sepeda Motor Roda Tiga</v>
          </cell>
          <cell r="F71">
            <v>0</v>
          </cell>
          <cell r="G71">
            <v>0</v>
          </cell>
          <cell r="H71">
            <v>0</v>
          </cell>
          <cell r="I71">
            <v>0</v>
          </cell>
          <cell r="J71">
            <v>0</v>
          </cell>
        </row>
        <row r="72">
          <cell r="B72" t="str">
            <v>1.1.03.01.12</v>
          </cell>
          <cell r="C72" t="str">
            <v>Piutang PKB-Kendaraan Bermotor yang Dioperasikan di Air</v>
          </cell>
          <cell r="F72">
            <v>0</v>
          </cell>
          <cell r="G72">
            <v>0</v>
          </cell>
          <cell r="H72">
            <v>0</v>
          </cell>
          <cell r="I72">
            <v>0</v>
          </cell>
          <cell r="J72">
            <v>0</v>
          </cell>
        </row>
        <row r="73">
          <cell r="B73" t="str">
            <v>1.1.03.01.13</v>
          </cell>
          <cell r="C73" t="str">
            <v>Piutang PKB-Kendaraan Khusus Alat Berat/Alat Besar</v>
          </cell>
          <cell r="F73">
            <v>0</v>
          </cell>
          <cell r="G73">
            <v>0</v>
          </cell>
          <cell r="H73">
            <v>0</v>
          </cell>
          <cell r="I73">
            <v>0</v>
          </cell>
          <cell r="J73">
            <v>0</v>
          </cell>
        </row>
        <row r="74">
          <cell r="B74" t="str">
            <v>1.1.03.01.14</v>
          </cell>
          <cell r="C74" t="str">
            <v>Piutang PKB-mobil Roda Tiga</v>
          </cell>
          <cell r="F74">
            <v>0</v>
          </cell>
          <cell r="G74">
            <v>0</v>
          </cell>
          <cell r="H74">
            <v>0</v>
          </cell>
          <cell r="I74">
            <v>0</v>
          </cell>
          <cell r="J74">
            <v>0</v>
          </cell>
        </row>
        <row r="75">
          <cell r="B75" t="str">
            <v>1.1.03.01.15</v>
          </cell>
          <cell r="C75" t="str">
            <v>Piutang PKB-Mobil Penumpang-Roda Tiga</v>
          </cell>
          <cell r="F75">
            <v>0</v>
          </cell>
          <cell r="G75">
            <v>0</v>
          </cell>
          <cell r="H75">
            <v>0</v>
          </cell>
          <cell r="I75">
            <v>0</v>
          </cell>
          <cell r="J75">
            <v>0</v>
          </cell>
        </row>
        <row r="76">
          <cell r="B76" t="str">
            <v>1.1.03.01.16</v>
          </cell>
          <cell r="C76" t="str">
            <v>Piutang PKB-Mobil Barang-Roda Tiga</v>
          </cell>
          <cell r="F76">
            <v>0</v>
          </cell>
          <cell r="G76">
            <v>0</v>
          </cell>
          <cell r="H76">
            <v>0</v>
          </cell>
          <cell r="I76">
            <v>0</v>
          </cell>
          <cell r="J76">
            <v>0</v>
          </cell>
        </row>
        <row r="77">
          <cell r="B77" t="str">
            <v>1.1.03.01.17</v>
          </cell>
          <cell r="C77" t="str">
            <v>Piutang PKB-Mobil Barang/Beban-Pick Up Box</v>
          </cell>
          <cell r="F77">
            <v>0</v>
          </cell>
          <cell r="G77">
            <v>0</v>
          </cell>
          <cell r="H77">
            <v>0</v>
          </cell>
          <cell r="I77">
            <v>0</v>
          </cell>
          <cell r="J77">
            <v>0</v>
          </cell>
        </row>
        <row r="78">
          <cell r="B78" t="str">
            <v>1.1.03.01.18</v>
          </cell>
          <cell r="C78" t="str">
            <v>Piutang PKB-Sepeda Motor-Sepeda Motor Roda Tiga Penumpang</v>
          </cell>
          <cell r="F78">
            <v>0</v>
          </cell>
          <cell r="G78">
            <v>0</v>
          </cell>
          <cell r="H78">
            <v>0</v>
          </cell>
          <cell r="I78">
            <v>0</v>
          </cell>
          <cell r="J78">
            <v>0</v>
          </cell>
        </row>
        <row r="79">
          <cell r="B79" t="str">
            <v>1.1.03.02</v>
          </cell>
          <cell r="C79" t="str">
            <v>Piutang Bea Balik Nama Kendaraan Bermotor</v>
          </cell>
          <cell r="D79">
            <v>0</v>
          </cell>
          <cell r="E79">
            <v>0</v>
          </cell>
          <cell r="J79">
            <v>0</v>
          </cell>
        </row>
        <row r="80">
          <cell r="B80" t="str">
            <v>1.1.03.02.01</v>
          </cell>
          <cell r="C80" t="str">
            <v>Piutang BBNKB-Mobil Penumpang-Sedan</v>
          </cell>
          <cell r="F80">
            <v>0</v>
          </cell>
          <cell r="G80">
            <v>0</v>
          </cell>
          <cell r="H80">
            <v>0</v>
          </cell>
          <cell r="I80">
            <v>0</v>
          </cell>
          <cell r="J80">
            <v>0</v>
          </cell>
        </row>
        <row r="81">
          <cell r="B81" t="str">
            <v>1.1.03.02.02</v>
          </cell>
          <cell r="C81" t="str">
            <v>Piutang BBNKB-Mobil Penumpang-Jeep</v>
          </cell>
          <cell r="F81">
            <v>0</v>
          </cell>
          <cell r="G81">
            <v>0</v>
          </cell>
          <cell r="H81">
            <v>0</v>
          </cell>
          <cell r="I81">
            <v>0</v>
          </cell>
          <cell r="J81">
            <v>0</v>
          </cell>
        </row>
        <row r="82">
          <cell r="B82" t="str">
            <v>1.1.03.02.03</v>
          </cell>
          <cell r="C82" t="str">
            <v>Piutang BBNKB-Mobil Penumpang-Minibus</v>
          </cell>
          <cell r="F82">
            <v>0</v>
          </cell>
          <cell r="G82">
            <v>0</v>
          </cell>
          <cell r="H82">
            <v>0</v>
          </cell>
          <cell r="I82">
            <v>0</v>
          </cell>
          <cell r="J82">
            <v>0</v>
          </cell>
        </row>
        <row r="83">
          <cell r="B83" t="str">
            <v>1.1.03.02.04</v>
          </cell>
          <cell r="C83" t="str">
            <v>Piutang BBNKB-Mobil Bus-Microbus</v>
          </cell>
          <cell r="F83">
            <v>0</v>
          </cell>
          <cell r="G83">
            <v>0</v>
          </cell>
          <cell r="H83">
            <v>0</v>
          </cell>
          <cell r="I83">
            <v>0</v>
          </cell>
          <cell r="J83">
            <v>0</v>
          </cell>
        </row>
        <row r="84">
          <cell r="B84" t="str">
            <v>1.1.03.02.05</v>
          </cell>
          <cell r="C84" t="str">
            <v>Piutang BBNKB-Mobil Bus-Bus</v>
          </cell>
          <cell r="F84">
            <v>0</v>
          </cell>
          <cell r="G84">
            <v>0</v>
          </cell>
          <cell r="H84">
            <v>0</v>
          </cell>
          <cell r="I84">
            <v>0</v>
          </cell>
          <cell r="J84">
            <v>0</v>
          </cell>
        </row>
        <row r="85">
          <cell r="B85" t="str">
            <v>1.1.03.02.06</v>
          </cell>
          <cell r="C85" t="str">
            <v>Piutang BBNKB-Mobil Barang/Beban-Pick Up</v>
          </cell>
          <cell r="F85">
            <v>0</v>
          </cell>
          <cell r="G85">
            <v>0</v>
          </cell>
          <cell r="H85">
            <v>0</v>
          </cell>
          <cell r="I85">
            <v>0</v>
          </cell>
          <cell r="J85">
            <v>0</v>
          </cell>
        </row>
        <row r="86">
          <cell r="B86" t="str">
            <v>1.1.03.02.07</v>
          </cell>
          <cell r="C86" t="str">
            <v>Piutang BBNKB-Mobil Barang/Beban-Light Truck</v>
          </cell>
          <cell r="F86">
            <v>0</v>
          </cell>
          <cell r="G86">
            <v>0</v>
          </cell>
          <cell r="H86">
            <v>0</v>
          </cell>
          <cell r="I86">
            <v>0</v>
          </cell>
          <cell r="J86">
            <v>0</v>
          </cell>
        </row>
        <row r="87">
          <cell r="B87" t="str">
            <v>1.1.03.02.08</v>
          </cell>
          <cell r="C87" t="str">
            <v>Piutang BBNKB-Mobil Barang/Beban-Truck</v>
          </cell>
          <cell r="F87">
            <v>0</v>
          </cell>
          <cell r="G87">
            <v>0</v>
          </cell>
          <cell r="H87">
            <v>0</v>
          </cell>
          <cell r="I87">
            <v>0</v>
          </cell>
          <cell r="J87">
            <v>0</v>
          </cell>
        </row>
        <row r="88">
          <cell r="B88" t="str">
            <v>1.1.03.02.09</v>
          </cell>
          <cell r="C88" t="str">
            <v>Piutang BBNKB-Mobil Barang/Beban-Blind Van</v>
          </cell>
          <cell r="F88">
            <v>0</v>
          </cell>
          <cell r="G88">
            <v>0</v>
          </cell>
          <cell r="H88">
            <v>0</v>
          </cell>
          <cell r="I88">
            <v>0</v>
          </cell>
          <cell r="J88">
            <v>0</v>
          </cell>
        </row>
        <row r="89">
          <cell r="B89" t="str">
            <v>1.1.03.02.10</v>
          </cell>
          <cell r="C89" t="str">
            <v>Piutang BBNKB-Sepeda Motor-Sepeda Motor Roda Dua</v>
          </cell>
          <cell r="F89">
            <v>0</v>
          </cell>
          <cell r="G89">
            <v>0</v>
          </cell>
          <cell r="H89">
            <v>0</v>
          </cell>
          <cell r="I89">
            <v>0</v>
          </cell>
          <cell r="J89">
            <v>0</v>
          </cell>
        </row>
        <row r="90">
          <cell r="B90" t="str">
            <v>1.1.03.02.11</v>
          </cell>
          <cell r="C90" t="str">
            <v>Piutang BBNKB-Sepeda Motor-Sepeda Motor Roda Tiga</v>
          </cell>
          <cell r="F90">
            <v>0</v>
          </cell>
          <cell r="G90">
            <v>0</v>
          </cell>
          <cell r="H90">
            <v>0</v>
          </cell>
          <cell r="I90">
            <v>0</v>
          </cell>
          <cell r="J90">
            <v>0</v>
          </cell>
        </row>
        <row r="91">
          <cell r="B91" t="str">
            <v>1.1.03.02.12</v>
          </cell>
          <cell r="C91" t="str">
            <v>Piutang BBNKB-Kendaraan Bermotor yang Dioperasikan di Air</v>
          </cell>
          <cell r="F91">
            <v>0</v>
          </cell>
          <cell r="G91">
            <v>0</v>
          </cell>
          <cell r="H91">
            <v>0</v>
          </cell>
          <cell r="I91">
            <v>0</v>
          </cell>
          <cell r="J91">
            <v>0</v>
          </cell>
        </row>
        <row r="92">
          <cell r="B92" t="str">
            <v>1.1.03.02.13</v>
          </cell>
          <cell r="C92" t="str">
            <v>Piutang BBNKB-Kendaraan Khusus Alat Berat</v>
          </cell>
          <cell r="F92">
            <v>0</v>
          </cell>
          <cell r="G92">
            <v>0</v>
          </cell>
          <cell r="H92">
            <v>0</v>
          </cell>
          <cell r="I92">
            <v>0</v>
          </cell>
          <cell r="J92">
            <v>0</v>
          </cell>
        </row>
        <row r="93">
          <cell r="B93" t="str">
            <v>1.1.03.02.14</v>
          </cell>
          <cell r="C93" t="str">
            <v>Piutang BBNKB-Mobil Roda Tiga</v>
          </cell>
          <cell r="F93">
            <v>0</v>
          </cell>
          <cell r="G93">
            <v>0</v>
          </cell>
          <cell r="H93">
            <v>0</v>
          </cell>
          <cell r="I93">
            <v>0</v>
          </cell>
          <cell r="J93">
            <v>0</v>
          </cell>
        </row>
        <row r="94">
          <cell r="B94" t="str">
            <v>1.1.03.02.15</v>
          </cell>
          <cell r="C94" t="str">
            <v>Piutang BBNKB-Mobil Penumpang-Roda Tiga</v>
          </cell>
          <cell r="F94">
            <v>0</v>
          </cell>
          <cell r="G94">
            <v>0</v>
          </cell>
          <cell r="H94">
            <v>0</v>
          </cell>
          <cell r="I94">
            <v>0</v>
          </cell>
          <cell r="J94">
            <v>0</v>
          </cell>
        </row>
        <row r="95">
          <cell r="B95" t="str">
            <v>1.1.03.02.16</v>
          </cell>
          <cell r="C95" t="str">
            <v>Piutang BBNKB-Mobil Barang-Roda Tiga</v>
          </cell>
          <cell r="F95">
            <v>0</v>
          </cell>
          <cell r="G95">
            <v>0</v>
          </cell>
          <cell r="H95">
            <v>0</v>
          </cell>
          <cell r="I95">
            <v>0</v>
          </cell>
          <cell r="J95">
            <v>0</v>
          </cell>
        </row>
        <row r="96">
          <cell r="B96" t="str">
            <v>1.1.03.02.17</v>
          </cell>
          <cell r="C96" t="str">
            <v>Piutang BBNKB-Mobil Barang/Beban-Pick Up Box</v>
          </cell>
          <cell r="F96">
            <v>0</v>
          </cell>
          <cell r="G96">
            <v>0</v>
          </cell>
          <cell r="H96">
            <v>0</v>
          </cell>
          <cell r="I96">
            <v>0</v>
          </cell>
          <cell r="J96">
            <v>0</v>
          </cell>
        </row>
        <row r="97">
          <cell r="B97" t="str">
            <v>1.1.03.02.18</v>
          </cell>
          <cell r="C97" t="str">
            <v>Piutang BBNKB-Sepeda Motor-Sepeda Motor Roda Tiga Penumpang</v>
          </cell>
          <cell r="F97">
            <v>0</v>
          </cell>
          <cell r="G97">
            <v>0</v>
          </cell>
          <cell r="H97">
            <v>0</v>
          </cell>
          <cell r="I97">
            <v>0</v>
          </cell>
          <cell r="J97">
            <v>0</v>
          </cell>
        </row>
        <row r="98">
          <cell r="B98" t="str">
            <v>1.1.03.03</v>
          </cell>
          <cell r="C98" t="str">
            <v>Piutang Pajak Bahan Bakar Kendaraan Bermotor (PBBKB)</v>
          </cell>
          <cell r="D98">
            <v>0</v>
          </cell>
          <cell r="E98">
            <v>0</v>
          </cell>
          <cell r="J98">
            <v>0</v>
          </cell>
        </row>
        <row r="99">
          <cell r="B99" t="str">
            <v>1.1.03.03.01</v>
          </cell>
          <cell r="C99" t="str">
            <v>Piutang PBBKB Bahan Bakar Bensin</v>
          </cell>
          <cell r="F99">
            <v>0</v>
          </cell>
          <cell r="G99">
            <v>0</v>
          </cell>
          <cell r="H99">
            <v>0</v>
          </cell>
          <cell r="I99">
            <v>0</v>
          </cell>
          <cell r="J99">
            <v>0</v>
          </cell>
        </row>
        <row r="100">
          <cell r="B100" t="str">
            <v>1.1.03.03.02</v>
          </cell>
          <cell r="C100" t="str">
            <v>Piutang PBBKB Bahan Bakar Solar</v>
          </cell>
          <cell r="F100">
            <v>0</v>
          </cell>
          <cell r="G100">
            <v>0</v>
          </cell>
          <cell r="H100">
            <v>0</v>
          </cell>
          <cell r="I100">
            <v>0</v>
          </cell>
          <cell r="J100">
            <v>0</v>
          </cell>
        </row>
        <row r="101">
          <cell r="B101" t="str">
            <v>1.1.03.03.03</v>
          </cell>
          <cell r="C101" t="str">
            <v>Piutang PBBKB Bahan Bakar Gas</v>
          </cell>
          <cell r="F101">
            <v>0</v>
          </cell>
          <cell r="G101">
            <v>0</v>
          </cell>
          <cell r="H101">
            <v>0</v>
          </cell>
          <cell r="I101">
            <v>0</v>
          </cell>
          <cell r="J101">
            <v>0</v>
          </cell>
        </row>
        <row r="102">
          <cell r="B102" t="str">
            <v>1.1.03.03.04</v>
          </cell>
          <cell r="C102" t="str">
            <v>Piutang PBBKB Bahan Bakar Lainnya</v>
          </cell>
          <cell r="F102">
            <v>0</v>
          </cell>
          <cell r="G102">
            <v>0</v>
          </cell>
          <cell r="H102">
            <v>0</v>
          </cell>
          <cell r="I102">
            <v>0</v>
          </cell>
          <cell r="J102">
            <v>0</v>
          </cell>
        </row>
        <row r="103">
          <cell r="B103" t="str">
            <v>1.1.03.04</v>
          </cell>
          <cell r="C103" t="str">
            <v>Piutang Pajak Air Permukaan</v>
          </cell>
          <cell r="D103">
            <v>0</v>
          </cell>
          <cell r="E103">
            <v>0</v>
          </cell>
          <cell r="J103">
            <v>0</v>
          </cell>
        </row>
        <row r="104">
          <cell r="B104" t="str">
            <v>1.1.03.04.01</v>
          </cell>
          <cell r="C104" t="str">
            <v>Piutang Pajak Air Permukaan</v>
          </cell>
          <cell r="F104">
            <v>0</v>
          </cell>
          <cell r="G104">
            <v>0</v>
          </cell>
          <cell r="H104">
            <v>0</v>
          </cell>
          <cell r="I104">
            <v>0</v>
          </cell>
          <cell r="J104">
            <v>0</v>
          </cell>
        </row>
        <row r="105">
          <cell r="B105" t="str">
            <v>1.1.03.05</v>
          </cell>
          <cell r="C105" t="str">
            <v>Piutang Pajak Rokok</v>
          </cell>
          <cell r="D105">
            <v>0</v>
          </cell>
          <cell r="E105">
            <v>0</v>
          </cell>
          <cell r="J105">
            <v>0</v>
          </cell>
        </row>
        <row r="106">
          <cell r="B106" t="str">
            <v>1.1.03.05.01</v>
          </cell>
          <cell r="C106" t="str">
            <v>Piutang Pajak Rokok</v>
          </cell>
          <cell r="F106">
            <v>0</v>
          </cell>
          <cell r="G106">
            <v>0</v>
          </cell>
          <cell r="H106">
            <v>0</v>
          </cell>
          <cell r="I106">
            <v>0</v>
          </cell>
          <cell r="J106">
            <v>0</v>
          </cell>
        </row>
        <row r="107">
          <cell r="B107" t="str">
            <v>1.1.03.06</v>
          </cell>
          <cell r="C107" t="str">
            <v>Piutang Pajak Hotel</v>
          </cell>
          <cell r="D107">
            <v>7505563</v>
          </cell>
          <cell r="E107">
            <v>83939885.400000095</v>
          </cell>
          <cell r="J107">
            <v>83939885.400000095</v>
          </cell>
        </row>
        <row r="108">
          <cell r="B108" t="str">
            <v>1.1.03.06.01</v>
          </cell>
          <cell r="C108" t="str">
            <v>Piutang Pajak Hotel</v>
          </cell>
          <cell r="D108">
            <v>7505563</v>
          </cell>
          <cell r="E108">
            <v>83939885.400000095</v>
          </cell>
          <cell r="F108">
            <v>0</v>
          </cell>
          <cell r="G108">
            <v>0</v>
          </cell>
          <cell r="H108">
            <v>0</v>
          </cell>
          <cell r="I108">
            <v>0</v>
          </cell>
          <cell r="J108">
            <v>83939885.400000095</v>
          </cell>
        </row>
        <row r="109">
          <cell r="B109" t="str">
            <v>1.1.03.06.02</v>
          </cell>
          <cell r="C109" t="str">
            <v>Piutang Pajak Motel</v>
          </cell>
          <cell r="F109">
            <v>0</v>
          </cell>
          <cell r="G109">
            <v>0</v>
          </cell>
          <cell r="H109">
            <v>0</v>
          </cell>
          <cell r="I109">
            <v>0</v>
          </cell>
          <cell r="J109">
            <v>0</v>
          </cell>
        </row>
        <row r="110">
          <cell r="B110" t="str">
            <v>1.1.03.06.03</v>
          </cell>
          <cell r="C110" t="str">
            <v>Piutang Pajak Losmen</v>
          </cell>
          <cell r="F110">
            <v>0</v>
          </cell>
          <cell r="G110">
            <v>0</v>
          </cell>
          <cell r="H110">
            <v>0</v>
          </cell>
          <cell r="I110">
            <v>0</v>
          </cell>
          <cell r="J110">
            <v>0</v>
          </cell>
        </row>
        <row r="111">
          <cell r="B111" t="str">
            <v>1.1.03.06.04</v>
          </cell>
          <cell r="C111" t="str">
            <v>Piutang Pajak Gubuk Pariwisata</v>
          </cell>
          <cell r="F111">
            <v>0</v>
          </cell>
          <cell r="G111">
            <v>0</v>
          </cell>
          <cell r="H111">
            <v>0</v>
          </cell>
          <cell r="I111">
            <v>0</v>
          </cell>
          <cell r="J111">
            <v>0</v>
          </cell>
        </row>
        <row r="112">
          <cell r="B112" t="str">
            <v>1.1.03.06.05</v>
          </cell>
          <cell r="C112" t="str">
            <v>Piutang Pajak Wisma Pariwisata</v>
          </cell>
          <cell r="F112">
            <v>0</v>
          </cell>
          <cell r="G112">
            <v>0</v>
          </cell>
          <cell r="H112">
            <v>0</v>
          </cell>
          <cell r="I112">
            <v>0</v>
          </cell>
          <cell r="J112">
            <v>0</v>
          </cell>
        </row>
        <row r="113">
          <cell r="B113" t="str">
            <v>1.1.03.06.06</v>
          </cell>
          <cell r="C113" t="str">
            <v>Piutang Pajak Pesanggrahan</v>
          </cell>
          <cell r="F113">
            <v>0</v>
          </cell>
          <cell r="G113">
            <v>0</v>
          </cell>
          <cell r="H113">
            <v>0</v>
          </cell>
          <cell r="I113">
            <v>0</v>
          </cell>
          <cell r="J113">
            <v>0</v>
          </cell>
        </row>
        <row r="114">
          <cell r="B114" t="str">
            <v>1.1.03.06.07</v>
          </cell>
          <cell r="C114" t="str">
            <v>Piutang Pajak Rumah Penginapan dan Sejenisnya</v>
          </cell>
          <cell r="F114">
            <v>0</v>
          </cell>
          <cell r="G114">
            <v>0</v>
          </cell>
          <cell r="H114">
            <v>0</v>
          </cell>
          <cell r="I114">
            <v>0</v>
          </cell>
          <cell r="J114">
            <v>0</v>
          </cell>
        </row>
        <row r="115">
          <cell r="B115" t="str">
            <v>1.1.03.06.08</v>
          </cell>
          <cell r="C115" t="str">
            <v>Piutang Pajak Rumah Kos dengan Jumlah Kamar Lebih dari 10 (Sepuluh)</v>
          </cell>
          <cell r="F115">
            <v>0</v>
          </cell>
          <cell r="G115">
            <v>0</v>
          </cell>
          <cell r="H115">
            <v>0</v>
          </cell>
          <cell r="I115">
            <v>0</v>
          </cell>
          <cell r="J115">
            <v>0</v>
          </cell>
        </row>
        <row r="116">
          <cell r="B116" t="str">
            <v>1.1.03.07</v>
          </cell>
          <cell r="C116" t="str">
            <v>Piutang Pajak Restoran</v>
          </cell>
          <cell r="D116">
            <v>9223027</v>
          </cell>
          <cell r="E116">
            <v>18300760</v>
          </cell>
          <cell r="J116">
            <v>18300760</v>
          </cell>
        </row>
        <row r="117">
          <cell r="B117" t="str">
            <v>1.1.03.07.01</v>
          </cell>
          <cell r="C117" t="str">
            <v>Piutang Pajak Restoran dan sejenisnya</v>
          </cell>
          <cell r="D117">
            <v>9223027</v>
          </cell>
          <cell r="E117">
            <v>18300760</v>
          </cell>
          <cell r="F117">
            <v>0</v>
          </cell>
          <cell r="G117">
            <v>0</v>
          </cell>
          <cell r="H117">
            <v>0</v>
          </cell>
          <cell r="I117">
            <v>0</v>
          </cell>
          <cell r="J117">
            <v>18300760</v>
          </cell>
        </row>
        <row r="118">
          <cell r="B118" t="str">
            <v>1.1.03.07.02</v>
          </cell>
          <cell r="C118" t="str">
            <v>Piutang Pajak Rumah Makan dan Sejenisnya</v>
          </cell>
          <cell r="F118">
            <v>0</v>
          </cell>
          <cell r="G118">
            <v>0</v>
          </cell>
          <cell r="H118">
            <v>0</v>
          </cell>
          <cell r="I118">
            <v>0</v>
          </cell>
          <cell r="J118">
            <v>0</v>
          </cell>
        </row>
        <row r="119">
          <cell r="B119" t="str">
            <v>1.1.03.07.03</v>
          </cell>
          <cell r="C119" t="str">
            <v>Piutang Pajak Kafetaria dan Sejenisnya</v>
          </cell>
          <cell r="F119">
            <v>0</v>
          </cell>
          <cell r="G119">
            <v>0</v>
          </cell>
          <cell r="H119">
            <v>0</v>
          </cell>
          <cell r="I119">
            <v>0</v>
          </cell>
          <cell r="J119">
            <v>0</v>
          </cell>
        </row>
        <row r="120">
          <cell r="B120" t="str">
            <v>1.1.03.07.04</v>
          </cell>
          <cell r="C120" t="str">
            <v>Piutang Pajak Kantin dan Sejenisnya</v>
          </cell>
          <cell r="F120">
            <v>0</v>
          </cell>
          <cell r="G120">
            <v>0</v>
          </cell>
          <cell r="H120">
            <v>0</v>
          </cell>
          <cell r="I120">
            <v>0</v>
          </cell>
          <cell r="J120">
            <v>0</v>
          </cell>
        </row>
        <row r="121">
          <cell r="B121" t="str">
            <v>1.1.03.07.05</v>
          </cell>
          <cell r="C121" t="str">
            <v>Piutang Pajak Warung dan Sejenisnya</v>
          </cell>
          <cell r="F121">
            <v>0</v>
          </cell>
          <cell r="G121">
            <v>0</v>
          </cell>
          <cell r="H121">
            <v>0</v>
          </cell>
          <cell r="I121">
            <v>0</v>
          </cell>
          <cell r="J121">
            <v>0</v>
          </cell>
        </row>
        <row r="122">
          <cell r="B122" t="str">
            <v>1.1.03.07.06</v>
          </cell>
          <cell r="C122" t="str">
            <v>Piutang Pajak Bar dan Sejenisnya</v>
          </cell>
          <cell r="F122">
            <v>0</v>
          </cell>
          <cell r="G122">
            <v>0</v>
          </cell>
          <cell r="H122">
            <v>0</v>
          </cell>
          <cell r="I122">
            <v>0</v>
          </cell>
          <cell r="J122">
            <v>0</v>
          </cell>
        </row>
        <row r="123">
          <cell r="B123" t="str">
            <v>1.1.03.07.07</v>
          </cell>
          <cell r="C123" t="str">
            <v>Piutang Pajak Jasa Boga/Katering dan Sejenisnya</v>
          </cell>
          <cell r="F123">
            <v>0</v>
          </cell>
          <cell r="G123">
            <v>0</v>
          </cell>
          <cell r="H123">
            <v>0</v>
          </cell>
          <cell r="I123">
            <v>0</v>
          </cell>
          <cell r="J123">
            <v>0</v>
          </cell>
        </row>
        <row r="124">
          <cell r="B124" t="str">
            <v>1.1.03.08</v>
          </cell>
          <cell r="C124" t="str">
            <v>Piutang Pajak Hiburan</v>
          </cell>
          <cell r="D124">
            <v>0</v>
          </cell>
          <cell r="E124">
            <v>0</v>
          </cell>
          <cell r="J124">
            <v>0</v>
          </cell>
        </row>
        <row r="125">
          <cell r="B125" t="str">
            <v>1.1.03.08.01</v>
          </cell>
          <cell r="C125" t="str">
            <v>Piutang Pajak Tontonan Film</v>
          </cell>
          <cell r="F125">
            <v>0</v>
          </cell>
          <cell r="G125">
            <v>0</v>
          </cell>
          <cell r="H125">
            <v>0</v>
          </cell>
          <cell r="I125">
            <v>0</v>
          </cell>
          <cell r="J125">
            <v>0</v>
          </cell>
        </row>
        <row r="126">
          <cell r="B126" t="str">
            <v>1.1.03.08.02</v>
          </cell>
          <cell r="C126" t="str">
            <v>Piutang Pajak Pagelaran Kesenian/Musik/Tari/Busana</v>
          </cell>
          <cell r="F126">
            <v>0</v>
          </cell>
          <cell r="G126">
            <v>0</v>
          </cell>
          <cell r="H126">
            <v>0</v>
          </cell>
          <cell r="I126">
            <v>0</v>
          </cell>
          <cell r="J126">
            <v>0</v>
          </cell>
        </row>
        <row r="127">
          <cell r="B127" t="str">
            <v>1.1.03.08.03</v>
          </cell>
          <cell r="C127" t="str">
            <v>Piutang Pajak Kontes Kecantikan, Binaraga, dan Sejenisnya</v>
          </cell>
          <cell r="F127">
            <v>0</v>
          </cell>
          <cell r="G127">
            <v>0</v>
          </cell>
          <cell r="H127">
            <v>0</v>
          </cell>
          <cell r="I127">
            <v>0</v>
          </cell>
          <cell r="J127">
            <v>0</v>
          </cell>
        </row>
        <row r="128">
          <cell r="B128" t="str">
            <v>1.1.03.08.04</v>
          </cell>
          <cell r="C128" t="str">
            <v>Piutang Pajak Pameran</v>
          </cell>
          <cell r="F128">
            <v>0</v>
          </cell>
          <cell r="G128">
            <v>0</v>
          </cell>
          <cell r="H128">
            <v>0</v>
          </cell>
          <cell r="I128">
            <v>0</v>
          </cell>
          <cell r="J128">
            <v>0</v>
          </cell>
        </row>
        <row r="129">
          <cell r="B129" t="str">
            <v>1.1.03.08.05</v>
          </cell>
          <cell r="C129" t="str">
            <v>Piutang Pajak Diskotik, Karaoke, Klub Malam, dan Sejenisnya</v>
          </cell>
          <cell r="F129">
            <v>0</v>
          </cell>
          <cell r="G129">
            <v>0</v>
          </cell>
          <cell r="H129">
            <v>0</v>
          </cell>
          <cell r="I129">
            <v>0</v>
          </cell>
          <cell r="J129">
            <v>0</v>
          </cell>
        </row>
        <row r="130">
          <cell r="B130" t="str">
            <v>1.1.03.08.06</v>
          </cell>
          <cell r="C130" t="str">
            <v>Piutang Pajak Sirkus/Akrobat/Sulap</v>
          </cell>
          <cell r="F130">
            <v>0</v>
          </cell>
          <cell r="G130">
            <v>0</v>
          </cell>
          <cell r="H130">
            <v>0</v>
          </cell>
          <cell r="I130">
            <v>0</v>
          </cell>
          <cell r="J130">
            <v>0</v>
          </cell>
        </row>
        <row r="131">
          <cell r="B131" t="str">
            <v>1.1.03.08.07</v>
          </cell>
          <cell r="C131" t="str">
            <v>Piutang Pajak Permainan Biliar dan Bowling</v>
          </cell>
          <cell r="F131">
            <v>0</v>
          </cell>
          <cell r="G131">
            <v>0</v>
          </cell>
          <cell r="H131">
            <v>0</v>
          </cell>
          <cell r="I131">
            <v>0</v>
          </cell>
          <cell r="J131">
            <v>0</v>
          </cell>
        </row>
        <row r="132">
          <cell r="B132" t="str">
            <v>1.1.03.08.08</v>
          </cell>
          <cell r="C132" t="str">
            <v>Piutang Pajak Pacuan Kuda, Kendaraan Bermotor, dan Permainan Ketangkasan</v>
          </cell>
          <cell r="F132">
            <v>0</v>
          </cell>
          <cell r="G132">
            <v>0</v>
          </cell>
          <cell r="H132">
            <v>0</v>
          </cell>
          <cell r="I132">
            <v>0</v>
          </cell>
          <cell r="J132">
            <v>0</v>
          </cell>
        </row>
        <row r="133">
          <cell r="B133" t="str">
            <v>1.1.03.08.09</v>
          </cell>
          <cell r="C133" t="str">
            <v>Piutang Pajak Panti Pijat, Refleksi, Mandi Uap/Spa, dan Pusat Kebugaran (Fitness Center)</v>
          </cell>
          <cell r="F133">
            <v>0</v>
          </cell>
          <cell r="G133">
            <v>0</v>
          </cell>
          <cell r="H133">
            <v>0</v>
          </cell>
          <cell r="I133">
            <v>0</v>
          </cell>
          <cell r="J133">
            <v>0</v>
          </cell>
        </row>
        <row r="134">
          <cell r="B134" t="str">
            <v>1.1.03.08.10</v>
          </cell>
          <cell r="C134" t="str">
            <v>Piutang Pajak Pertandingan Olahraga</v>
          </cell>
          <cell r="F134">
            <v>0</v>
          </cell>
          <cell r="G134">
            <v>0</v>
          </cell>
          <cell r="H134">
            <v>0</v>
          </cell>
          <cell r="I134">
            <v>0</v>
          </cell>
          <cell r="J134">
            <v>0</v>
          </cell>
        </row>
        <row r="135">
          <cell r="B135" t="str">
            <v>1.1.03.09</v>
          </cell>
          <cell r="C135" t="str">
            <v>Piutang Pajak Reklame</v>
          </cell>
          <cell r="D135">
            <v>0</v>
          </cell>
          <cell r="E135">
            <v>0</v>
          </cell>
          <cell r="J135">
            <v>0</v>
          </cell>
        </row>
        <row r="136">
          <cell r="B136" t="str">
            <v>1.1.03.09.01</v>
          </cell>
          <cell r="C136" t="str">
            <v>Piutang Pajak Reklame Papan/Billboard/Videotron/Megatron</v>
          </cell>
          <cell r="F136">
            <v>0</v>
          </cell>
          <cell r="G136">
            <v>0</v>
          </cell>
          <cell r="H136">
            <v>0</v>
          </cell>
          <cell r="I136">
            <v>0</v>
          </cell>
          <cell r="J136">
            <v>0</v>
          </cell>
        </row>
        <row r="137">
          <cell r="B137" t="str">
            <v>1.1.03.09.02</v>
          </cell>
          <cell r="C137" t="str">
            <v>Piutang Pajak Reklame Kain</v>
          </cell>
          <cell r="F137">
            <v>0</v>
          </cell>
          <cell r="G137">
            <v>0</v>
          </cell>
          <cell r="H137">
            <v>0</v>
          </cell>
          <cell r="I137">
            <v>0</v>
          </cell>
          <cell r="J137">
            <v>0</v>
          </cell>
        </row>
        <row r="138">
          <cell r="B138" t="str">
            <v>1.1.03.09.03</v>
          </cell>
          <cell r="C138" t="str">
            <v>Piutang Pajak Reklame Melekat/Stiker</v>
          </cell>
          <cell r="F138">
            <v>0</v>
          </cell>
          <cell r="G138">
            <v>0</v>
          </cell>
          <cell r="H138">
            <v>0</v>
          </cell>
          <cell r="I138">
            <v>0</v>
          </cell>
          <cell r="J138">
            <v>0</v>
          </cell>
        </row>
        <row r="139">
          <cell r="B139" t="str">
            <v>1.1.03.09.04</v>
          </cell>
          <cell r="C139" t="str">
            <v>Piutang Pajak Reklame Selebaran</v>
          </cell>
          <cell r="F139">
            <v>0</v>
          </cell>
          <cell r="G139">
            <v>0</v>
          </cell>
          <cell r="H139">
            <v>0</v>
          </cell>
          <cell r="I139">
            <v>0</v>
          </cell>
          <cell r="J139">
            <v>0</v>
          </cell>
        </row>
        <row r="140">
          <cell r="B140" t="str">
            <v>1.1.03.09.05</v>
          </cell>
          <cell r="C140" t="str">
            <v>Piutang Pajak Reklame Berjalan</v>
          </cell>
          <cell r="F140">
            <v>0</v>
          </cell>
          <cell r="G140">
            <v>0</v>
          </cell>
          <cell r="H140">
            <v>0</v>
          </cell>
          <cell r="I140">
            <v>0</v>
          </cell>
          <cell r="J140">
            <v>0</v>
          </cell>
        </row>
        <row r="141">
          <cell r="B141" t="str">
            <v>1.1.03.09.06</v>
          </cell>
          <cell r="C141" t="str">
            <v>Piutang Pajak Reklame Udara</v>
          </cell>
          <cell r="F141">
            <v>0</v>
          </cell>
          <cell r="G141">
            <v>0</v>
          </cell>
          <cell r="H141">
            <v>0</v>
          </cell>
          <cell r="I141">
            <v>0</v>
          </cell>
          <cell r="J141">
            <v>0</v>
          </cell>
        </row>
        <row r="142">
          <cell r="B142" t="str">
            <v>1.1.03.09.07</v>
          </cell>
          <cell r="C142" t="str">
            <v>Piutang Pajak Reklame Apung</v>
          </cell>
          <cell r="F142">
            <v>0</v>
          </cell>
          <cell r="G142">
            <v>0</v>
          </cell>
          <cell r="H142">
            <v>0</v>
          </cell>
          <cell r="I142">
            <v>0</v>
          </cell>
          <cell r="J142">
            <v>0</v>
          </cell>
        </row>
        <row r="143">
          <cell r="B143" t="str">
            <v>1.1.03.09.08</v>
          </cell>
          <cell r="C143" t="str">
            <v>Piutang Pajak Reklame Suara</v>
          </cell>
          <cell r="F143">
            <v>0</v>
          </cell>
          <cell r="G143">
            <v>0</v>
          </cell>
          <cell r="H143">
            <v>0</v>
          </cell>
          <cell r="I143">
            <v>0</v>
          </cell>
          <cell r="J143">
            <v>0</v>
          </cell>
        </row>
        <row r="144">
          <cell r="B144" t="str">
            <v>1.1.03.09.09</v>
          </cell>
          <cell r="C144" t="str">
            <v>Piutang Pajak Reklame Film/Slide</v>
          </cell>
          <cell r="F144">
            <v>0</v>
          </cell>
          <cell r="G144">
            <v>0</v>
          </cell>
          <cell r="H144">
            <v>0</v>
          </cell>
          <cell r="I144">
            <v>0</v>
          </cell>
          <cell r="J144">
            <v>0</v>
          </cell>
        </row>
        <row r="145">
          <cell r="B145" t="str">
            <v>1.1.03.09.10</v>
          </cell>
          <cell r="C145" t="str">
            <v>Piutang Pajak Reklame Peragaan</v>
          </cell>
          <cell r="F145">
            <v>0</v>
          </cell>
          <cell r="G145">
            <v>0</v>
          </cell>
          <cell r="H145">
            <v>0</v>
          </cell>
          <cell r="I145">
            <v>0</v>
          </cell>
          <cell r="J145">
            <v>0</v>
          </cell>
        </row>
        <row r="146">
          <cell r="B146" t="str">
            <v>1.1.03.10</v>
          </cell>
          <cell r="C146" t="str">
            <v>Piutang Pajak Penerangan Jalan</v>
          </cell>
          <cell r="D146">
            <v>0</v>
          </cell>
          <cell r="E146">
            <v>0</v>
          </cell>
          <cell r="J146">
            <v>0</v>
          </cell>
        </row>
        <row r="147">
          <cell r="B147" t="str">
            <v>1.1.03.10.01</v>
          </cell>
          <cell r="C147" t="str">
            <v>Piutang Pajak Penerangan Dihasilkan Sendiri</v>
          </cell>
          <cell r="F147">
            <v>0</v>
          </cell>
          <cell r="G147">
            <v>0</v>
          </cell>
          <cell r="H147">
            <v>0</v>
          </cell>
          <cell r="I147">
            <v>0</v>
          </cell>
          <cell r="J147">
            <v>0</v>
          </cell>
        </row>
        <row r="148">
          <cell r="B148" t="str">
            <v>1.1.03.10.02</v>
          </cell>
          <cell r="C148" t="str">
            <v>Piutang Pajak Penerangan Jalan Sumber Lain</v>
          </cell>
          <cell r="F148">
            <v>0</v>
          </cell>
          <cell r="G148">
            <v>0</v>
          </cell>
          <cell r="H148">
            <v>0</v>
          </cell>
          <cell r="I148">
            <v>0</v>
          </cell>
          <cell r="J148">
            <v>0</v>
          </cell>
        </row>
        <row r="149">
          <cell r="B149" t="str">
            <v>1.1.03.11</v>
          </cell>
          <cell r="C149" t="str">
            <v>Piutang Pajak Parkir</v>
          </cell>
          <cell r="D149">
            <v>0</v>
          </cell>
          <cell r="E149">
            <v>0</v>
          </cell>
          <cell r="J149">
            <v>0</v>
          </cell>
        </row>
        <row r="150">
          <cell r="B150" t="str">
            <v>1.1.03.11.01</v>
          </cell>
          <cell r="C150" t="str">
            <v>Piutang Pajak Parkir</v>
          </cell>
          <cell r="F150">
            <v>0</v>
          </cell>
          <cell r="G150">
            <v>0</v>
          </cell>
          <cell r="H150">
            <v>0</v>
          </cell>
          <cell r="I150">
            <v>0</v>
          </cell>
          <cell r="J150">
            <v>0</v>
          </cell>
        </row>
        <row r="151">
          <cell r="B151" t="str">
            <v>1.1.03.12</v>
          </cell>
          <cell r="C151" t="str">
            <v>Piutang Pajak Air Tanah</v>
          </cell>
          <cell r="D151">
            <v>0</v>
          </cell>
          <cell r="E151">
            <v>0</v>
          </cell>
          <cell r="J151">
            <v>0</v>
          </cell>
        </row>
        <row r="152">
          <cell r="B152" t="str">
            <v>1.1.03.12.01</v>
          </cell>
          <cell r="C152" t="str">
            <v>Piutang Pajak Air Tanah</v>
          </cell>
          <cell r="F152">
            <v>0</v>
          </cell>
          <cell r="G152">
            <v>0</v>
          </cell>
          <cell r="H152">
            <v>0</v>
          </cell>
          <cell r="I152">
            <v>0</v>
          </cell>
          <cell r="J152">
            <v>0</v>
          </cell>
        </row>
        <row r="153">
          <cell r="B153" t="str">
            <v>1.1.03.13</v>
          </cell>
          <cell r="C153" t="str">
            <v>Piutang Pajak sarang Burung Walet</v>
          </cell>
          <cell r="D153">
            <v>0</v>
          </cell>
          <cell r="E153">
            <v>0</v>
          </cell>
          <cell r="J153">
            <v>0</v>
          </cell>
        </row>
        <row r="154">
          <cell r="B154" t="str">
            <v>1.1.03.13.01</v>
          </cell>
          <cell r="C154" t="str">
            <v>Piutang Pajak sarang Burung Walet</v>
          </cell>
          <cell r="F154">
            <v>0</v>
          </cell>
          <cell r="G154">
            <v>0</v>
          </cell>
          <cell r="H154">
            <v>0</v>
          </cell>
          <cell r="I154">
            <v>0</v>
          </cell>
          <cell r="J154">
            <v>0</v>
          </cell>
        </row>
        <row r="155">
          <cell r="B155" t="str">
            <v>1.1.03.14</v>
          </cell>
          <cell r="C155" t="str">
            <v>Piutang Pajak Mineral Bukan Logam dan Batuan</v>
          </cell>
          <cell r="D155">
            <v>8000.2</v>
          </cell>
          <cell r="E155">
            <v>0.2</v>
          </cell>
          <cell r="J155">
            <v>0.2</v>
          </cell>
        </row>
        <row r="156">
          <cell r="B156" t="str">
            <v>1.1.03.14.01</v>
          </cell>
          <cell r="C156" t="str">
            <v>Piutang Pajak Asbes</v>
          </cell>
          <cell r="F156">
            <v>0</v>
          </cell>
          <cell r="G156">
            <v>0</v>
          </cell>
          <cell r="H156">
            <v>0</v>
          </cell>
          <cell r="I156">
            <v>0</v>
          </cell>
          <cell r="J156">
            <v>0</v>
          </cell>
        </row>
        <row r="157">
          <cell r="B157" t="str">
            <v>1.1.03.14.02</v>
          </cell>
          <cell r="C157" t="str">
            <v>Piutang Pajak Batu Tulis</v>
          </cell>
          <cell r="F157">
            <v>0</v>
          </cell>
          <cell r="G157">
            <v>0</v>
          </cell>
          <cell r="H157">
            <v>0</v>
          </cell>
          <cell r="I157">
            <v>0</v>
          </cell>
          <cell r="J157">
            <v>0</v>
          </cell>
        </row>
        <row r="158">
          <cell r="B158" t="str">
            <v>1.1.03.14.03</v>
          </cell>
          <cell r="C158" t="str">
            <v>Piutang Pajak Batu Setengah Permata</v>
          </cell>
          <cell r="F158">
            <v>0</v>
          </cell>
          <cell r="G158">
            <v>0</v>
          </cell>
          <cell r="H158">
            <v>0</v>
          </cell>
          <cell r="I158">
            <v>0</v>
          </cell>
          <cell r="J158">
            <v>0</v>
          </cell>
        </row>
        <row r="159">
          <cell r="B159" t="str">
            <v>1.1.03.14.04</v>
          </cell>
          <cell r="C159" t="str">
            <v>Piutang Pajak Batu Kapur</v>
          </cell>
          <cell r="F159">
            <v>0</v>
          </cell>
          <cell r="G159">
            <v>0</v>
          </cell>
          <cell r="H159">
            <v>0</v>
          </cell>
          <cell r="I159">
            <v>0</v>
          </cell>
          <cell r="J159">
            <v>0</v>
          </cell>
        </row>
        <row r="160">
          <cell r="B160" t="str">
            <v>1.1.03.14.05</v>
          </cell>
          <cell r="C160" t="str">
            <v>Piutang Pajak Batu Apung</v>
          </cell>
          <cell r="F160">
            <v>0</v>
          </cell>
          <cell r="G160">
            <v>0</v>
          </cell>
          <cell r="H160">
            <v>0</v>
          </cell>
          <cell r="I160">
            <v>0</v>
          </cell>
          <cell r="J160">
            <v>0</v>
          </cell>
        </row>
        <row r="161">
          <cell r="B161" t="str">
            <v>1.1.03.14.06</v>
          </cell>
          <cell r="C161" t="str">
            <v>Piutang Pajak Batu Permata</v>
          </cell>
          <cell r="F161">
            <v>0</v>
          </cell>
          <cell r="G161">
            <v>0</v>
          </cell>
          <cell r="H161">
            <v>0</v>
          </cell>
          <cell r="I161">
            <v>0</v>
          </cell>
          <cell r="J161">
            <v>0</v>
          </cell>
        </row>
        <row r="162">
          <cell r="B162" t="str">
            <v>1.1.03.14.07</v>
          </cell>
          <cell r="C162" t="str">
            <v>Piutang Pajak Bentonit</v>
          </cell>
          <cell r="F162">
            <v>0</v>
          </cell>
          <cell r="G162">
            <v>0</v>
          </cell>
          <cell r="H162">
            <v>0</v>
          </cell>
          <cell r="I162">
            <v>0</v>
          </cell>
          <cell r="J162">
            <v>0</v>
          </cell>
        </row>
        <row r="163">
          <cell r="B163" t="str">
            <v>1.1.03.14.08</v>
          </cell>
          <cell r="C163" t="str">
            <v>Piutang Pajak Dolomit</v>
          </cell>
          <cell r="F163">
            <v>0</v>
          </cell>
          <cell r="G163">
            <v>0</v>
          </cell>
          <cell r="H163">
            <v>0</v>
          </cell>
          <cell r="I163">
            <v>0</v>
          </cell>
          <cell r="J163">
            <v>0</v>
          </cell>
        </row>
        <row r="164">
          <cell r="B164" t="str">
            <v>1.1.03.14.09</v>
          </cell>
          <cell r="C164" t="str">
            <v>Piutang Pajak Felspar</v>
          </cell>
          <cell r="F164">
            <v>0</v>
          </cell>
          <cell r="G164">
            <v>0</v>
          </cell>
          <cell r="H164">
            <v>0</v>
          </cell>
          <cell r="I164">
            <v>0</v>
          </cell>
          <cell r="J164">
            <v>0</v>
          </cell>
        </row>
        <row r="165">
          <cell r="B165" t="str">
            <v>1.1.03.14.10</v>
          </cell>
          <cell r="C165" t="str">
            <v>Piutang Pajak Garam Batu (Halite)</v>
          </cell>
          <cell r="F165">
            <v>0</v>
          </cell>
          <cell r="G165">
            <v>0</v>
          </cell>
          <cell r="H165">
            <v>0</v>
          </cell>
          <cell r="I165">
            <v>0</v>
          </cell>
          <cell r="J165">
            <v>0</v>
          </cell>
        </row>
        <row r="166">
          <cell r="B166" t="str">
            <v>1.1.03.14.11</v>
          </cell>
          <cell r="C166" t="str">
            <v>Piutang Pajak Grafit</v>
          </cell>
          <cell r="F166">
            <v>0</v>
          </cell>
          <cell r="G166">
            <v>0</v>
          </cell>
          <cell r="H166">
            <v>0</v>
          </cell>
          <cell r="I166">
            <v>0</v>
          </cell>
          <cell r="J166">
            <v>0</v>
          </cell>
        </row>
        <row r="167">
          <cell r="B167" t="str">
            <v>1.1.03.14.12</v>
          </cell>
          <cell r="C167" t="str">
            <v>Piutang Pajak Granit/Andesit</v>
          </cell>
          <cell r="F167">
            <v>0</v>
          </cell>
          <cell r="G167">
            <v>0</v>
          </cell>
          <cell r="H167">
            <v>0</v>
          </cell>
          <cell r="I167">
            <v>0</v>
          </cell>
          <cell r="J167">
            <v>0</v>
          </cell>
        </row>
        <row r="168">
          <cell r="B168" t="str">
            <v>1.1.03.14.13</v>
          </cell>
          <cell r="C168" t="str">
            <v>Piutang Pajak Gips</v>
          </cell>
          <cell r="F168">
            <v>0</v>
          </cell>
          <cell r="G168">
            <v>0</v>
          </cell>
          <cell r="H168">
            <v>0</v>
          </cell>
          <cell r="I168">
            <v>0</v>
          </cell>
          <cell r="J168">
            <v>0</v>
          </cell>
        </row>
        <row r="169">
          <cell r="B169" t="str">
            <v>1.1.03.14.14</v>
          </cell>
          <cell r="C169" t="str">
            <v>Piutang Pajak Kalsit</v>
          </cell>
          <cell r="F169">
            <v>0</v>
          </cell>
          <cell r="G169">
            <v>0</v>
          </cell>
          <cell r="H169">
            <v>0</v>
          </cell>
          <cell r="I169">
            <v>0</v>
          </cell>
          <cell r="J169">
            <v>0</v>
          </cell>
        </row>
        <row r="170">
          <cell r="B170" t="str">
            <v>1.1.03.14.15</v>
          </cell>
          <cell r="C170" t="str">
            <v>Piutang Pajak Kaolin</v>
          </cell>
          <cell r="F170">
            <v>0</v>
          </cell>
          <cell r="G170">
            <v>0</v>
          </cell>
          <cell r="H170">
            <v>0</v>
          </cell>
          <cell r="I170">
            <v>0</v>
          </cell>
          <cell r="J170">
            <v>0</v>
          </cell>
        </row>
        <row r="171">
          <cell r="B171" t="str">
            <v>1.1.03.14.16</v>
          </cell>
          <cell r="C171" t="str">
            <v>Piutang Pajak Leusit</v>
          </cell>
          <cell r="F171">
            <v>0</v>
          </cell>
          <cell r="G171">
            <v>0</v>
          </cell>
          <cell r="H171">
            <v>0</v>
          </cell>
          <cell r="I171">
            <v>0</v>
          </cell>
          <cell r="J171">
            <v>0</v>
          </cell>
        </row>
        <row r="172">
          <cell r="B172" t="str">
            <v>1.1.03.14.17</v>
          </cell>
          <cell r="C172" t="str">
            <v>Piutang Pajak Magnesit</v>
          </cell>
          <cell r="F172">
            <v>0</v>
          </cell>
          <cell r="G172">
            <v>0</v>
          </cell>
          <cell r="H172">
            <v>0</v>
          </cell>
          <cell r="I172">
            <v>0</v>
          </cell>
          <cell r="J172">
            <v>0</v>
          </cell>
        </row>
        <row r="173">
          <cell r="B173" t="str">
            <v>1.1.03.14.18</v>
          </cell>
          <cell r="C173" t="str">
            <v>Piutang Pajak Mika</v>
          </cell>
          <cell r="F173">
            <v>0</v>
          </cell>
          <cell r="G173">
            <v>0</v>
          </cell>
          <cell r="H173">
            <v>0</v>
          </cell>
          <cell r="I173">
            <v>0</v>
          </cell>
          <cell r="J173">
            <v>0</v>
          </cell>
        </row>
        <row r="174">
          <cell r="B174" t="str">
            <v>1.1.03.14.19</v>
          </cell>
          <cell r="C174" t="str">
            <v>Piutang Pajak Marmer</v>
          </cell>
          <cell r="F174">
            <v>0</v>
          </cell>
          <cell r="G174">
            <v>0</v>
          </cell>
          <cell r="H174">
            <v>0</v>
          </cell>
          <cell r="I174">
            <v>0</v>
          </cell>
          <cell r="J174">
            <v>0</v>
          </cell>
        </row>
        <row r="175">
          <cell r="B175" t="str">
            <v>1.1.03.14.20</v>
          </cell>
          <cell r="C175" t="str">
            <v>Piutang Pajak Nitrat</v>
          </cell>
          <cell r="F175">
            <v>0</v>
          </cell>
          <cell r="G175">
            <v>0</v>
          </cell>
          <cell r="H175">
            <v>0</v>
          </cell>
          <cell r="I175">
            <v>0</v>
          </cell>
          <cell r="J175">
            <v>0</v>
          </cell>
        </row>
        <row r="176">
          <cell r="B176" t="str">
            <v>1.1.03.14.21</v>
          </cell>
          <cell r="C176" t="str">
            <v>Piutang Pajak Opsidien</v>
          </cell>
          <cell r="F176">
            <v>0</v>
          </cell>
          <cell r="G176">
            <v>0</v>
          </cell>
          <cell r="H176">
            <v>0</v>
          </cell>
          <cell r="I176">
            <v>0</v>
          </cell>
          <cell r="J176">
            <v>0</v>
          </cell>
        </row>
        <row r="177">
          <cell r="B177" t="str">
            <v>1.1.03.14.22</v>
          </cell>
          <cell r="C177" t="str">
            <v>Piutang Pajak Oker</v>
          </cell>
          <cell r="F177">
            <v>0</v>
          </cell>
          <cell r="G177">
            <v>0</v>
          </cell>
          <cell r="H177">
            <v>0</v>
          </cell>
          <cell r="I177">
            <v>0</v>
          </cell>
          <cell r="J177">
            <v>0</v>
          </cell>
        </row>
        <row r="178">
          <cell r="B178" t="str">
            <v>1.1.03.14.23</v>
          </cell>
          <cell r="C178" t="str">
            <v>Piutang Pajak Pasir dan Kerikil</v>
          </cell>
          <cell r="F178">
            <v>0</v>
          </cell>
          <cell r="G178">
            <v>0</v>
          </cell>
          <cell r="H178">
            <v>0</v>
          </cell>
          <cell r="I178">
            <v>0</v>
          </cell>
          <cell r="J178">
            <v>0</v>
          </cell>
        </row>
        <row r="179">
          <cell r="B179" t="str">
            <v>1.1.03.14.24</v>
          </cell>
          <cell r="C179" t="str">
            <v>Piutang Pajak Pasir Kuarsa</v>
          </cell>
          <cell r="F179">
            <v>0</v>
          </cell>
          <cell r="G179">
            <v>0</v>
          </cell>
          <cell r="H179">
            <v>0</v>
          </cell>
          <cell r="I179">
            <v>0</v>
          </cell>
          <cell r="J179">
            <v>0</v>
          </cell>
        </row>
        <row r="180">
          <cell r="B180" t="str">
            <v>1.1.03.14.25</v>
          </cell>
          <cell r="C180" t="str">
            <v>Piutang Pajak Perlit</v>
          </cell>
          <cell r="F180">
            <v>0</v>
          </cell>
          <cell r="G180">
            <v>0</v>
          </cell>
          <cell r="H180">
            <v>0</v>
          </cell>
          <cell r="I180">
            <v>0</v>
          </cell>
          <cell r="J180">
            <v>0</v>
          </cell>
        </row>
        <row r="181">
          <cell r="B181" t="str">
            <v>1.1.03.14.26</v>
          </cell>
          <cell r="C181" t="str">
            <v>Piutang Pajak Phospat</v>
          </cell>
          <cell r="F181">
            <v>0</v>
          </cell>
          <cell r="G181">
            <v>0</v>
          </cell>
          <cell r="H181">
            <v>0</v>
          </cell>
          <cell r="I181">
            <v>0</v>
          </cell>
          <cell r="J181">
            <v>0</v>
          </cell>
        </row>
        <row r="182">
          <cell r="B182" t="str">
            <v>1.1.03.14.27</v>
          </cell>
          <cell r="C182" t="str">
            <v>Piutang Pajak Talk</v>
          </cell>
          <cell r="F182">
            <v>0</v>
          </cell>
          <cell r="G182">
            <v>0</v>
          </cell>
          <cell r="H182">
            <v>0</v>
          </cell>
          <cell r="I182">
            <v>0</v>
          </cell>
          <cell r="J182">
            <v>0</v>
          </cell>
        </row>
        <row r="183">
          <cell r="B183" t="str">
            <v>1.1.03.14.28</v>
          </cell>
          <cell r="C183" t="str">
            <v>Piutang Pajak Tanah Serap (Fullers earth)</v>
          </cell>
          <cell r="F183">
            <v>0</v>
          </cell>
          <cell r="G183">
            <v>0</v>
          </cell>
          <cell r="H183">
            <v>0</v>
          </cell>
          <cell r="I183">
            <v>0</v>
          </cell>
          <cell r="J183">
            <v>0</v>
          </cell>
        </row>
        <row r="184">
          <cell r="B184" t="str">
            <v>1.1.03.14.29</v>
          </cell>
          <cell r="C184" t="str">
            <v>Piutang Pajak Tanah Diatome</v>
          </cell>
          <cell r="F184">
            <v>0</v>
          </cell>
          <cell r="G184">
            <v>0</v>
          </cell>
          <cell r="H184">
            <v>0</v>
          </cell>
          <cell r="I184">
            <v>0</v>
          </cell>
          <cell r="J184">
            <v>0</v>
          </cell>
        </row>
        <row r="185">
          <cell r="B185" t="str">
            <v>1.1.03.14.30</v>
          </cell>
          <cell r="C185" t="str">
            <v>Piutang Pajak Tanah Liat</v>
          </cell>
          <cell r="D185">
            <v>8000.2</v>
          </cell>
          <cell r="F185">
            <v>0</v>
          </cell>
          <cell r="G185">
            <v>0</v>
          </cell>
          <cell r="H185">
            <v>0</v>
          </cell>
          <cell r="I185">
            <v>0</v>
          </cell>
          <cell r="J185">
            <v>0</v>
          </cell>
        </row>
        <row r="186">
          <cell r="B186" t="str">
            <v>1.1.03.14.31</v>
          </cell>
          <cell r="C186" t="str">
            <v>Piutang Pajak Tawas (Alum)</v>
          </cell>
          <cell r="F186">
            <v>0</v>
          </cell>
          <cell r="G186">
            <v>0</v>
          </cell>
          <cell r="H186">
            <v>0</v>
          </cell>
          <cell r="I186">
            <v>0</v>
          </cell>
          <cell r="J186">
            <v>0</v>
          </cell>
        </row>
        <row r="187">
          <cell r="B187" t="str">
            <v>1.1.03.14.32</v>
          </cell>
          <cell r="C187" t="str">
            <v>Piutang Pajak Tras</v>
          </cell>
          <cell r="F187">
            <v>0</v>
          </cell>
          <cell r="G187">
            <v>0</v>
          </cell>
          <cell r="H187">
            <v>0</v>
          </cell>
          <cell r="I187">
            <v>0</v>
          </cell>
          <cell r="J187">
            <v>0</v>
          </cell>
        </row>
        <row r="188">
          <cell r="B188" t="str">
            <v>1.1.03.14.33</v>
          </cell>
          <cell r="C188" t="str">
            <v>Piutang Pajak Yarosif</v>
          </cell>
          <cell r="F188">
            <v>0</v>
          </cell>
          <cell r="G188">
            <v>0</v>
          </cell>
          <cell r="H188">
            <v>0</v>
          </cell>
          <cell r="I188">
            <v>0</v>
          </cell>
          <cell r="J188">
            <v>0</v>
          </cell>
        </row>
        <row r="189">
          <cell r="B189" t="str">
            <v>1.1.03.14.34</v>
          </cell>
          <cell r="C189" t="str">
            <v>Piutang Pajak Zeolit</v>
          </cell>
          <cell r="F189">
            <v>0</v>
          </cell>
          <cell r="G189">
            <v>0</v>
          </cell>
          <cell r="H189">
            <v>0</v>
          </cell>
          <cell r="I189">
            <v>0</v>
          </cell>
          <cell r="J189">
            <v>0</v>
          </cell>
        </row>
        <row r="190">
          <cell r="B190" t="str">
            <v>1.1.03.14.35</v>
          </cell>
          <cell r="C190" t="str">
            <v>Piutang Pajak Basal</v>
          </cell>
          <cell r="F190">
            <v>0</v>
          </cell>
          <cell r="G190">
            <v>0</v>
          </cell>
          <cell r="H190">
            <v>0</v>
          </cell>
          <cell r="I190">
            <v>0</v>
          </cell>
          <cell r="J190">
            <v>0</v>
          </cell>
        </row>
        <row r="191">
          <cell r="B191" t="str">
            <v>1.1.03.14.36</v>
          </cell>
          <cell r="C191" t="str">
            <v>Piutang Pajak Trakit</v>
          </cell>
          <cell r="F191">
            <v>0</v>
          </cell>
          <cell r="G191">
            <v>0</v>
          </cell>
          <cell r="H191">
            <v>0</v>
          </cell>
          <cell r="I191">
            <v>0</v>
          </cell>
          <cell r="J191">
            <v>0</v>
          </cell>
        </row>
        <row r="192">
          <cell r="B192" t="str">
            <v>1.1.03.14.37</v>
          </cell>
          <cell r="C192" t="str">
            <v>Piutang Pajak Mineral Bukan Logam dan Batuan Lainnya</v>
          </cell>
          <cell r="E192">
            <v>0.2</v>
          </cell>
          <cell r="F192">
            <v>0</v>
          </cell>
          <cell r="G192">
            <v>0</v>
          </cell>
          <cell r="H192">
            <v>0</v>
          </cell>
          <cell r="I192">
            <v>0</v>
          </cell>
          <cell r="J192">
            <v>0.2</v>
          </cell>
        </row>
        <row r="193">
          <cell r="B193" t="str">
            <v>1.1.03.14.38</v>
          </cell>
          <cell r="C193" t="str">
            <v>Piutang Pajak Belerang</v>
          </cell>
          <cell r="F193">
            <v>0</v>
          </cell>
          <cell r="G193">
            <v>0</v>
          </cell>
          <cell r="H193">
            <v>0</v>
          </cell>
          <cell r="I193">
            <v>0</v>
          </cell>
          <cell r="J193">
            <v>0</v>
          </cell>
        </row>
        <row r="194">
          <cell r="B194" t="str">
            <v>1.1.03.14.39</v>
          </cell>
          <cell r="C194" t="str">
            <v>Piutang Pajak MBLB Ikutan Dalam Suatu Pertambangan Mineral</v>
          </cell>
          <cell r="F194">
            <v>0</v>
          </cell>
          <cell r="G194">
            <v>0</v>
          </cell>
          <cell r="H194">
            <v>0</v>
          </cell>
          <cell r="I194">
            <v>0</v>
          </cell>
          <cell r="J194">
            <v>0</v>
          </cell>
        </row>
        <row r="195">
          <cell r="B195" t="str">
            <v>1.1.03.15</v>
          </cell>
          <cell r="C195" t="str">
            <v>Piutang Pajak Bumi dan Bangunan Perdesaan dan Perkotaan (PBBP2)</v>
          </cell>
          <cell r="D195">
            <v>22473146646.119999</v>
          </cell>
          <cell r="E195">
            <v>24523290625.119999</v>
          </cell>
          <cell r="J195">
            <v>24523290625.119999</v>
          </cell>
        </row>
        <row r="196">
          <cell r="B196" t="str">
            <v>1.1.03.15.01</v>
          </cell>
          <cell r="C196" t="str">
            <v>Piutang PBBP2</v>
          </cell>
          <cell r="D196">
            <v>22473146646.119999</v>
          </cell>
          <cell r="E196">
            <v>24523290625.119999</v>
          </cell>
          <cell r="F196">
            <v>0</v>
          </cell>
          <cell r="G196">
            <v>0</v>
          </cell>
          <cell r="H196">
            <v>0</v>
          </cell>
          <cell r="I196">
            <v>0</v>
          </cell>
          <cell r="J196">
            <v>24523290625.119999</v>
          </cell>
        </row>
        <row r="197">
          <cell r="B197" t="str">
            <v>1.1.03.16</v>
          </cell>
          <cell r="C197" t="str">
            <v>Piutang Bea Perolehan Hak Atas Tanah dan Bangunan (BPHTB)</v>
          </cell>
          <cell r="D197">
            <v>0</v>
          </cell>
          <cell r="E197">
            <v>0</v>
          </cell>
          <cell r="J197">
            <v>0</v>
          </cell>
        </row>
        <row r="198">
          <cell r="B198" t="str">
            <v>1.1.03.16.01</v>
          </cell>
          <cell r="C198" t="str">
            <v>Piutang BPHTB-Pemindahan Hak</v>
          </cell>
          <cell r="F198">
            <v>0</v>
          </cell>
          <cell r="G198">
            <v>0</v>
          </cell>
          <cell r="H198">
            <v>0</v>
          </cell>
          <cell r="I198">
            <v>0</v>
          </cell>
          <cell r="J198">
            <v>0</v>
          </cell>
        </row>
        <row r="199">
          <cell r="B199" t="str">
            <v>1.1.03.16.02</v>
          </cell>
          <cell r="C199" t="str">
            <v>Piutang BPHTB-Pemberian Hak Baru</v>
          </cell>
          <cell r="F199">
            <v>0</v>
          </cell>
          <cell r="G199">
            <v>0</v>
          </cell>
          <cell r="H199">
            <v>0</v>
          </cell>
          <cell r="I199">
            <v>0</v>
          </cell>
          <cell r="J199">
            <v>0</v>
          </cell>
        </row>
        <row r="200">
          <cell r="B200" t="str">
            <v>1.1.03.17</v>
          </cell>
          <cell r="C200" t="str">
            <v>Piutang Pajak Alat Berat</v>
          </cell>
          <cell r="D200">
            <v>0</v>
          </cell>
          <cell r="E200">
            <v>0</v>
          </cell>
          <cell r="J200">
            <v>0</v>
          </cell>
        </row>
        <row r="201">
          <cell r="B201" t="str">
            <v>1.1.03.17.01</v>
          </cell>
          <cell r="C201" t="str">
            <v>Piutang Pajak Alat Berat</v>
          </cell>
          <cell r="F201">
            <v>0</v>
          </cell>
          <cell r="G201">
            <v>0</v>
          </cell>
          <cell r="H201">
            <v>0</v>
          </cell>
          <cell r="I201">
            <v>0</v>
          </cell>
          <cell r="J201">
            <v>0</v>
          </cell>
        </row>
        <row r="202">
          <cell r="B202" t="str">
            <v>1.1.03.18</v>
          </cell>
          <cell r="C202" t="str">
            <v>Piutang Opsen Pajak Mineral Bukan Logam dan Batuan (MBLB)</v>
          </cell>
          <cell r="D202">
            <v>0</v>
          </cell>
          <cell r="E202">
            <v>0</v>
          </cell>
          <cell r="J202">
            <v>0</v>
          </cell>
        </row>
        <row r="203">
          <cell r="B203" t="str">
            <v>1.1.03.18.01</v>
          </cell>
          <cell r="C203" t="str">
            <v>Piutang Opsen Pajak Mineral Bukan Logam dan Batuan (MBLB)</v>
          </cell>
          <cell r="F203">
            <v>0</v>
          </cell>
          <cell r="G203">
            <v>0</v>
          </cell>
          <cell r="H203">
            <v>0</v>
          </cell>
          <cell r="I203">
            <v>0</v>
          </cell>
          <cell r="J203">
            <v>0</v>
          </cell>
        </row>
        <row r="204">
          <cell r="B204" t="str">
            <v>1.1.03.19</v>
          </cell>
          <cell r="C204" t="str">
            <v>Piutang Pajak Barang dan Jasa Tertentu (PBJT)</v>
          </cell>
          <cell r="D204">
            <v>0</v>
          </cell>
          <cell r="E204">
            <v>1330548709</v>
          </cell>
          <cell r="J204">
            <v>-102240645.40000001</v>
          </cell>
        </row>
        <row r="205">
          <cell r="B205" t="str">
            <v>1.1.03.19.01</v>
          </cell>
          <cell r="C205" t="str">
            <v>Piutang PBJT-Makanan dan/atau Minuman</v>
          </cell>
          <cell r="F205">
            <v>0</v>
          </cell>
          <cell r="G205">
            <v>18300760</v>
          </cell>
          <cell r="H205">
            <v>0</v>
          </cell>
          <cell r="I205">
            <v>0</v>
          </cell>
          <cell r="J205">
            <v>-18300760</v>
          </cell>
        </row>
        <row r="206">
          <cell r="B206" t="str">
            <v>1.1.03.19.02</v>
          </cell>
          <cell r="C206" t="str">
            <v>Piutang PBJT-Tenaga Listrik</v>
          </cell>
          <cell r="E206">
            <v>1330548709</v>
          </cell>
          <cell r="F206">
            <v>0</v>
          </cell>
          <cell r="G206">
            <v>1330548709</v>
          </cell>
          <cell r="H206">
            <v>0</v>
          </cell>
          <cell r="I206">
            <v>0</v>
          </cell>
          <cell r="J206">
            <v>0</v>
          </cell>
        </row>
        <row r="207">
          <cell r="B207" t="str">
            <v>1.1.03.19.03</v>
          </cell>
          <cell r="C207" t="str">
            <v>Piutang PBJT-Jasa Perhotelan</v>
          </cell>
          <cell r="F207">
            <v>0</v>
          </cell>
          <cell r="G207">
            <v>83939885.400000006</v>
          </cell>
          <cell r="H207">
            <v>0</v>
          </cell>
          <cell r="I207">
            <v>0</v>
          </cell>
          <cell r="J207">
            <v>-83939885.400000006</v>
          </cell>
        </row>
        <row r="208">
          <cell r="B208" t="str">
            <v>1.1.03.19.04</v>
          </cell>
          <cell r="C208" t="str">
            <v>Piutang PBJT-Jasa Parkir</v>
          </cell>
          <cell r="F208">
            <v>0</v>
          </cell>
          <cell r="G208">
            <v>0</v>
          </cell>
          <cell r="H208">
            <v>0</v>
          </cell>
          <cell r="I208">
            <v>0</v>
          </cell>
          <cell r="J208">
            <v>0</v>
          </cell>
        </row>
        <row r="209">
          <cell r="B209" t="str">
            <v>1.1.03.19.05</v>
          </cell>
          <cell r="C209" t="str">
            <v>Piutang PBJT-Jasa Kesenian dan Hiburan</v>
          </cell>
          <cell r="F209">
            <v>0</v>
          </cell>
          <cell r="G209">
            <v>0</v>
          </cell>
          <cell r="H209">
            <v>0</v>
          </cell>
          <cell r="I209">
            <v>0</v>
          </cell>
          <cell r="J209">
            <v>0</v>
          </cell>
        </row>
        <row r="210">
          <cell r="B210" t="str">
            <v>1.1.03.20</v>
          </cell>
          <cell r="C210" t="str">
            <v>Piutang Opsen Pajak Kendaraan Bermotor (PKB)</v>
          </cell>
          <cell r="D210">
            <v>0</v>
          </cell>
          <cell r="E210">
            <v>0</v>
          </cell>
          <cell r="J210">
            <v>0</v>
          </cell>
        </row>
        <row r="211">
          <cell r="B211" t="str">
            <v>1.1.03.20.01</v>
          </cell>
          <cell r="C211" t="str">
            <v>Piutang Opsen PKB</v>
          </cell>
          <cell r="F211">
            <v>0</v>
          </cell>
          <cell r="G211">
            <v>0</v>
          </cell>
          <cell r="H211">
            <v>0</v>
          </cell>
          <cell r="I211">
            <v>0</v>
          </cell>
          <cell r="J211">
            <v>0</v>
          </cell>
        </row>
        <row r="212">
          <cell r="B212" t="str">
            <v>1.1.03.21</v>
          </cell>
          <cell r="C212" t="str">
            <v>Piutang Opsen Bea Balik Nama Kendaraan Bermotor (BBNKB)</v>
          </cell>
          <cell r="D212">
            <v>0</v>
          </cell>
          <cell r="E212">
            <v>0</v>
          </cell>
          <cell r="J212">
            <v>0</v>
          </cell>
        </row>
        <row r="213">
          <cell r="B213" t="str">
            <v>1.1.03.21.01</v>
          </cell>
          <cell r="C213" t="str">
            <v>Piutang Opsen BBNKB</v>
          </cell>
          <cell r="F213">
            <v>0</v>
          </cell>
          <cell r="G213">
            <v>0</v>
          </cell>
          <cell r="H213">
            <v>0</v>
          </cell>
          <cell r="I213">
            <v>0</v>
          </cell>
          <cell r="J213">
            <v>0</v>
          </cell>
        </row>
        <row r="215">
          <cell r="B215" t="str">
            <v>1.1.04</v>
          </cell>
          <cell r="C215" t="str">
            <v>Piutang Retribusi Daerah</v>
          </cell>
          <cell r="D215">
            <v>9466432167</v>
          </cell>
          <cell r="E215">
            <v>19410198842</v>
          </cell>
          <cell r="J215">
            <v>14529257167</v>
          </cell>
        </row>
        <row r="216">
          <cell r="B216" t="str">
            <v>1.1.04.01</v>
          </cell>
          <cell r="C216" t="str">
            <v>Piutang Retribusi Jasa Umum</v>
          </cell>
          <cell r="D216">
            <v>2722328070</v>
          </cell>
          <cell r="E216">
            <v>8067303645</v>
          </cell>
          <cell r="J216">
            <v>3186361970</v>
          </cell>
        </row>
        <row r="217">
          <cell r="B217" t="str">
            <v>1.1.04.01.01</v>
          </cell>
          <cell r="C217" t="str">
            <v>Piutang Retribusi Pelayanan Kesehatan</v>
          </cell>
          <cell r="E217">
            <v>4809104675</v>
          </cell>
          <cell r="F217">
            <v>0</v>
          </cell>
          <cell r="G217">
            <v>0</v>
          </cell>
          <cell r="H217">
            <v>0</v>
          </cell>
          <cell r="I217">
            <v>4809104675</v>
          </cell>
          <cell r="J217">
            <v>0</v>
          </cell>
        </row>
        <row r="218">
          <cell r="B218" t="str">
            <v>1.1.04.01.02</v>
          </cell>
          <cell r="C218" t="str">
            <v>Piutang Retribusi Pelayanan Persampahan/Kebersihan</v>
          </cell>
          <cell r="F218">
            <v>0</v>
          </cell>
          <cell r="G218">
            <v>0</v>
          </cell>
          <cell r="H218">
            <v>0</v>
          </cell>
          <cell r="I218">
            <v>0</v>
          </cell>
          <cell r="J218">
            <v>0</v>
          </cell>
        </row>
        <row r="219">
          <cell r="B219" t="str">
            <v>1.1.04.01.03</v>
          </cell>
          <cell r="C219" t="str">
            <v>Piutang Retribusi Pelayanan Pemakaman dan Pengabuan Mayat</v>
          </cell>
          <cell r="F219">
            <v>0</v>
          </cell>
          <cell r="G219">
            <v>0</v>
          </cell>
          <cell r="H219">
            <v>0</v>
          </cell>
          <cell r="I219">
            <v>0</v>
          </cell>
          <cell r="J219">
            <v>0</v>
          </cell>
        </row>
        <row r="220">
          <cell r="B220" t="str">
            <v>1.1.04.01.04</v>
          </cell>
          <cell r="C220" t="str">
            <v>Piutang Retribusi Pelayanan Parkir di Tepi Jalan Umum</v>
          </cell>
          <cell r="F220">
            <v>0</v>
          </cell>
          <cell r="G220">
            <v>0</v>
          </cell>
          <cell r="H220">
            <v>0</v>
          </cell>
          <cell r="I220">
            <v>0</v>
          </cell>
          <cell r="J220">
            <v>0</v>
          </cell>
        </row>
        <row r="221">
          <cell r="B221" t="str">
            <v>1.1.04.01.05</v>
          </cell>
          <cell r="C221" t="str">
            <v>Piutang Retribusi Pelayanan pasar</v>
          </cell>
          <cell r="D221">
            <v>1986418150</v>
          </cell>
          <cell r="E221">
            <v>2522289050</v>
          </cell>
          <cell r="F221">
            <v>0</v>
          </cell>
          <cell r="G221">
            <v>71837000</v>
          </cell>
          <cell r="H221">
            <v>0</v>
          </cell>
          <cell r="I221">
            <v>0</v>
          </cell>
          <cell r="J221">
            <v>2450452050</v>
          </cell>
        </row>
        <row r="222">
          <cell r="B222" t="str">
            <v>1.1.04.01.06</v>
          </cell>
          <cell r="C222" t="str">
            <v>Piutang Retribusi Pengujian Kendaraan Bermotor</v>
          </cell>
          <cell r="F222">
            <v>0</v>
          </cell>
          <cell r="G222">
            <v>0</v>
          </cell>
          <cell r="H222">
            <v>0</v>
          </cell>
          <cell r="I222">
            <v>0</v>
          </cell>
          <cell r="J222">
            <v>0</v>
          </cell>
        </row>
        <row r="223">
          <cell r="B223" t="str">
            <v>1.1.04.01.07</v>
          </cell>
          <cell r="C223" t="str">
            <v>Piutang Retribusi Pemeriksaan Alat Pemadam Kebakaran</v>
          </cell>
          <cell r="F223">
            <v>0</v>
          </cell>
          <cell r="G223">
            <v>0</v>
          </cell>
          <cell r="H223">
            <v>0</v>
          </cell>
          <cell r="I223">
            <v>0</v>
          </cell>
          <cell r="J223">
            <v>0</v>
          </cell>
        </row>
        <row r="224">
          <cell r="B224" t="str">
            <v>1.1.04.01.08</v>
          </cell>
          <cell r="C224" t="str">
            <v>Piutang Retribusi Penggantian Biaya Cetak Peta</v>
          </cell>
          <cell r="F224">
            <v>0</v>
          </cell>
          <cell r="G224">
            <v>0</v>
          </cell>
          <cell r="H224">
            <v>0</v>
          </cell>
          <cell r="I224">
            <v>0</v>
          </cell>
          <cell r="J224">
            <v>0</v>
          </cell>
        </row>
        <row r="225">
          <cell r="B225" t="str">
            <v>1.1.04.01.09</v>
          </cell>
          <cell r="C225" t="str">
            <v>Piutang Retribusi Penyediaan dan/atau Penyedotan Kakus</v>
          </cell>
          <cell r="F225">
            <v>0</v>
          </cell>
          <cell r="G225">
            <v>0</v>
          </cell>
          <cell r="H225">
            <v>0</v>
          </cell>
          <cell r="I225">
            <v>0</v>
          </cell>
          <cell r="J225">
            <v>0</v>
          </cell>
        </row>
        <row r="226">
          <cell r="B226" t="str">
            <v>1.1.04.01.10</v>
          </cell>
          <cell r="C226" t="str">
            <v>Piutang Retribusi Pengolahan Limbah Cair</v>
          </cell>
          <cell r="F226">
            <v>0</v>
          </cell>
          <cell r="G226">
            <v>0</v>
          </cell>
          <cell r="H226">
            <v>0</v>
          </cell>
          <cell r="I226">
            <v>0</v>
          </cell>
          <cell r="J226">
            <v>0</v>
          </cell>
        </row>
        <row r="227">
          <cell r="B227" t="str">
            <v>1.1.04.01.11</v>
          </cell>
          <cell r="C227" t="str">
            <v>Piutang Retribusi Pelayanan Tera/Tera Ulang</v>
          </cell>
          <cell r="F227">
            <v>0</v>
          </cell>
          <cell r="G227">
            <v>0</v>
          </cell>
          <cell r="H227">
            <v>0</v>
          </cell>
          <cell r="I227">
            <v>0</v>
          </cell>
          <cell r="J227">
            <v>0</v>
          </cell>
        </row>
        <row r="228">
          <cell r="B228" t="str">
            <v>1.1.04.01.12</v>
          </cell>
          <cell r="C228" t="str">
            <v>Piutang Retribusi Pelayanan Pendidikan</v>
          </cell>
          <cell r="F228">
            <v>0</v>
          </cell>
          <cell r="G228">
            <v>0</v>
          </cell>
          <cell r="H228">
            <v>0</v>
          </cell>
          <cell r="I228">
            <v>0</v>
          </cell>
          <cell r="J228">
            <v>0</v>
          </cell>
        </row>
        <row r="229">
          <cell r="B229" t="str">
            <v>1.1.04.01.13</v>
          </cell>
          <cell r="C229" t="str">
            <v>Piutang Retribusi Pengawasan dan Pengendalian Menara Telekomunikasi</v>
          </cell>
          <cell r="D229">
            <v>735909920</v>
          </cell>
          <cell r="E229">
            <v>735909920</v>
          </cell>
          <cell r="F229">
            <v>0</v>
          </cell>
          <cell r="G229">
            <v>0</v>
          </cell>
          <cell r="H229">
            <v>0</v>
          </cell>
          <cell r="I229">
            <v>0</v>
          </cell>
          <cell r="J229">
            <v>735909920</v>
          </cell>
        </row>
        <row r="230">
          <cell r="B230" t="str">
            <v>1.1.04.01.14</v>
          </cell>
          <cell r="C230" t="str">
            <v>Piutang Retribusi Pelayanan Kebersihan</v>
          </cell>
          <cell r="F230">
            <v>0</v>
          </cell>
          <cell r="G230">
            <v>0</v>
          </cell>
          <cell r="H230">
            <v>0</v>
          </cell>
          <cell r="I230">
            <v>0</v>
          </cell>
          <cell r="J230">
            <v>0</v>
          </cell>
        </row>
        <row r="231">
          <cell r="B231" t="str">
            <v>1.1.04.01.15</v>
          </cell>
          <cell r="C231" t="str">
            <v>Piutang Retribusi Pengendalian Lalu Lintas</v>
          </cell>
          <cell r="F231">
            <v>0</v>
          </cell>
          <cell r="G231">
            <v>0</v>
          </cell>
          <cell r="H231">
            <v>0</v>
          </cell>
          <cell r="I231">
            <v>0</v>
          </cell>
          <cell r="J231">
            <v>0</v>
          </cell>
        </row>
        <row r="232">
          <cell r="B232" t="str">
            <v>1.1.04.02</v>
          </cell>
          <cell r="C232" t="str">
            <v>Piutang Retribusi Jasa Usaha</v>
          </cell>
          <cell r="D232">
            <v>6744104097</v>
          </cell>
          <cell r="E232">
            <v>11342895197</v>
          </cell>
          <cell r="J232">
            <v>11342895197</v>
          </cell>
        </row>
        <row r="233">
          <cell r="B233" t="str">
            <v>1.1.04.02.01</v>
          </cell>
          <cell r="C233" t="str">
            <v>Piutang Retribusi Pemakaian Kekayaan Daerah</v>
          </cell>
          <cell r="D233">
            <v>6741041197</v>
          </cell>
          <cell r="E233">
            <v>6741041197</v>
          </cell>
          <cell r="F233">
            <v>0</v>
          </cell>
          <cell r="G233">
            <v>0</v>
          </cell>
          <cell r="H233">
            <v>0</v>
          </cell>
          <cell r="I233">
            <v>0</v>
          </cell>
          <cell r="J233">
            <v>6741041197</v>
          </cell>
        </row>
        <row r="234">
          <cell r="B234" t="str">
            <v>1.1.04.02.02</v>
          </cell>
          <cell r="C234" t="str">
            <v>Piutang Retribusi pasar Grosir dan/atau Pertokoan</v>
          </cell>
          <cell r="D234">
            <v>3062900</v>
          </cell>
          <cell r="F234">
            <v>0</v>
          </cell>
          <cell r="G234">
            <v>0</v>
          </cell>
          <cell r="H234">
            <v>0</v>
          </cell>
          <cell r="I234">
            <v>0</v>
          </cell>
          <cell r="J234">
            <v>0</v>
          </cell>
        </row>
        <row r="235">
          <cell r="B235" t="str">
            <v>1.1.04.02.03</v>
          </cell>
          <cell r="C235" t="str">
            <v>Piutang Retribusi Tempat Pelelangan</v>
          </cell>
          <cell r="F235">
            <v>0</v>
          </cell>
          <cell r="G235">
            <v>0</v>
          </cell>
          <cell r="H235">
            <v>0</v>
          </cell>
          <cell r="I235">
            <v>0</v>
          </cell>
          <cell r="J235">
            <v>0</v>
          </cell>
        </row>
        <row r="236">
          <cell r="B236" t="str">
            <v>1.1.04.02.04</v>
          </cell>
          <cell r="C236" t="str">
            <v>Piutang Retribusi Terminal</v>
          </cell>
          <cell r="F236">
            <v>0</v>
          </cell>
          <cell r="G236">
            <v>0</v>
          </cell>
          <cell r="H236">
            <v>0</v>
          </cell>
          <cell r="I236">
            <v>0</v>
          </cell>
          <cell r="J236">
            <v>0</v>
          </cell>
        </row>
        <row r="237">
          <cell r="B237" t="str">
            <v>1.1.04.02.05</v>
          </cell>
          <cell r="C237" t="str">
            <v>Piutang Retribusi Tempat Khusus Parkir</v>
          </cell>
          <cell r="F237">
            <v>0</v>
          </cell>
          <cell r="G237">
            <v>0</v>
          </cell>
          <cell r="H237">
            <v>0</v>
          </cell>
          <cell r="I237">
            <v>0</v>
          </cell>
          <cell r="J237">
            <v>0</v>
          </cell>
        </row>
        <row r="238">
          <cell r="B238" t="str">
            <v>1.1.04.02.06</v>
          </cell>
          <cell r="C238" t="str">
            <v>Piutang Retribusi Tempat Penginapan/Pesanggrahan/Vila</v>
          </cell>
          <cell r="F238">
            <v>0</v>
          </cell>
          <cell r="G238">
            <v>0</v>
          </cell>
          <cell r="H238">
            <v>0</v>
          </cell>
          <cell r="I238">
            <v>0</v>
          </cell>
          <cell r="J238">
            <v>0</v>
          </cell>
        </row>
        <row r="239">
          <cell r="B239" t="str">
            <v>1.1.04.02.07</v>
          </cell>
          <cell r="C239" t="str">
            <v>Piutang Retribusi Rumah Potong Hewan</v>
          </cell>
          <cell r="F239">
            <v>0</v>
          </cell>
          <cell r="G239">
            <v>0</v>
          </cell>
          <cell r="H239">
            <v>0</v>
          </cell>
          <cell r="I239">
            <v>0</v>
          </cell>
          <cell r="J239">
            <v>0</v>
          </cell>
        </row>
        <row r="240">
          <cell r="B240" t="str">
            <v>1.1.04.02.08</v>
          </cell>
          <cell r="C240" t="str">
            <v>Piutang Retribusi Pelayanan Kepelabuhanan</v>
          </cell>
          <cell r="F240">
            <v>0</v>
          </cell>
          <cell r="G240">
            <v>0</v>
          </cell>
          <cell r="H240">
            <v>0</v>
          </cell>
          <cell r="I240">
            <v>0</v>
          </cell>
          <cell r="J240">
            <v>0</v>
          </cell>
        </row>
        <row r="241">
          <cell r="B241" t="str">
            <v>1.1.04.02.09</v>
          </cell>
          <cell r="C241" t="str">
            <v>Piutang Retribusi Tempat Rekreasi dan Olahraga</v>
          </cell>
          <cell r="F241">
            <v>0</v>
          </cell>
          <cell r="G241">
            <v>0</v>
          </cell>
          <cell r="H241">
            <v>0</v>
          </cell>
          <cell r="I241">
            <v>0</v>
          </cell>
          <cell r="J241">
            <v>0</v>
          </cell>
        </row>
        <row r="242">
          <cell r="B242" t="str">
            <v>1.1.04.02.10</v>
          </cell>
          <cell r="C242" t="str">
            <v>Piutang Retribusi Penyeberangan di Air</v>
          </cell>
          <cell r="F242">
            <v>0</v>
          </cell>
          <cell r="G242">
            <v>0</v>
          </cell>
          <cell r="H242">
            <v>0</v>
          </cell>
          <cell r="I242">
            <v>0</v>
          </cell>
          <cell r="J242">
            <v>0</v>
          </cell>
        </row>
        <row r="243">
          <cell r="B243" t="str">
            <v>1.1.04.02.11</v>
          </cell>
          <cell r="C243" t="str">
            <v>Piutang Retribusi Penjualan Produksi Usaha Daerah</v>
          </cell>
          <cell r="F243">
            <v>0</v>
          </cell>
          <cell r="G243">
            <v>0</v>
          </cell>
          <cell r="H243">
            <v>0</v>
          </cell>
          <cell r="I243">
            <v>0</v>
          </cell>
          <cell r="J243">
            <v>0</v>
          </cell>
        </row>
        <row r="244">
          <cell r="B244" t="str">
            <v>1.1.04.02.12</v>
          </cell>
          <cell r="C244" t="str">
            <v>Piutang Retribusi Penyediaan Tempat Kegiatan Usaha berupa Pasar, Grosir, Pertokoan, dan Tempat Kegiatan Usaha Lainnya</v>
          </cell>
          <cell r="F244">
            <v>0</v>
          </cell>
          <cell r="G244">
            <v>0</v>
          </cell>
          <cell r="H244">
            <v>0</v>
          </cell>
          <cell r="I244">
            <v>0</v>
          </cell>
          <cell r="J244">
            <v>0</v>
          </cell>
        </row>
        <row r="245">
          <cell r="B245" t="str">
            <v>1.1.04.02.13</v>
          </cell>
          <cell r="C245" t="str">
            <v>Piutang Retribusi Penyediaan Tempat Pelelangan Ikan, Ternak, Hasil Bumi, dan Hasil Hutan Termasuk Fasilitas Lainnya dalam Lingkungan Tempat Pelelangan</v>
          </cell>
          <cell r="F245">
            <v>0</v>
          </cell>
          <cell r="G245">
            <v>0</v>
          </cell>
          <cell r="H245">
            <v>0</v>
          </cell>
          <cell r="I245">
            <v>0</v>
          </cell>
          <cell r="J245">
            <v>0</v>
          </cell>
        </row>
        <row r="246">
          <cell r="B246" t="str">
            <v>1.1.04.02.14</v>
          </cell>
          <cell r="C246" t="str">
            <v>Piutang Retribusi Penyediaan Tempat Khusus Parkir Diluar Badan Jalan</v>
          </cell>
          <cell r="F246">
            <v>0</v>
          </cell>
          <cell r="G246">
            <v>0</v>
          </cell>
          <cell r="H246">
            <v>0</v>
          </cell>
          <cell r="I246">
            <v>0</v>
          </cell>
          <cell r="J246">
            <v>0</v>
          </cell>
        </row>
        <row r="247">
          <cell r="B247" t="str">
            <v>1.1.04.02.15</v>
          </cell>
          <cell r="C247" t="str">
            <v>Piutang Retribusi Pelayanan Rumah Pemotongan Hewan Ternak</v>
          </cell>
          <cell r="F247">
            <v>0</v>
          </cell>
          <cell r="G247">
            <v>0</v>
          </cell>
          <cell r="H247">
            <v>0</v>
          </cell>
          <cell r="I247">
            <v>0</v>
          </cell>
          <cell r="J247">
            <v>0</v>
          </cell>
        </row>
        <row r="248">
          <cell r="B248" t="str">
            <v>1.1.04.02.16</v>
          </cell>
          <cell r="C248" t="str">
            <v>Piutang Retribusi Pelayanan Jasa Kepelabuhanan</v>
          </cell>
          <cell r="F248">
            <v>0</v>
          </cell>
          <cell r="G248">
            <v>0</v>
          </cell>
          <cell r="H248">
            <v>0</v>
          </cell>
          <cell r="I248">
            <v>0</v>
          </cell>
          <cell r="J248">
            <v>0</v>
          </cell>
        </row>
        <row r="249">
          <cell r="B249" t="str">
            <v>1.1.04.02.17</v>
          </cell>
          <cell r="C249" t="str">
            <v>Piutang Retribusi Pelayanan Tempat Rekreasi, Pariwisata, dan Olahraga</v>
          </cell>
          <cell r="F249">
            <v>0</v>
          </cell>
          <cell r="G249">
            <v>0</v>
          </cell>
          <cell r="H249">
            <v>0</v>
          </cell>
          <cell r="I249">
            <v>0</v>
          </cell>
          <cell r="J249">
            <v>0</v>
          </cell>
        </row>
        <row r="250">
          <cell r="B250" t="str">
            <v>1.1.04.02.18</v>
          </cell>
          <cell r="C250" t="str">
            <v>Piutang Retribusi Pelayanan Penyeberangan Orang atau Barang dengan Menggunakan Kendaraan di Air</v>
          </cell>
          <cell r="F250">
            <v>0</v>
          </cell>
          <cell r="G250">
            <v>0</v>
          </cell>
          <cell r="H250">
            <v>0</v>
          </cell>
          <cell r="I250">
            <v>0</v>
          </cell>
          <cell r="J250">
            <v>0</v>
          </cell>
        </row>
        <row r="251">
          <cell r="B251" t="str">
            <v>1.1.04.02.19</v>
          </cell>
          <cell r="C251" t="str">
            <v>Piutang Retribusi Penjualan Hasil Produksi Usaha Pemerintah Daerah</v>
          </cell>
          <cell r="F251">
            <v>0</v>
          </cell>
          <cell r="G251">
            <v>0</v>
          </cell>
          <cell r="H251">
            <v>0</v>
          </cell>
          <cell r="I251">
            <v>0</v>
          </cell>
          <cell r="J251">
            <v>0</v>
          </cell>
        </row>
        <row r="252">
          <cell r="B252" t="str">
            <v>1.1.04.02.20</v>
          </cell>
          <cell r="C252" t="str">
            <v>Piutang Retribusi Pemanfaatan Aset Daerah</v>
          </cell>
          <cell r="E252">
            <v>4601854000</v>
          </cell>
          <cell r="F252">
            <v>0</v>
          </cell>
          <cell r="G252">
            <v>0</v>
          </cell>
          <cell r="H252">
            <v>0</v>
          </cell>
          <cell r="I252">
            <v>0</v>
          </cell>
          <cell r="J252">
            <v>4601854000</v>
          </cell>
        </row>
        <row r="253">
          <cell r="B253" t="str">
            <v>1.1.04.03</v>
          </cell>
          <cell r="C253" t="str">
            <v>Piutang Retribusi Perizinan Tertentu</v>
          </cell>
          <cell r="D253">
            <v>0</v>
          </cell>
          <cell r="E253">
            <v>0</v>
          </cell>
          <cell r="J253">
            <v>0</v>
          </cell>
        </row>
        <row r="254">
          <cell r="B254" t="str">
            <v>1.1.04.03.01</v>
          </cell>
          <cell r="C254" t="str">
            <v>Piutang Retribusi Izin Mendirikan Bangunan</v>
          </cell>
          <cell r="F254">
            <v>0</v>
          </cell>
          <cell r="G254">
            <v>0</v>
          </cell>
          <cell r="H254">
            <v>0</v>
          </cell>
          <cell r="I254">
            <v>0</v>
          </cell>
          <cell r="J254">
            <v>0</v>
          </cell>
        </row>
        <row r="255">
          <cell r="B255" t="str">
            <v>1.1.04.03.02</v>
          </cell>
          <cell r="C255" t="str">
            <v>Piutang Retribusi Izin Tempat Penjualan Minuman Beralkohol</v>
          </cell>
          <cell r="F255">
            <v>0</v>
          </cell>
          <cell r="G255">
            <v>0</v>
          </cell>
          <cell r="H255">
            <v>0</v>
          </cell>
          <cell r="I255">
            <v>0</v>
          </cell>
          <cell r="J255">
            <v>0</v>
          </cell>
        </row>
        <row r="256">
          <cell r="B256" t="str">
            <v>1.1.04.03.03</v>
          </cell>
          <cell r="C256" t="str">
            <v>Piutang Retribusi Izin Trayek untuk Menyediakan Pelayanan Angkutan Umum</v>
          </cell>
          <cell r="F256">
            <v>0</v>
          </cell>
          <cell r="G256">
            <v>0</v>
          </cell>
          <cell r="H256">
            <v>0</v>
          </cell>
          <cell r="I256">
            <v>0</v>
          </cell>
          <cell r="J256">
            <v>0</v>
          </cell>
        </row>
        <row r="257">
          <cell r="B257" t="str">
            <v>1.1.04.03.04</v>
          </cell>
          <cell r="C257" t="str">
            <v>Piutang Retribusi Izin Usaha Perikanan</v>
          </cell>
          <cell r="F257">
            <v>0</v>
          </cell>
          <cell r="G257">
            <v>0</v>
          </cell>
          <cell r="H257">
            <v>0</v>
          </cell>
          <cell r="I257">
            <v>0</v>
          </cell>
          <cell r="J257">
            <v>0</v>
          </cell>
        </row>
        <row r="258">
          <cell r="B258" t="str">
            <v>1.1.04.03.05</v>
          </cell>
          <cell r="C258" t="str">
            <v>Piutang Retribusi Pengendalian Lalu Lintas</v>
          </cell>
          <cell r="F258">
            <v>0</v>
          </cell>
          <cell r="G258">
            <v>0</v>
          </cell>
          <cell r="H258">
            <v>0</v>
          </cell>
          <cell r="I258">
            <v>0</v>
          </cell>
          <cell r="J258">
            <v>0</v>
          </cell>
        </row>
        <row r="259">
          <cell r="B259" t="str">
            <v>1.1.04.03.06</v>
          </cell>
          <cell r="C259" t="str">
            <v>Piutang Retribusi Perpanjangan Izin Mempekerjakan Tenaga Kerja Asing (IMTA)</v>
          </cell>
          <cell r="F259">
            <v>0</v>
          </cell>
          <cell r="G259">
            <v>0</v>
          </cell>
          <cell r="H259">
            <v>0</v>
          </cell>
          <cell r="I259">
            <v>0</v>
          </cell>
          <cell r="J259">
            <v>0</v>
          </cell>
        </row>
        <row r="260">
          <cell r="B260" t="str">
            <v>1.1.04.03.07</v>
          </cell>
          <cell r="C260" t="str">
            <v>Piutang Retribusi Persetujuan Bangunan Gedung</v>
          </cell>
          <cell r="F260">
            <v>0</v>
          </cell>
          <cell r="G260">
            <v>0</v>
          </cell>
          <cell r="H260">
            <v>0</v>
          </cell>
          <cell r="I260">
            <v>0</v>
          </cell>
          <cell r="J260">
            <v>0</v>
          </cell>
        </row>
        <row r="261">
          <cell r="B261" t="str">
            <v>1.1.04.03.08</v>
          </cell>
          <cell r="C261" t="str">
            <v>Piutang Retribusi Penggunaan Tenaga Kerja Asing (TKA)</v>
          </cell>
          <cell r="F261">
            <v>0</v>
          </cell>
          <cell r="G261">
            <v>0</v>
          </cell>
          <cell r="H261">
            <v>0</v>
          </cell>
          <cell r="I261">
            <v>0</v>
          </cell>
          <cell r="J261">
            <v>0</v>
          </cell>
        </row>
        <row r="262">
          <cell r="B262" t="str">
            <v>1.1.04.03.09</v>
          </cell>
          <cell r="C262" t="str">
            <v>Piutang Retribusi Pertambangan Rakyat</v>
          </cell>
          <cell r="F262">
            <v>0</v>
          </cell>
          <cell r="G262">
            <v>0</v>
          </cell>
          <cell r="H262">
            <v>0</v>
          </cell>
          <cell r="I262">
            <v>0</v>
          </cell>
          <cell r="J262">
            <v>0</v>
          </cell>
        </row>
        <row r="264">
          <cell r="B264" t="str">
            <v>1.1.05</v>
          </cell>
          <cell r="C264" t="str">
            <v>Piutang Hasil Pengelolaan Kekayaan Daerah yang Dipisahkan</v>
          </cell>
          <cell r="D264">
            <v>15626600</v>
          </cell>
          <cell r="E264">
            <v>13622365.1</v>
          </cell>
          <cell r="J264">
            <v>13622365.1</v>
          </cell>
        </row>
        <row r="265">
          <cell r="B265" t="str">
            <v>1.1.05.01</v>
          </cell>
          <cell r="C265" t="str">
            <v>Piutang Bagian Laba yang Dibagikan kepada Pemerintah Daerah (Dividen) atas Penyertaan Modal pada BUMN</v>
          </cell>
          <cell r="D265">
            <v>0</v>
          </cell>
          <cell r="E265">
            <v>0</v>
          </cell>
          <cell r="J265">
            <v>0</v>
          </cell>
        </row>
        <row r="266">
          <cell r="B266" t="str">
            <v>1.1.05.01.01</v>
          </cell>
          <cell r="C266" t="str">
            <v>Piutang Bagian Laba yang Dibagikan kepada Pemerintah Daerah (Dividen) atas Penyertaan Modal pada BUMN</v>
          </cell>
          <cell r="F266">
            <v>0</v>
          </cell>
          <cell r="G266">
            <v>0</v>
          </cell>
          <cell r="H266">
            <v>0</v>
          </cell>
          <cell r="I266">
            <v>0</v>
          </cell>
          <cell r="J266">
            <v>0</v>
          </cell>
        </row>
        <row r="267">
          <cell r="B267" t="str">
            <v>1.1.05.02</v>
          </cell>
          <cell r="C267" t="str">
            <v>Piutang Bagian Laba yang Dibagikan kepada Pemerintah Daerah (Dividen) atas Penyertaan Modal pada BUMD</v>
          </cell>
          <cell r="D267">
            <v>15626600</v>
          </cell>
          <cell r="E267">
            <v>13622365.1</v>
          </cell>
          <cell r="J267">
            <v>13622365.1</v>
          </cell>
        </row>
        <row r="268">
          <cell r="B268" t="str">
            <v>1.1.05.02.01</v>
          </cell>
          <cell r="C268" t="str">
            <v>Piutang Bagian Laba yang Dibagikan kepada Pemerintah Daerah (Dividen) atas Penyertaan Modal pada BUMD (Lembaga Keuangan)</v>
          </cell>
          <cell r="F268">
            <v>0</v>
          </cell>
          <cell r="G268">
            <v>0</v>
          </cell>
          <cell r="H268">
            <v>0</v>
          </cell>
          <cell r="I268">
            <v>0</v>
          </cell>
          <cell r="J268">
            <v>0</v>
          </cell>
        </row>
        <row r="269">
          <cell r="B269" t="str">
            <v>1.1.05.02.02</v>
          </cell>
          <cell r="C269" t="str">
            <v>Piutang Bagian Laba yang Dibagikan kepada Pemerintah Daerah (Dividen) atas Penyertaan Modal pada BUMD (Aneka Usaha)</v>
          </cell>
          <cell r="D269">
            <v>15626600</v>
          </cell>
          <cell r="E269">
            <v>13622365.1</v>
          </cell>
          <cell r="F269">
            <v>0</v>
          </cell>
          <cell r="G269">
            <v>0</v>
          </cell>
          <cell r="H269">
            <v>0</v>
          </cell>
          <cell r="I269">
            <v>0</v>
          </cell>
          <cell r="J269">
            <v>13622365.1</v>
          </cell>
        </row>
        <row r="270">
          <cell r="B270" t="str">
            <v>1.1.05.02.03</v>
          </cell>
          <cell r="C270" t="str">
            <v>Piutang Bagian Laba yang Dibagikan kepada Pemerintah Daerah (Dividen) atas Penyertaan Modal pada BUMD (Bidang Air Minum)</v>
          </cell>
          <cell r="F270">
            <v>0</v>
          </cell>
          <cell r="G270">
            <v>0</v>
          </cell>
          <cell r="H270">
            <v>0</v>
          </cell>
          <cell r="I270">
            <v>0</v>
          </cell>
          <cell r="J270">
            <v>0</v>
          </cell>
        </row>
        <row r="271">
          <cell r="B271" t="str">
            <v>1.1.05.02.04</v>
          </cell>
          <cell r="C271" t="str">
            <v>Piutang Bagian Laba yang Dibagikan kepada Pemerintah Daerah (Dividen) atas Penyertaan Modal pada BUMD (Bidang Limbah)</v>
          </cell>
          <cell r="F271">
            <v>0</v>
          </cell>
          <cell r="G271">
            <v>0</v>
          </cell>
          <cell r="H271">
            <v>0</v>
          </cell>
          <cell r="I271">
            <v>0</v>
          </cell>
          <cell r="J271">
            <v>0</v>
          </cell>
        </row>
        <row r="272">
          <cell r="B272" t="str">
            <v>1.1.05.02.05</v>
          </cell>
          <cell r="C272" t="str">
            <v>Piutang Bagian Laba yang Dibagikan kepada Pemerintah Daerah (Dividen) atas Penyertaan Modal pada BUMD (Bidang Sanitasi)</v>
          </cell>
          <cell r="F272">
            <v>0</v>
          </cell>
          <cell r="G272">
            <v>0</v>
          </cell>
          <cell r="H272">
            <v>0</v>
          </cell>
          <cell r="I272">
            <v>0</v>
          </cell>
          <cell r="J272">
            <v>0</v>
          </cell>
        </row>
        <row r="273">
          <cell r="B273" t="str">
            <v>1.1.05.03</v>
          </cell>
          <cell r="C273" t="str">
            <v>Piutang Bagian Laba yang Dibagikan kepada Pemerintah Daerah (Dividen) atas Penyertaan Modal pada Perusahaan Milik Swasta</v>
          </cell>
          <cell r="D273">
            <v>0</v>
          </cell>
          <cell r="E273">
            <v>0</v>
          </cell>
          <cell r="J273">
            <v>0</v>
          </cell>
        </row>
        <row r="274">
          <cell r="B274" t="str">
            <v>1.1.05.03.01</v>
          </cell>
          <cell r="C274" t="str">
            <v>Piutang Bagian Laba yang Dibagikan kepada Pemerintah Daerah (Dividen) atas Penyertaan Modal pada Perusahaan Milik Swasta</v>
          </cell>
          <cell r="F274">
            <v>0</v>
          </cell>
          <cell r="G274">
            <v>0</v>
          </cell>
          <cell r="H274">
            <v>0</v>
          </cell>
          <cell r="I274">
            <v>0</v>
          </cell>
          <cell r="J274">
            <v>0</v>
          </cell>
        </row>
        <row r="276">
          <cell r="B276" t="str">
            <v>1.1.06</v>
          </cell>
          <cell r="C276" t="str">
            <v>Piutang Lain-lain PAD yang Sah</v>
          </cell>
          <cell r="D276">
            <v>8495053937</v>
          </cell>
          <cell r="E276">
            <v>132364105</v>
          </cell>
          <cell r="J276">
            <v>4941468780</v>
          </cell>
        </row>
        <row r="277">
          <cell r="B277" t="str">
            <v>1.1.06.01</v>
          </cell>
          <cell r="C277" t="str">
            <v>Piutang Hasil Penjualan BMD yang Tidak Dipisahkan</v>
          </cell>
          <cell r="D277">
            <v>0</v>
          </cell>
          <cell r="E277">
            <v>0</v>
          </cell>
          <cell r="J277">
            <v>0</v>
          </cell>
        </row>
        <row r="278">
          <cell r="B278" t="str">
            <v>1.1.06.01.01</v>
          </cell>
          <cell r="C278" t="str">
            <v>Piutang Hasil Penjualan Tanah</v>
          </cell>
          <cell r="F278">
            <v>0</v>
          </cell>
          <cell r="G278">
            <v>0</v>
          </cell>
          <cell r="H278">
            <v>0</v>
          </cell>
          <cell r="I278">
            <v>0</v>
          </cell>
          <cell r="J278">
            <v>0</v>
          </cell>
        </row>
        <row r="279">
          <cell r="B279" t="str">
            <v>1.1.06.01.02</v>
          </cell>
          <cell r="C279" t="str">
            <v>Piutang Hasil Penjualan Peralatan dan Mesin</v>
          </cell>
          <cell r="F279">
            <v>0</v>
          </cell>
          <cell r="G279">
            <v>0</v>
          </cell>
          <cell r="H279">
            <v>0</v>
          </cell>
          <cell r="I279">
            <v>0</v>
          </cell>
          <cell r="J279">
            <v>0</v>
          </cell>
        </row>
        <row r="280">
          <cell r="B280" t="str">
            <v>1.1.06.01.03</v>
          </cell>
          <cell r="C280" t="str">
            <v>Piutang Hasil Penjualan Gedung dan Bangunan</v>
          </cell>
          <cell r="F280">
            <v>0</v>
          </cell>
          <cell r="G280">
            <v>0</v>
          </cell>
          <cell r="H280">
            <v>0</v>
          </cell>
          <cell r="I280">
            <v>0</v>
          </cell>
          <cell r="J280">
            <v>0</v>
          </cell>
        </row>
        <row r="281">
          <cell r="B281" t="str">
            <v>1.1.06.01.04</v>
          </cell>
          <cell r="C281" t="str">
            <v>Piutang Hasil Penjualan Jalan, Jaringan, dan Irigasi</v>
          </cell>
          <cell r="F281">
            <v>0</v>
          </cell>
          <cell r="G281">
            <v>0</v>
          </cell>
          <cell r="H281">
            <v>0</v>
          </cell>
          <cell r="I281">
            <v>0</v>
          </cell>
          <cell r="J281">
            <v>0</v>
          </cell>
        </row>
        <row r="282">
          <cell r="B282" t="str">
            <v>1.1.06.01.05</v>
          </cell>
          <cell r="C282" t="str">
            <v>Piutang Hasil Penjualan Aset Tetap Lainnya</v>
          </cell>
          <cell r="F282">
            <v>0</v>
          </cell>
          <cell r="G282">
            <v>0</v>
          </cell>
          <cell r="H282">
            <v>0</v>
          </cell>
          <cell r="I282">
            <v>0</v>
          </cell>
          <cell r="J282">
            <v>0</v>
          </cell>
        </row>
        <row r="283">
          <cell r="B283" t="str">
            <v>1.1.06.01.06</v>
          </cell>
          <cell r="C283" t="str">
            <v>Piutang Hasil Penjualan Aset Lainnya</v>
          </cell>
          <cell r="F283">
            <v>0</v>
          </cell>
          <cell r="G283">
            <v>0</v>
          </cell>
          <cell r="H283">
            <v>0</v>
          </cell>
          <cell r="I283">
            <v>0</v>
          </cell>
          <cell r="J283">
            <v>0</v>
          </cell>
        </row>
        <row r="284">
          <cell r="B284" t="str">
            <v>1.1.06.01.07</v>
          </cell>
          <cell r="C284" t="str">
            <v>Piutang Hasil Penjualan Aset Tidak Berwujud</v>
          </cell>
          <cell r="F284">
            <v>0</v>
          </cell>
          <cell r="G284">
            <v>0</v>
          </cell>
          <cell r="H284">
            <v>0</v>
          </cell>
          <cell r="I284">
            <v>0</v>
          </cell>
          <cell r="J284">
            <v>0</v>
          </cell>
        </row>
        <row r="285">
          <cell r="B285" t="str">
            <v>1.1.06.01.08</v>
          </cell>
          <cell r="C285" t="str">
            <v>Piutang Hasil Penjualan Aset Lain-Lain</v>
          </cell>
          <cell r="F285">
            <v>0</v>
          </cell>
          <cell r="G285">
            <v>0</v>
          </cell>
          <cell r="H285">
            <v>0</v>
          </cell>
          <cell r="I285">
            <v>0</v>
          </cell>
          <cell r="J285">
            <v>0</v>
          </cell>
        </row>
        <row r="286">
          <cell r="B286" t="str">
            <v>1.1.06.02</v>
          </cell>
          <cell r="C286" t="str">
            <v>Piutang Hasil Selisih Lebih Tukar Menukar BMD yang Tidak Dipisahkan</v>
          </cell>
          <cell r="D286">
            <v>0</v>
          </cell>
          <cell r="E286">
            <v>0</v>
          </cell>
          <cell r="J286">
            <v>0</v>
          </cell>
        </row>
        <row r="287">
          <cell r="B287" t="str">
            <v>1.1.06.02.01</v>
          </cell>
          <cell r="C287" t="str">
            <v>Piutang Hasil Selisih Lebih Tukar Menukar Tanah</v>
          </cell>
          <cell r="F287">
            <v>0</v>
          </cell>
          <cell r="G287">
            <v>0</v>
          </cell>
          <cell r="H287">
            <v>0</v>
          </cell>
          <cell r="I287">
            <v>0</v>
          </cell>
          <cell r="J287">
            <v>0</v>
          </cell>
        </row>
        <row r="288">
          <cell r="B288" t="str">
            <v>1.1.06.02.02</v>
          </cell>
          <cell r="C288" t="str">
            <v>Piutang Hasil Selisih Lebih Tukar Menukar Peralatan dan Mesin</v>
          </cell>
          <cell r="F288">
            <v>0</v>
          </cell>
          <cell r="G288">
            <v>0</v>
          </cell>
          <cell r="H288">
            <v>0</v>
          </cell>
          <cell r="I288">
            <v>0</v>
          </cell>
          <cell r="J288">
            <v>0</v>
          </cell>
        </row>
        <row r="289">
          <cell r="B289" t="str">
            <v>1.1.06.02.03</v>
          </cell>
          <cell r="C289" t="str">
            <v>Piutang Hasil Selisih Lebih Tukar Menukar Gedung dan Bangunan</v>
          </cell>
          <cell r="F289">
            <v>0</v>
          </cell>
          <cell r="G289">
            <v>0</v>
          </cell>
          <cell r="H289">
            <v>0</v>
          </cell>
          <cell r="I289">
            <v>0</v>
          </cell>
          <cell r="J289">
            <v>0</v>
          </cell>
        </row>
        <row r="290">
          <cell r="B290" t="str">
            <v>1.1.06.02.04</v>
          </cell>
          <cell r="C290" t="str">
            <v>Piutang Hasil Selisih Lebih Tukar Menukar Jalan, Jaringan, dan Irigasi</v>
          </cell>
          <cell r="F290">
            <v>0</v>
          </cell>
          <cell r="G290">
            <v>0</v>
          </cell>
          <cell r="H290">
            <v>0</v>
          </cell>
          <cell r="I290">
            <v>0</v>
          </cell>
          <cell r="J290">
            <v>0</v>
          </cell>
        </row>
        <row r="291">
          <cell r="B291" t="str">
            <v>1.1.06.02.05</v>
          </cell>
          <cell r="C291" t="str">
            <v>Piutang Hasil Selisih Lebih Tukar Menukar Aset Tetap Lainnya</v>
          </cell>
          <cell r="F291">
            <v>0</v>
          </cell>
          <cell r="G291">
            <v>0</v>
          </cell>
          <cell r="H291">
            <v>0</v>
          </cell>
          <cell r="I291">
            <v>0</v>
          </cell>
          <cell r="J291">
            <v>0</v>
          </cell>
        </row>
        <row r="292">
          <cell r="B292" t="str">
            <v>1.1.06.02.06</v>
          </cell>
          <cell r="C292" t="str">
            <v>Piutang Hasil Selisih Lebih Tukar Menukar Aset Lainnya</v>
          </cell>
          <cell r="F292">
            <v>0</v>
          </cell>
          <cell r="G292">
            <v>0</v>
          </cell>
          <cell r="H292">
            <v>0</v>
          </cell>
          <cell r="I292">
            <v>0</v>
          </cell>
          <cell r="J292">
            <v>0</v>
          </cell>
        </row>
        <row r="293">
          <cell r="B293" t="str">
            <v>1.1.06.02.07</v>
          </cell>
          <cell r="C293" t="str">
            <v>Piutang Hasil Selisih Lebih Tukar Menukar Aset Tidak Berwujud</v>
          </cell>
          <cell r="F293">
            <v>0</v>
          </cell>
          <cell r="G293">
            <v>0</v>
          </cell>
          <cell r="H293">
            <v>0</v>
          </cell>
          <cell r="I293">
            <v>0</v>
          </cell>
          <cell r="J293">
            <v>0</v>
          </cell>
        </row>
        <row r="294">
          <cell r="B294" t="str">
            <v>1.1.06.02.08</v>
          </cell>
          <cell r="C294" t="str">
            <v>Piutang Hasil Selisih Lebih Tukar Menukar Aset Lain-Lain</v>
          </cell>
          <cell r="F294">
            <v>0</v>
          </cell>
          <cell r="G294">
            <v>0</v>
          </cell>
          <cell r="H294">
            <v>0</v>
          </cell>
          <cell r="I294">
            <v>0</v>
          </cell>
          <cell r="J294">
            <v>0</v>
          </cell>
        </row>
        <row r="295">
          <cell r="B295" t="str">
            <v>1.1.06.03</v>
          </cell>
          <cell r="C295" t="str">
            <v>Piutang Hasil Pemanfaatan BMD yang Tidak Dipisahkan</v>
          </cell>
          <cell r="D295">
            <v>4151854000</v>
          </cell>
          <cell r="E295">
            <v>0</v>
          </cell>
          <cell r="J295">
            <v>0</v>
          </cell>
        </row>
        <row r="296">
          <cell r="B296" t="str">
            <v>1.1.06.03.01</v>
          </cell>
          <cell r="C296" t="str">
            <v>Piutang Hasil Sewa BMD</v>
          </cell>
          <cell r="F296">
            <v>0</v>
          </cell>
          <cell r="G296">
            <v>0</v>
          </cell>
          <cell r="H296">
            <v>0</v>
          </cell>
          <cell r="I296">
            <v>0</v>
          </cell>
          <cell r="J296">
            <v>0</v>
          </cell>
        </row>
        <row r="297">
          <cell r="B297" t="str">
            <v>1.1.06.03.02</v>
          </cell>
          <cell r="C297" t="str">
            <v>Piutang Hasil Kerja Sama Pemanfaatan BMD</v>
          </cell>
          <cell r="D297">
            <v>4151854000</v>
          </cell>
          <cell r="F297">
            <v>0</v>
          </cell>
          <cell r="G297">
            <v>0</v>
          </cell>
          <cell r="H297">
            <v>0</v>
          </cell>
          <cell r="I297">
            <v>0</v>
          </cell>
          <cell r="J297">
            <v>0</v>
          </cell>
        </row>
        <row r="298">
          <cell r="B298" t="str">
            <v>1.1.06.03.03</v>
          </cell>
          <cell r="C298" t="str">
            <v>Piutang Hasil dari Bangun Guna Serah</v>
          </cell>
          <cell r="F298">
            <v>0</v>
          </cell>
          <cell r="G298">
            <v>0</v>
          </cell>
          <cell r="H298">
            <v>0</v>
          </cell>
          <cell r="I298">
            <v>0</v>
          </cell>
          <cell r="J298">
            <v>0</v>
          </cell>
        </row>
        <row r="299">
          <cell r="B299" t="str">
            <v>1.1.06.03.04</v>
          </cell>
          <cell r="C299" t="str">
            <v>Piutang Hasil dari Bangun Serah Guna</v>
          </cell>
          <cell r="F299">
            <v>0</v>
          </cell>
          <cell r="G299">
            <v>0</v>
          </cell>
          <cell r="H299">
            <v>0</v>
          </cell>
          <cell r="I299">
            <v>0</v>
          </cell>
          <cell r="J299">
            <v>0</v>
          </cell>
        </row>
        <row r="300">
          <cell r="B300" t="str">
            <v>1.1.06.03.05</v>
          </cell>
          <cell r="C300" t="str">
            <v>Piutang Hasil dari Kerja Sama Penyediaan Infrastruktur</v>
          </cell>
          <cell r="F300">
            <v>0</v>
          </cell>
          <cell r="G300">
            <v>0</v>
          </cell>
          <cell r="H300">
            <v>0</v>
          </cell>
          <cell r="I300">
            <v>0</v>
          </cell>
          <cell r="J300">
            <v>0</v>
          </cell>
        </row>
        <row r="301">
          <cell r="B301" t="str">
            <v>1.1.06.04</v>
          </cell>
          <cell r="C301" t="str">
            <v>Piutang Hasil Kerja Sama Daerah</v>
          </cell>
          <cell r="D301">
            <v>0</v>
          </cell>
          <cell r="E301">
            <v>0</v>
          </cell>
          <cell r="J301">
            <v>0</v>
          </cell>
        </row>
        <row r="302">
          <cell r="B302" t="str">
            <v>1.1.06.04.01</v>
          </cell>
          <cell r="C302" t="str">
            <v>Piutang Hasil Kerja Sama Daerah</v>
          </cell>
          <cell r="F302">
            <v>0</v>
          </cell>
          <cell r="G302">
            <v>0</v>
          </cell>
          <cell r="H302">
            <v>0</v>
          </cell>
          <cell r="I302">
            <v>0</v>
          </cell>
          <cell r="J302">
            <v>0</v>
          </cell>
        </row>
        <row r="303">
          <cell r="B303" t="str">
            <v>1.1.06.05</v>
          </cell>
          <cell r="C303" t="str">
            <v>Piutang Pendapatan Jasa Giro</v>
          </cell>
          <cell r="D303">
            <v>0</v>
          </cell>
          <cell r="E303">
            <v>0</v>
          </cell>
          <cell r="J303">
            <v>0</v>
          </cell>
        </row>
        <row r="304">
          <cell r="B304" t="str">
            <v>1.1.06.05.01</v>
          </cell>
          <cell r="C304" t="str">
            <v>Piutang Jasa Giro pada Kas Daerah</v>
          </cell>
          <cell r="F304">
            <v>0</v>
          </cell>
          <cell r="G304">
            <v>0</v>
          </cell>
          <cell r="H304">
            <v>0</v>
          </cell>
          <cell r="I304">
            <v>0</v>
          </cell>
          <cell r="J304">
            <v>0</v>
          </cell>
        </row>
        <row r="305">
          <cell r="B305" t="str">
            <v>1.1.06.05.02</v>
          </cell>
          <cell r="C305" t="str">
            <v>Piutang Jasa Giro pada Kas di Bendahara</v>
          </cell>
          <cell r="F305">
            <v>0</v>
          </cell>
          <cell r="G305">
            <v>0</v>
          </cell>
          <cell r="H305">
            <v>0</v>
          </cell>
          <cell r="I305">
            <v>0</v>
          </cell>
          <cell r="J305">
            <v>0</v>
          </cell>
        </row>
        <row r="306">
          <cell r="B306" t="str">
            <v>1.1.06.05.03</v>
          </cell>
          <cell r="C306" t="str">
            <v>Piutang Jasa Giro pada Rekening Dana Cadangan</v>
          </cell>
          <cell r="F306">
            <v>0</v>
          </cell>
          <cell r="G306">
            <v>0</v>
          </cell>
          <cell r="H306">
            <v>0</v>
          </cell>
          <cell r="I306">
            <v>0</v>
          </cell>
          <cell r="J306">
            <v>0</v>
          </cell>
        </row>
        <row r="307">
          <cell r="B307" t="str">
            <v>1.1.06.05.04</v>
          </cell>
          <cell r="C307" t="str">
            <v>Piutang Jasa Giro pada Rekening Dana BOS</v>
          </cell>
          <cell r="F307">
            <v>0</v>
          </cell>
          <cell r="G307">
            <v>0</v>
          </cell>
          <cell r="H307">
            <v>0</v>
          </cell>
          <cell r="I307">
            <v>0</v>
          </cell>
          <cell r="J307">
            <v>0</v>
          </cell>
        </row>
        <row r="308">
          <cell r="B308" t="str">
            <v>1.1.06.05.05</v>
          </cell>
          <cell r="C308" t="str">
            <v>Piutang Jasa Giro Dana Kapitasi pada FKTP</v>
          </cell>
          <cell r="F308">
            <v>0</v>
          </cell>
          <cell r="G308">
            <v>0</v>
          </cell>
          <cell r="H308">
            <v>0</v>
          </cell>
          <cell r="I308">
            <v>0</v>
          </cell>
          <cell r="J308">
            <v>0</v>
          </cell>
        </row>
        <row r="309">
          <cell r="B309" t="str">
            <v>1.1.06.05.06</v>
          </cell>
          <cell r="C309" t="str">
            <v>Piutang Pendapatan Jasa Giro pada Rekening Dana BOSP</v>
          </cell>
          <cell r="F309">
            <v>0</v>
          </cell>
          <cell r="G309">
            <v>0</v>
          </cell>
          <cell r="H309">
            <v>0</v>
          </cell>
          <cell r="I309">
            <v>0</v>
          </cell>
          <cell r="J309">
            <v>0</v>
          </cell>
        </row>
        <row r="310">
          <cell r="B310" t="str">
            <v>1.1.06.05.07</v>
          </cell>
          <cell r="C310" t="str">
            <v>Piutang Pendapatan Jasa Giro pada Rekening Dana BOK Puskesmas</v>
          </cell>
          <cell r="F310">
            <v>0</v>
          </cell>
          <cell r="G310">
            <v>0</v>
          </cell>
          <cell r="H310">
            <v>0</v>
          </cell>
          <cell r="I310">
            <v>0</v>
          </cell>
          <cell r="J310">
            <v>0</v>
          </cell>
        </row>
        <row r="311">
          <cell r="B311" t="str">
            <v>1.1.06.05.08</v>
          </cell>
          <cell r="C311" t="str">
            <v>Piutang Jasa Giro pada Rekening Kas Otonomi Khusus</v>
          </cell>
          <cell r="F311">
            <v>0</v>
          </cell>
          <cell r="G311">
            <v>0</v>
          </cell>
          <cell r="H311">
            <v>0</v>
          </cell>
          <cell r="I311">
            <v>0</v>
          </cell>
          <cell r="J311">
            <v>0</v>
          </cell>
        </row>
        <row r="312">
          <cell r="B312" t="str">
            <v>1.1.06.05.09</v>
          </cell>
          <cell r="C312" t="str">
            <v>Piutang Jasa Giro pada Rekening Kas Dana Abadi Daerah</v>
          </cell>
          <cell r="F312">
            <v>0</v>
          </cell>
          <cell r="G312">
            <v>0</v>
          </cell>
          <cell r="H312">
            <v>0</v>
          </cell>
          <cell r="I312">
            <v>0</v>
          </cell>
          <cell r="J312">
            <v>0</v>
          </cell>
        </row>
        <row r="313">
          <cell r="B313" t="str">
            <v>1.1.06.06</v>
          </cell>
          <cell r="C313" t="str">
            <v>Piutang Hasil Pengelolaan Dana Bergulir</v>
          </cell>
          <cell r="D313">
            <v>0</v>
          </cell>
          <cell r="E313">
            <v>0</v>
          </cell>
          <cell r="J313">
            <v>0</v>
          </cell>
        </row>
        <row r="314">
          <cell r="B314" t="str">
            <v>1.1.06.06.01</v>
          </cell>
          <cell r="C314" t="str">
            <v>Piutang Hasil Pengelolaan Dana Bergulir</v>
          </cell>
          <cell r="F314">
            <v>0</v>
          </cell>
          <cell r="G314">
            <v>0</v>
          </cell>
          <cell r="H314">
            <v>0</v>
          </cell>
          <cell r="I314">
            <v>0</v>
          </cell>
          <cell r="J314">
            <v>0</v>
          </cell>
        </row>
        <row r="315">
          <cell r="B315" t="str">
            <v>1.1.06.07</v>
          </cell>
          <cell r="C315" t="str">
            <v>Piutang Pendapatan Bunga</v>
          </cell>
          <cell r="D315">
            <v>0</v>
          </cell>
          <cell r="E315">
            <v>0</v>
          </cell>
          <cell r="J315">
            <v>0</v>
          </cell>
        </row>
        <row r="316">
          <cell r="B316" t="str">
            <v>1.1.06.07.01</v>
          </cell>
          <cell r="C316" t="str">
            <v>Piutang Pendapatan Bunga atas Penempatan Uang Pemerintah Daerah</v>
          </cell>
          <cell r="F316">
            <v>0</v>
          </cell>
          <cell r="G316">
            <v>0</v>
          </cell>
          <cell r="H316">
            <v>0</v>
          </cell>
          <cell r="I316">
            <v>0</v>
          </cell>
          <cell r="J316">
            <v>0</v>
          </cell>
        </row>
        <row r="317">
          <cell r="B317" t="str">
            <v>1.1.06.08</v>
          </cell>
          <cell r="C317" t="str">
            <v>Piutang Penerimaan atas Tuntutan Ganti Kerugian Keuangan Daerah</v>
          </cell>
          <cell r="D317">
            <v>0</v>
          </cell>
          <cell r="E317">
            <v>0</v>
          </cell>
          <cell r="J317">
            <v>0</v>
          </cell>
        </row>
        <row r="318">
          <cell r="B318" t="str">
            <v>1.1.06.08.01</v>
          </cell>
          <cell r="C318" t="str">
            <v>Piutang Tuntutan Ganti Kerugian Daerah Terhadap Bendahara</v>
          </cell>
          <cell r="F318">
            <v>0</v>
          </cell>
          <cell r="G318">
            <v>0</v>
          </cell>
          <cell r="H318">
            <v>0</v>
          </cell>
          <cell r="I318">
            <v>0</v>
          </cell>
          <cell r="J318">
            <v>0</v>
          </cell>
        </row>
        <row r="319">
          <cell r="B319" t="str">
            <v>1.1.06.08.02</v>
          </cell>
          <cell r="C319" t="str">
            <v>Piutang Tuntutan Ganti Kerugian Daerah Terhadap Pegawai Negeri Bukan Bendahara atau Pejabat Lain</v>
          </cell>
          <cell r="F319">
            <v>0</v>
          </cell>
          <cell r="G319">
            <v>0</v>
          </cell>
          <cell r="H319">
            <v>0</v>
          </cell>
          <cell r="I319">
            <v>0</v>
          </cell>
          <cell r="J319">
            <v>0</v>
          </cell>
        </row>
        <row r="320">
          <cell r="B320" t="str">
            <v>1.1.06.09</v>
          </cell>
          <cell r="C320" t="str">
            <v>Piutang Penerimaan Komisi, Potongan, atau Bentuk Lain</v>
          </cell>
          <cell r="D320">
            <v>0</v>
          </cell>
          <cell r="E320">
            <v>0</v>
          </cell>
          <cell r="J320">
            <v>0</v>
          </cell>
        </row>
        <row r="321">
          <cell r="B321" t="str">
            <v>1.1.06.09.01</v>
          </cell>
          <cell r="C321" t="str">
            <v>Piutang Penerimaan Komisi, Potongan, atau Bentuk Lain</v>
          </cell>
          <cell r="F321">
            <v>0</v>
          </cell>
          <cell r="G321">
            <v>0</v>
          </cell>
          <cell r="H321">
            <v>0</v>
          </cell>
          <cell r="I321">
            <v>0</v>
          </cell>
          <cell r="J321">
            <v>0</v>
          </cell>
        </row>
        <row r="322">
          <cell r="B322" t="str">
            <v>1.1.06.10</v>
          </cell>
          <cell r="C322" t="str">
            <v>Piutang Penerimaan Keuntungan dari Selisih Nilai Tukar Rupiah Terhadap Mata Uang Asing</v>
          </cell>
          <cell r="D322">
            <v>0</v>
          </cell>
          <cell r="E322">
            <v>0</v>
          </cell>
          <cell r="J322">
            <v>0</v>
          </cell>
        </row>
        <row r="323">
          <cell r="B323" t="str">
            <v>1.1.06.10.01</v>
          </cell>
          <cell r="C323" t="str">
            <v>Piutang Penerimaan Keuntungan dari Selisih Nilai Tukar Rupiah terhadap Mata Uang Asing</v>
          </cell>
          <cell r="F323">
            <v>0</v>
          </cell>
          <cell r="G323">
            <v>0</v>
          </cell>
          <cell r="H323">
            <v>0</v>
          </cell>
          <cell r="I323">
            <v>0</v>
          </cell>
          <cell r="J323">
            <v>0</v>
          </cell>
        </row>
        <row r="324">
          <cell r="B324" t="str">
            <v>1.1.06.11</v>
          </cell>
          <cell r="C324" t="str">
            <v>Piutang Pendapatan Denda atas Keterlambatan Pelaksanaan Pekerjaan</v>
          </cell>
          <cell r="D324">
            <v>0</v>
          </cell>
          <cell r="E324">
            <v>0</v>
          </cell>
          <cell r="J324">
            <v>0</v>
          </cell>
        </row>
        <row r="325">
          <cell r="B325" t="str">
            <v>1.1.06.11.01</v>
          </cell>
          <cell r="C325" t="str">
            <v>Piutang Pendapatan Denda atas Keterlambatan Pelaksanaan Pekerjaan</v>
          </cell>
          <cell r="F325">
            <v>0</v>
          </cell>
          <cell r="G325">
            <v>0</v>
          </cell>
          <cell r="H325">
            <v>0</v>
          </cell>
          <cell r="I325">
            <v>0</v>
          </cell>
          <cell r="J325">
            <v>0</v>
          </cell>
        </row>
        <row r="326">
          <cell r="B326" t="str">
            <v>1.1.06.12</v>
          </cell>
          <cell r="C326" t="str">
            <v>Piutang Pendapatan Denda Pajak Daerah</v>
          </cell>
          <cell r="D326">
            <v>0</v>
          </cell>
          <cell r="E326">
            <v>0</v>
          </cell>
          <cell r="J326">
            <v>0</v>
          </cell>
        </row>
        <row r="327">
          <cell r="B327" t="str">
            <v>1.1.06.12.01</v>
          </cell>
          <cell r="C327" t="str">
            <v>Piutang Pendapatan Denda Pajak Kendaraan Bermotor (PKB)</v>
          </cell>
          <cell r="F327">
            <v>0</v>
          </cell>
          <cell r="G327">
            <v>0</v>
          </cell>
          <cell r="H327">
            <v>0</v>
          </cell>
          <cell r="I327">
            <v>0</v>
          </cell>
          <cell r="J327">
            <v>0</v>
          </cell>
        </row>
        <row r="328">
          <cell r="B328" t="str">
            <v>1.1.06.12.02</v>
          </cell>
          <cell r="C328" t="str">
            <v>Piutang Pendapatan Denda Bea Balik Nama Kendaraan Bermotor (BBNKB)</v>
          </cell>
          <cell r="F328">
            <v>0</v>
          </cell>
          <cell r="G328">
            <v>0</v>
          </cell>
          <cell r="H328">
            <v>0</v>
          </cell>
          <cell r="I328">
            <v>0</v>
          </cell>
          <cell r="J328">
            <v>0</v>
          </cell>
        </row>
        <row r="329">
          <cell r="B329" t="str">
            <v>1.1.06.12.03</v>
          </cell>
          <cell r="C329" t="str">
            <v>Piutang Pendapatan Denda Pajak Bahan Bakar Kendaraan Bermotor (PBBKB)</v>
          </cell>
          <cell r="F329">
            <v>0</v>
          </cell>
          <cell r="G329">
            <v>0</v>
          </cell>
          <cell r="H329">
            <v>0</v>
          </cell>
          <cell r="I329">
            <v>0</v>
          </cell>
          <cell r="J329">
            <v>0</v>
          </cell>
        </row>
        <row r="330">
          <cell r="B330" t="str">
            <v>1.1.06.12.04</v>
          </cell>
          <cell r="C330" t="str">
            <v>Piutang Pendapatan Denda Pajak Air Permukaan</v>
          </cell>
          <cell r="F330">
            <v>0</v>
          </cell>
          <cell r="G330">
            <v>0</v>
          </cell>
          <cell r="H330">
            <v>0</v>
          </cell>
          <cell r="I330">
            <v>0</v>
          </cell>
          <cell r="J330">
            <v>0</v>
          </cell>
        </row>
        <row r="331">
          <cell r="B331" t="str">
            <v>1.1.06.12.05</v>
          </cell>
          <cell r="C331" t="str">
            <v>Piutang Pendapatan Denda Pajak Rokok</v>
          </cell>
          <cell r="F331">
            <v>0</v>
          </cell>
          <cell r="G331">
            <v>0</v>
          </cell>
          <cell r="H331">
            <v>0</v>
          </cell>
          <cell r="I331">
            <v>0</v>
          </cell>
          <cell r="J331">
            <v>0</v>
          </cell>
        </row>
        <row r="332">
          <cell r="B332" t="str">
            <v>1.1.06.12.06</v>
          </cell>
          <cell r="C332" t="str">
            <v>Piutang Pendapatan Denda Pajak Hotel</v>
          </cell>
          <cell r="F332">
            <v>0</v>
          </cell>
          <cell r="G332">
            <v>0</v>
          </cell>
          <cell r="H332">
            <v>0</v>
          </cell>
          <cell r="I332">
            <v>0</v>
          </cell>
          <cell r="J332">
            <v>0</v>
          </cell>
        </row>
        <row r="333">
          <cell r="B333" t="str">
            <v>1.1.06.12.07</v>
          </cell>
          <cell r="C333" t="str">
            <v>Piutang Pendapatan Denda Pajak Restoran</v>
          </cell>
          <cell r="F333">
            <v>0</v>
          </cell>
          <cell r="G333">
            <v>0</v>
          </cell>
          <cell r="H333">
            <v>0</v>
          </cell>
          <cell r="I333">
            <v>0</v>
          </cell>
          <cell r="J333">
            <v>0</v>
          </cell>
        </row>
        <row r="334">
          <cell r="B334" t="str">
            <v>1.1.06.12.08</v>
          </cell>
          <cell r="C334" t="str">
            <v>Piutang Pendapatan Denda Pajak Hiburan</v>
          </cell>
          <cell r="F334">
            <v>0</v>
          </cell>
          <cell r="G334">
            <v>0</v>
          </cell>
          <cell r="H334">
            <v>0</v>
          </cell>
          <cell r="I334">
            <v>0</v>
          </cell>
          <cell r="J334">
            <v>0</v>
          </cell>
        </row>
        <row r="335">
          <cell r="B335" t="str">
            <v>1.1.06.12.09</v>
          </cell>
          <cell r="C335" t="str">
            <v>Piutang Pendapatan Denda Pajak Reklame</v>
          </cell>
          <cell r="F335">
            <v>0</v>
          </cell>
          <cell r="G335">
            <v>0</v>
          </cell>
          <cell r="H335">
            <v>0</v>
          </cell>
          <cell r="I335">
            <v>0</v>
          </cell>
          <cell r="J335">
            <v>0</v>
          </cell>
        </row>
        <row r="336">
          <cell r="B336" t="str">
            <v>1.1.06.12.10</v>
          </cell>
          <cell r="C336" t="str">
            <v>Piutang Pendapatan Denda Pajak Penerangan Jalan</v>
          </cell>
          <cell r="F336">
            <v>0</v>
          </cell>
          <cell r="G336">
            <v>0</v>
          </cell>
          <cell r="H336">
            <v>0</v>
          </cell>
          <cell r="I336">
            <v>0</v>
          </cell>
          <cell r="J336">
            <v>0</v>
          </cell>
        </row>
        <row r="337">
          <cell r="B337" t="str">
            <v>1.1.06.12.11</v>
          </cell>
          <cell r="C337" t="str">
            <v>Piutang Pendapatan Denda Pajak Parkir</v>
          </cell>
          <cell r="F337">
            <v>0</v>
          </cell>
          <cell r="G337">
            <v>0</v>
          </cell>
          <cell r="H337">
            <v>0</v>
          </cell>
          <cell r="I337">
            <v>0</v>
          </cell>
          <cell r="J337">
            <v>0</v>
          </cell>
        </row>
        <row r="338">
          <cell r="B338" t="str">
            <v>1.1.06.12.12</v>
          </cell>
          <cell r="C338" t="str">
            <v>Piutang Pendapatan Denda Pajak Air Tanah</v>
          </cell>
          <cell r="F338">
            <v>0</v>
          </cell>
          <cell r="G338">
            <v>0</v>
          </cell>
          <cell r="H338">
            <v>0</v>
          </cell>
          <cell r="I338">
            <v>0</v>
          </cell>
          <cell r="J338">
            <v>0</v>
          </cell>
        </row>
        <row r="339">
          <cell r="B339" t="str">
            <v>1.1.06.12.13</v>
          </cell>
          <cell r="C339" t="str">
            <v>Piutang Pendapatan Denda Pajak sarang Burung Walet</v>
          </cell>
          <cell r="F339">
            <v>0</v>
          </cell>
          <cell r="G339">
            <v>0</v>
          </cell>
          <cell r="H339">
            <v>0</v>
          </cell>
          <cell r="I339">
            <v>0</v>
          </cell>
          <cell r="J339">
            <v>0</v>
          </cell>
        </row>
        <row r="340">
          <cell r="B340" t="str">
            <v>1.1.06.12.14</v>
          </cell>
          <cell r="C340" t="str">
            <v>Piutang Pendapatan Denda Pajak Mineral Bukan Logam dan Batuan</v>
          </cell>
          <cell r="F340">
            <v>0</v>
          </cell>
          <cell r="G340">
            <v>0</v>
          </cell>
          <cell r="H340">
            <v>0</v>
          </cell>
          <cell r="I340">
            <v>0</v>
          </cell>
          <cell r="J340">
            <v>0</v>
          </cell>
        </row>
        <row r="341">
          <cell r="B341" t="str">
            <v>1.1.06.12.15</v>
          </cell>
          <cell r="C341" t="str">
            <v>Piutang Pendapatan Denda Pajak Bumi dan Bangunan Perdesaan dan Perkotaan (PBBP2)</v>
          </cell>
          <cell r="F341">
            <v>0</v>
          </cell>
          <cell r="G341">
            <v>0</v>
          </cell>
          <cell r="H341">
            <v>0</v>
          </cell>
          <cell r="I341">
            <v>0</v>
          </cell>
          <cell r="J341">
            <v>0</v>
          </cell>
        </row>
        <row r="342">
          <cell r="B342" t="str">
            <v>1.1.06.12.16</v>
          </cell>
          <cell r="C342" t="str">
            <v>Piutang Pendapatan Denda Bea Perolehan Hak atas Tanah dan Bangunan (BPHTB)</v>
          </cell>
          <cell r="F342">
            <v>0</v>
          </cell>
          <cell r="G342">
            <v>0</v>
          </cell>
          <cell r="H342">
            <v>0</v>
          </cell>
          <cell r="I342">
            <v>0</v>
          </cell>
          <cell r="J342">
            <v>0</v>
          </cell>
        </row>
        <row r="343">
          <cell r="B343" t="str">
            <v>1.1.06.12.17</v>
          </cell>
          <cell r="C343" t="str">
            <v>Piutang Pendapatan Denda Pajak Alat Berat</v>
          </cell>
          <cell r="F343">
            <v>0</v>
          </cell>
          <cell r="G343">
            <v>0</v>
          </cell>
          <cell r="H343">
            <v>0</v>
          </cell>
          <cell r="I343">
            <v>0</v>
          </cell>
          <cell r="J343">
            <v>0</v>
          </cell>
        </row>
        <row r="344">
          <cell r="B344" t="str">
            <v>1.1.06.12.18</v>
          </cell>
          <cell r="C344" t="str">
            <v>Piutang Pendapatan Denda Opsen Pajak Mineral Bukan Logam dan Batuan (MBLB)</v>
          </cell>
          <cell r="F344">
            <v>0</v>
          </cell>
          <cell r="G344">
            <v>0</v>
          </cell>
          <cell r="H344">
            <v>0</v>
          </cell>
          <cell r="I344">
            <v>0</v>
          </cell>
          <cell r="J344">
            <v>0</v>
          </cell>
        </row>
        <row r="345">
          <cell r="B345" t="str">
            <v>1.1.06.12.19</v>
          </cell>
          <cell r="C345" t="str">
            <v>Piutang Pendapatan Denda Pajak Barang dan Jasa Tertentu (PBJT)</v>
          </cell>
          <cell r="F345">
            <v>0</v>
          </cell>
          <cell r="G345">
            <v>0</v>
          </cell>
          <cell r="H345">
            <v>0</v>
          </cell>
          <cell r="I345">
            <v>0</v>
          </cell>
          <cell r="J345">
            <v>0</v>
          </cell>
        </row>
        <row r="346">
          <cell r="B346" t="str">
            <v>1.1.06.12.20</v>
          </cell>
          <cell r="C346" t="str">
            <v>Piutang Pendapatan Denda Opsen Pajak Kendaraan Bermotor (PKB)</v>
          </cell>
          <cell r="F346">
            <v>0</v>
          </cell>
          <cell r="G346">
            <v>0</v>
          </cell>
          <cell r="H346">
            <v>0</v>
          </cell>
          <cell r="I346">
            <v>0</v>
          </cell>
          <cell r="J346">
            <v>0</v>
          </cell>
        </row>
        <row r="347">
          <cell r="B347" t="str">
            <v>1.1.06.12.21</v>
          </cell>
          <cell r="C347" t="str">
            <v>Piutang Pendapatan Denda Opsen Bea Balik Nama Kendaraan Bermotor (BBNKB)</v>
          </cell>
          <cell r="F347">
            <v>0</v>
          </cell>
          <cell r="G347">
            <v>0</v>
          </cell>
          <cell r="H347">
            <v>0</v>
          </cell>
          <cell r="I347">
            <v>0</v>
          </cell>
          <cell r="J347">
            <v>0</v>
          </cell>
        </row>
        <row r="348">
          <cell r="B348" t="str">
            <v>1.1.06.13</v>
          </cell>
          <cell r="C348" t="str">
            <v>Piutang Pendapatan Denda Retribusi Daerah</v>
          </cell>
          <cell r="D348">
            <v>0</v>
          </cell>
          <cell r="E348">
            <v>0</v>
          </cell>
          <cell r="J348">
            <v>0</v>
          </cell>
        </row>
        <row r="349">
          <cell r="B349" t="str">
            <v>1.1.06.13.01</v>
          </cell>
          <cell r="C349" t="str">
            <v>Piutang Pendapatan Denda Retribusi Jasa Umum</v>
          </cell>
          <cell r="F349">
            <v>0</v>
          </cell>
          <cell r="G349">
            <v>0</v>
          </cell>
          <cell r="H349">
            <v>0</v>
          </cell>
          <cell r="I349">
            <v>0</v>
          </cell>
          <cell r="J349">
            <v>0</v>
          </cell>
        </row>
        <row r="350">
          <cell r="B350" t="str">
            <v>1.1.06.13.02</v>
          </cell>
          <cell r="C350" t="str">
            <v>Piutang Pendapatan Denda Retribusi Jasa Usaha</v>
          </cell>
          <cell r="F350">
            <v>0</v>
          </cell>
          <cell r="G350">
            <v>0</v>
          </cell>
          <cell r="H350">
            <v>0</v>
          </cell>
          <cell r="I350">
            <v>0</v>
          </cell>
          <cell r="J350">
            <v>0</v>
          </cell>
        </row>
        <row r="351">
          <cell r="B351" t="str">
            <v>1.1.06.13.03</v>
          </cell>
          <cell r="C351" t="str">
            <v>Piutang Pendapatan Denda Retribusi Perizininan Tertentu</v>
          </cell>
          <cell r="F351">
            <v>0</v>
          </cell>
          <cell r="G351">
            <v>0</v>
          </cell>
          <cell r="H351">
            <v>0</v>
          </cell>
          <cell r="I351">
            <v>0</v>
          </cell>
          <cell r="J351">
            <v>0</v>
          </cell>
        </row>
        <row r="352">
          <cell r="B352" t="str">
            <v>1.1.06.14</v>
          </cell>
          <cell r="C352" t="str">
            <v>Piutang Pendapatan Hasil Eksekusi atas Jaminan</v>
          </cell>
          <cell r="D352">
            <v>0</v>
          </cell>
          <cell r="E352">
            <v>0</v>
          </cell>
          <cell r="J352">
            <v>0</v>
          </cell>
        </row>
        <row r="353">
          <cell r="B353" t="str">
            <v>1.1.06.14.01</v>
          </cell>
          <cell r="C353" t="str">
            <v>Piutang Hasil Eksekusi atas Jaminan atas Pengadaan Barang/Jasa</v>
          </cell>
          <cell r="F353">
            <v>0</v>
          </cell>
          <cell r="G353">
            <v>0</v>
          </cell>
          <cell r="H353">
            <v>0</v>
          </cell>
          <cell r="I353">
            <v>0</v>
          </cell>
          <cell r="J353">
            <v>0</v>
          </cell>
        </row>
        <row r="354">
          <cell r="B354" t="str">
            <v>1.1.06.15</v>
          </cell>
          <cell r="C354" t="str">
            <v>Piutang Pendapatan dari Pengembalian</v>
          </cell>
          <cell r="D354">
            <v>132364105</v>
          </cell>
          <cell r="E354">
            <v>132364105</v>
          </cell>
          <cell r="J354">
            <v>132364105</v>
          </cell>
        </row>
        <row r="355">
          <cell r="B355" t="str">
            <v>1.1.06.15.01</v>
          </cell>
          <cell r="C355" t="str">
            <v>Piutang Pendapatan Dari Pengembalian Kelebihan Pembayaran Pajak Penghasilan Pasal 21</v>
          </cell>
          <cell r="F355">
            <v>0</v>
          </cell>
          <cell r="G355">
            <v>0</v>
          </cell>
          <cell r="H355">
            <v>0</v>
          </cell>
          <cell r="I355">
            <v>0</v>
          </cell>
          <cell r="J355">
            <v>0</v>
          </cell>
        </row>
        <row r="356">
          <cell r="B356" t="str">
            <v>1.1.06.15.02</v>
          </cell>
          <cell r="C356" t="str">
            <v>Piutang Pendapatan dari Pengembalian Kelebihan Pembayaran Iuran Simpanan Peserta Tabungan Perumahan Rakyat ASN</v>
          </cell>
          <cell r="F356">
            <v>0</v>
          </cell>
          <cell r="G356">
            <v>0</v>
          </cell>
          <cell r="H356">
            <v>0</v>
          </cell>
          <cell r="I356">
            <v>0</v>
          </cell>
          <cell r="J356">
            <v>0</v>
          </cell>
        </row>
        <row r="357">
          <cell r="B357" t="str">
            <v>1.1.06.15.03</v>
          </cell>
          <cell r="C357" t="str">
            <v>Piutang Pendapatan dari Pengembalian Kelebihan Pembayaran Gaji dan Tunjangan</v>
          </cell>
          <cell r="F357">
            <v>0</v>
          </cell>
          <cell r="G357">
            <v>0</v>
          </cell>
          <cell r="H357">
            <v>0</v>
          </cell>
          <cell r="I357">
            <v>0</v>
          </cell>
          <cell r="J357">
            <v>0</v>
          </cell>
        </row>
        <row r="358">
          <cell r="B358" t="str">
            <v>1.1.06.15.04</v>
          </cell>
          <cell r="C358" t="str">
            <v>Piutang Pendapatan dari Pengembalian Kelebihan Pembayaran Perjalanan Dinas</v>
          </cell>
          <cell r="F358">
            <v>0</v>
          </cell>
          <cell r="G358">
            <v>0</v>
          </cell>
          <cell r="H358">
            <v>0</v>
          </cell>
          <cell r="I358">
            <v>0</v>
          </cell>
          <cell r="J358">
            <v>0</v>
          </cell>
        </row>
        <row r="359">
          <cell r="B359" t="str">
            <v>1.1.06.15.05</v>
          </cell>
          <cell r="C359" t="str">
            <v>Piutang Pendapatan dari Pengembalian Kelebihan Pembayaran Jaminan Kecelakaan Kerja (JKK)</v>
          </cell>
          <cell r="F359">
            <v>0</v>
          </cell>
          <cell r="G359">
            <v>0</v>
          </cell>
          <cell r="H359">
            <v>0</v>
          </cell>
          <cell r="I359">
            <v>0</v>
          </cell>
          <cell r="J359">
            <v>0</v>
          </cell>
        </row>
        <row r="360">
          <cell r="B360" t="str">
            <v>1.1.06.15.06</v>
          </cell>
          <cell r="C360" t="str">
            <v>Piutang Pendapatan dari Pengembalian Kelebihan Pembayaran Jaminan Kematian (JKM)</v>
          </cell>
          <cell r="F360">
            <v>0</v>
          </cell>
          <cell r="G360">
            <v>0</v>
          </cell>
          <cell r="H360">
            <v>0</v>
          </cell>
          <cell r="I360">
            <v>0</v>
          </cell>
          <cell r="J360">
            <v>0</v>
          </cell>
        </row>
        <row r="361">
          <cell r="B361" t="str">
            <v>1.1.06.15.07</v>
          </cell>
          <cell r="C361" t="str">
            <v>Piutang Pendapatan dari Pengembalian Kelebihan Pembayaran Jaminan Kesehatan</v>
          </cell>
          <cell r="F361">
            <v>0</v>
          </cell>
          <cell r="G361">
            <v>0</v>
          </cell>
          <cell r="H361">
            <v>0</v>
          </cell>
          <cell r="I361">
            <v>0</v>
          </cell>
          <cell r="J361">
            <v>0</v>
          </cell>
        </row>
        <row r="362">
          <cell r="B362" t="str">
            <v>1.1.06.15.08</v>
          </cell>
          <cell r="C362" t="str">
            <v>Piutang Pendapatan dari Pengembalian Kelebihan Pembayaran Belanja Gaji dan Tunjangan ASN</v>
          </cell>
          <cell r="F362">
            <v>0</v>
          </cell>
          <cell r="G362">
            <v>0</v>
          </cell>
          <cell r="H362">
            <v>0</v>
          </cell>
          <cell r="I362">
            <v>0</v>
          </cell>
          <cell r="J362">
            <v>0</v>
          </cell>
        </row>
        <row r="363">
          <cell r="B363" t="str">
            <v>1.1.06.15.09</v>
          </cell>
          <cell r="C363" t="str">
            <v>Piutang Pendapatan dari Pengembalian Kelebihan Pembayaran Belanja Tambahan Penghasilan ASN</v>
          </cell>
          <cell r="F363">
            <v>0</v>
          </cell>
          <cell r="G363">
            <v>0</v>
          </cell>
          <cell r="H363">
            <v>0</v>
          </cell>
          <cell r="I363">
            <v>0</v>
          </cell>
          <cell r="J363">
            <v>0</v>
          </cell>
        </row>
        <row r="364">
          <cell r="B364" t="str">
            <v>1.1.06.15.10</v>
          </cell>
          <cell r="C364" t="str">
            <v>Piutang Pendapatan dari Pengembalian Kelebihan Pembayaran Belanja Tambahan Penghasilan berdasarkan Pertimbangan Objektif Lainnya ASN</v>
          </cell>
          <cell r="F364">
            <v>0</v>
          </cell>
          <cell r="G364">
            <v>0</v>
          </cell>
          <cell r="H364">
            <v>0</v>
          </cell>
          <cell r="I364">
            <v>0</v>
          </cell>
          <cell r="J364">
            <v>0</v>
          </cell>
        </row>
        <row r="365">
          <cell r="B365" t="str">
            <v>1.1.06.15.11</v>
          </cell>
          <cell r="C365" t="str">
            <v>Piutang Pendapatan dari Pengembalian Kelebihan Pembayaran Belanja Gaji dan Tunjangan DPRD</v>
          </cell>
          <cell r="D365">
            <v>132364105</v>
          </cell>
          <cell r="E365">
            <v>132364105</v>
          </cell>
          <cell r="F365">
            <v>0</v>
          </cell>
          <cell r="G365">
            <v>0</v>
          </cell>
          <cell r="H365">
            <v>0</v>
          </cell>
          <cell r="I365">
            <v>0</v>
          </cell>
          <cell r="J365">
            <v>132364105</v>
          </cell>
        </row>
        <row r="366">
          <cell r="B366" t="str">
            <v>1.1.06.15.12</v>
          </cell>
          <cell r="C366" t="str">
            <v>Piutang Pendapatan dari Pengembalian Kelebihan Pembayaran Belanja Gaji dan Tunjangan KDH/WKDH</v>
          </cell>
          <cell r="F366">
            <v>0</v>
          </cell>
          <cell r="G366">
            <v>0</v>
          </cell>
          <cell r="H366">
            <v>0</v>
          </cell>
          <cell r="I366">
            <v>0</v>
          </cell>
          <cell r="J366">
            <v>0</v>
          </cell>
        </row>
        <row r="367">
          <cell r="B367" t="str">
            <v>1.1.06.15.13</v>
          </cell>
          <cell r="C367" t="str">
            <v>Piutang Pendapatan dari Pengembalian Kelebihan Pembayaran Belanja Penerimaan Lainnya Pimpinan DPRD serta KDH/WKDH</v>
          </cell>
          <cell r="F367">
            <v>0</v>
          </cell>
          <cell r="G367">
            <v>0</v>
          </cell>
          <cell r="H367">
            <v>0</v>
          </cell>
          <cell r="I367">
            <v>0</v>
          </cell>
          <cell r="J367">
            <v>0</v>
          </cell>
        </row>
        <row r="368">
          <cell r="B368" t="str">
            <v>1.1.06.15.14</v>
          </cell>
          <cell r="C368" t="str">
            <v>Piutang Pendapatan dari Pengembalian Kelebihan Pembayaran Belanja Gaji dan Tunjangan MRP</v>
          </cell>
          <cell r="F368">
            <v>0</v>
          </cell>
          <cell r="G368">
            <v>0</v>
          </cell>
          <cell r="H368">
            <v>0</v>
          </cell>
          <cell r="I368">
            <v>0</v>
          </cell>
          <cell r="J368">
            <v>0</v>
          </cell>
        </row>
        <row r="369">
          <cell r="B369" t="str">
            <v>1.1.06.15.15</v>
          </cell>
          <cell r="C369" t="str">
            <v>Piutang Pendapatan dari Pengembalian Kelebihan Pembayaran Belanja Barang</v>
          </cell>
          <cell r="F369">
            <v>0</v>
          </cell>
          <cell r="G369">
            <v>0</v>
          </cell>
          <cell r="H369">
            <v>0</v>
          </cell>
          <cell r="I369">
            <v>0</v>
          </cell>
          <cell r="J369">
            <v>0</v>
          </cell>
        </row>
        <row r="370">
          <cell r="B370" t="str">
            <v>1.1.06.15.16</v>
          </cell>
          <cell r="C370" t="str">
            <v>Piutang Pendapatan dari Pengembalian Kelebihan Pembayaran Belanja Jasa</v>
          </cell>
          <cell r="F370">
            <v>0</v>
          </cell>
          <cell r="G370">
            <v>0</v>
          </cell>
          <cell r="H370">
            <v>0</v>
          </cell>
          <cell r="I370">
            <v>0</v>
          </cell>
          <cell r="J370">
            <v>0</v>
          </cell>
        </row>
        <row r="371">
          <cell r="B371" t="str">
            <v>1.1.06.15.17</v>
          </cell>
          <cell r="C371" t="str">
            <v>Piutang Pendapatan dari Pengembalian Kelebihan Pembayaran Belanja Pemeliharaan</v>
          </cell>
          <cell r="F371">
            <v>0</v>
          </cell>
          <cell r="G371">
            <v>0</v>
          </cell>
          <cell r="H371">
            <v>0</v>
          </cell>
          <cell r="I371">
            <v>0</v>
          </cell>
          <cell r="J371">
            <v>0</v>
          </cell>
        </row>
        <row r="372">
          <cell r="B372" t="str">
            <v>1.1.06.15.18</v>
          </cell>
          <cell r="C372" t="str">
            <v>Piutang Pendapatan dari Pengembalian Kelebihan Pembayaran Belanja Uang dan/atau Jasa untuk Diberikan kepada Pihak Ketiga/Pihak Lain/Masyarakat</v>
          </cell>
          <cell r="F372">
            <v>0</v>
          </cell>
          <cell r="G372">
            <v>0</v>
          </cell>
          <cell r="H372">
            <v>0</v>
          </cell>
          <cell r="I372">
            <v>0</v>
          </cell>
          <cell r="J372">
            <v>0</v>
          </cell>
        </row>
        <row r="373">
          <cell r="B373" t="str">
            <v>1.1.06.15.19</v>
          </cell>
          <cell r="C373" t="str">
            <v>Piutang Pendapatan dari Pengembalian Kelebihan Pembayaran Belanja Penunjang Otonomi Khusus*)</v>
          </cell>
          <cell r="F373">
            <v>0</v>
          </cell>
          <cell r="G373">
            <v>0</v>
          </cell>
          <cell r="H373">
            <v>0</v>
          </cell>
          <cell r="I373">
            <v>0</v>
          </cell>
          <cell r="J373">
            <v>0</v>
          </cell>
        </row>
        <row r="374">
          <cell r="B374" t="str">
            <v>1.1.06.15.20</v>
          </cell>
          <cell r="C374" t="str">
            <v>Piutang Pendapatan dari Pengembalian Kelebihan Pembayaran Belanja Bunga Utang Pinjaman kepada Pemerintah Pusat</v>
          </cell>
          <cell r="F374">
            <v>0</v>
          </cell>
          <cell r="G374">
            <v>0</v>
          </cell>
          <cell r="H374">
            <v>0</v>
          </cell>
          <cell r="I374">
            <v>0</v>
          </cell>
          <cell r="J374">
            <v>0</v>
          </cell>
        </row>
        <row r="375">
          <cell r="B375" t="str">
            <v>1.1.06.15.21</v>
          </cell>
          <cell r="C375" t="str">
            <v>Piutang Pendapatan dari Pengembalian Kelebihan Pembayaran Belanja Bunga Utang Pinjaman kepada Pemerintah Daerah Lain</v>
          </cell>
          <cell r="F375">
            <v>0</v>
          </cell>
          <cell r="G375">
            <v>0</v>
          </cell>
          <cell r="H375">
            <v>0</v>
          </cell>
          <cell r="I375">
            <v>0</v>
          </cell>
          <cell r="J375">
            <v>0</v>
          </cell>
        </row>
        <row r="376">
          <cell r="B376" t="str">
            <v>1.1.06.15.22</v>
          </cell>
          <cell r="C376" t="str">
            <v>Piutang Pendapatan dari Pengembalian Kelebihan Pembayaran Belanja Bunga Utang Pinjaman kepada Lembaga Keuangan Bank (LKB)</v>
          </cell>
          <cell r="F376">
            <v>0</v>
          </cell>
          <cell r="G376">
            <v>0</v>
          </cell>
          <cell r="H376">
            <v>0</v>
          </cell>
          <cell r="I376">
            <v>0</v>
          </cell>
          <cell r="J376">
            <v>0</v>
          </cell>
        </row>
        <row r="377">
          <cell r="B377" t="str">
            <v>1.1.06.15.23</v>
          </cell>
          <cell r="C377" t="str">
            <v>Piutang Pendapatan dari Pengembalian Kelebihan Pembayaran Belanja Bunga Utang Pinjaman kepada Lembaga Keuangan Bukan Bank (LKBB)</v>
          </cell>
          <cell r="F377">
            <v>0</v>
          </cell>
          <cell r="G377">
            <v>0</v>
          </cell>
          <cell r="H377">
            <v>0</v>
          </cell>
          <cell r="I377">
            <v>0</v>
          </cell>
          <cell r="J377">
            <v>0</v>
          </cell>
        </row>
        <row r="378">
          <cell r="B378" t="str">
            <v>1.1.06.15.24</v>
          </cell>
          <cell r="C378" t="str">
            <v>Piutang Pendapatan dari Pengembalian Kelebihan Pembayaran Belanja Bunga Utang Kepada Masyarakat (Obligasi)</v>
          </cell>
          <cell r="F378">
            <v>0</v>
          </cell>
          <cell r="G378">
            <v>0</v>
          </cell>
          <cell r="H378">
            <v>0</v>
          </cell>
          <cell r="I378">
            <v>0</v>
          </cell>
          <cell r="J378">
            <v>0</v>
          </cell>
        </row>
        <row r="379">
          <cell r="B379" t="str">
            <v>1.1.06.15.25</v>
          </cell>
          <cell r="C379" t="str">
            <v>Piutang Pendapatan dari Pengembalian Kelebihan Pembayaran Belanja Bunga Utang Pinjaman melalui BLUD</v>
          </cell>
          <cell r="F379">
            <v>0</v>
          </cell>
          <cell r="G379">
            <v>0</v>
          </cell>
          <cell r="H379">
            <v>0</v>
          </cell>
          <cell r="I379">
            <v>0</v>
          </cell>
          <cell r="J379">
            <v>0</v>
          </cell>
        </row>
        <row r="380">
          <cell r="B380" t="str">
            <v>1.1.06.15.26</v>
          </cell>
          <cell r="C380" t="str">
            <v>Piutang Pendapatan dari Pengembalian Kelebihan Pembayaran Belanja Subsidi kepada BUMN</v>
          </cell>
          <cell r="F380">
            <v>0</v>
          </cell>
          <cell r="G380">
            <v>0</v>
          </cell>
          <cell r="H380">
            <v>0</v>
          </cell>
          <cell r="I380">
            <v>0</v>
          </cell>
          <cell r="J380">
            <v>0</v>
          </cell>
        </row>
        <row r="381">
          <cell r="B381" t="str">
            <v>1.1.06.15.27</v>
          </cell>
          <cell r="C381" t="str">
            <v>Piutang Pendapatan dari Pengembalian Kelebihan Pembayaran Belanja Subsidi kepada BUMD</v>
          </cell>
          <cell r="F381">
            <v>0</v>
          </cell>
          <cell r="G381">
            <v>0</v>
          </cell>
          <cell r="H381">
            <v>0</v>
          </cell>
          <cell r="I381">
            <v>0</v>
          </cell>
          <cell r="J381">
            <v>0</v>
          </cell>
        </row>
        <row r="382">
          <cell r="B382" t="str">
            <v>1.1.06.15.28</v>
          </cell>
          <cell r="C382" t="str">
            <v>Piutang Pendapatan dari Pengembalian Kelebihan Pembayaran Belanja Subsidi</v>
          </cell>
          <cell r="F382">
            <v>0</v>
          </cell>
          <cell r="G382">
            <v>0</v>
          </cell>
          <cell r="H382">
            <v>0</v>
          </cell>
          <cell r="I382">
            <v>0</v>
          </cell>
          <cell r="J382">
            <v>0</v>
          </cell>
        </row>
        <row r="383">
          <cell r="B383" t="str">
            <v>1.1.06.15.29</v>
          </cell>
          <cell r="C383" t="str">
            <v>Piutang Pendapatan dari Pengembalian Kelebihan Pembayaran Belanja Subsidi kepada Koperasi</v>
          </cell>
          <cell r="F383">
            <v>0</v>
          </cell>
          <cell r="G383">
            <v>0</v>
          </cell>
          <cell r="H383">
            <v>0</v>
          </cell>
          <cell r="I383">
            <v>0</v>
          </cell>
          <cell r="J383">
            <v>0</v>
          </cell>
        </row>
        <row r="384">
          <cell r="B384" t="str">
            <v>1.1.06.15.30</v>
          </cell>
          <cell r="C384" t="str">
            <v>Piutang Pendapatan dari Pengembalian Kelebihan Pembayaran Belanja Hibah kepada Pemerintah Pusat</v>
          </cell>
          <cell r="F384">
            <v>0</v>
          </cell>
          <cell r="G384">
            <v>0</v>
          </cell>
          <cell r="H384">
            <v>0</v>
          </cell>
          <cell r="I384">
            <v>0</v>
          </cell>
          <cell r="J384">
            <v>0</v>
          </cell>
        </row>
        <row r="385">
          <cell r="B385" t="str">
            <v>1.1.06.15.31</v>
          </cell>
          <cell r="C385" t="str">
            <v>Piutang Pendapatan dari Pengembalian Kelebihan Pembayaran Belanja Hibah kepada Pemerintah Daerah Lainnya</v>
          </cell>
          <cell r="F385">
            <v>0</v>
          </cell>
          <cell r="G385">
            <v>0</v>
          </cell>
          <cell r="H385">
            <v>0</v>
          </cell>
          <cell r="I385">
            <v>0</v>
          </cell>
          <cell r="J385">
            <v>0</v>
          </cell>
        </row>
        <row r="386">
          <cell r="B386" t="str">
            <v>1.1.06.15.32</v>
          </cell>
          <cell r="C386" t="str">
            <v>Piutang Pendapatan dari Pengembalian Kelebihan Pembayaran Belanja Hibah kepada BUMN</v>
          </cell>
          <cell r="F386">
            <v>0</v>
          </cell>
          <cell r="G386">
            <v>0</v>
          </cell>
          <cell r="H386">
            <v>0</v>
          </cell>
          <cell r="I386">
            <v>0</v>
          </cell>
          <cell r="J386">
            <v>0</v>
          </cell>
        </row>
        <row r="387">
          <cell r="B387" t="str">
            <v>1.1.06.15.33</v>
          </cell>
          <cell r="C387" t="str">
            <v>Piutang Pendapatan dari Pengembalian Kelebihan Pembayaran Belanja Hibah kepada</v>
          </cell>
          <cell r="F387">
            <v>0</v>
          </cell>
          <cell r="G387">
            <v>0</v>
          </cell>
          <cell r="H387">
            <v>0</v>
          </cell>
          <cell r="I387">
            <v>0</v>
          </cell>
          <cell r="J387">
            <v>0</v>
          </cell>
        </row>
        <row r="388">
          <cell r="B388" t="str">
            <v>1.1.06.15.34</v>
          </cell>
          <cell r="C388" t="str">
            <v>Piutang Pendapatan dari Pengembalian Kelebihan Pembayaran Belanja Hibah kepada Badan, Lembaga, Organisasi Kemasyarakatan yang Berbadan Hukum Indonesia</v>
          </cell>
          <cell r="F388">
            <v>0</v>
          </cell>
          <cell r="G388">
            <v>0</v>
          </cell>
          <cell r="H388">
            <v>0</v>
          </cell>
          <cell r="I388">
            <v>0</v>
          </cell>
          <cell r="J388">
            <v>0</v>
          </cell>
        </row>
        <row r="389">
          <cell r="B389" t="str">
            <v>1.1.06.15.35</v>
          </cell>
          <cell r="C389" t="str">
            <v>Piutang Pendapatan dari Pengembalian Kelebihan Pembayaran Belanja Hibah Dana BOS</v>
          </cell>
          <cell r="F389">
            <v>0</v>
          </cell>
          <cell r="G389">
            <v>0</v>
          </cell>
          <cell r="H389">
            <v>0</v>
          </cell>
          <cell r="I389">
            <v>0</v>
          </cell>
          <cell r="J389">
            <v>0</v>
          </cell>
        </row>
        <row r="390">
          <cell r="B390" t="str">
            <v>1.1.06.15.36</v>
          </cell>
          <cell r="C390" t="str">
            <v>Piutang Pendapatan dari Pengembalian Kelebihan Pembayaran Belanja Hibah Bantuan Keuangan kepada Partai Politik</v>
          </cell>
          <cell r="F390">
            <v>0</v>
          </cell>
          <cell r="G390">
            <v>0</v>
          </cell>
          <cell r="H390">
            <v>0</v>
          </cell>
          <cell r="I390">
            <v>0</v>
          </cell>
          <cell r="J390">
            <v>0</v>
          </cell>
        </row>
        <row r="391">
          <cell r="B391" t="str">
            <v>1.1.06.15.37</v>
          </cell>
          <cell r="C391" t="str">
            <v>Piutang Pendapatan dari Pengembalian Kelebihan Pembayaran Belanja Bantuan Sosial kepada Individu</v>
          </cell>
          <cell r="F391">
            <v>0</v>
          </cell>
          <cell r="G391">
            <v>0</v>
          </cell>
          <cell r="H391">
            <v>0</v>
          </cell>
          <cell r="I391">
            <v>0</v>
          </cell>
          <cell r="J391">
            <v>0</v>
          </cell>
        </row>
        <row r="392">
          <cell r="B392" t="str">
            <v>1.1.06.15.38</v>
          </cell>
          <cell r="C392" t="str">
            <v>Piutang Pendapatan dari Pengembalian Kelebihan Pembayaran Belanja Bantuan Sosial kepada Keluarga</v>
          </cell>
          <cell r="F392">
            <v>0</v>
          </cell>
          <cell r="G392">
            <v>0</v>
          </cell>
          <cell r="H392">
            <v>0</v>
          </cell>
          <cell r="I392">
            <v>0</v>
          </cell>
          <cell r="J392">
            <v>0</v>
          </cell>
        </row>
        <row r="393">
          <cell r="B393" t="str">
            <v>1.1.06.15.39</v>
          </cell>
          <cell r="C393" t="str">
            <v>Piutang Pendapatan dari Pengembalian Kelebihan Pembayaran Belanja Bantuan Sosial kepada Kelompok Masyarakat</v>
          </cell>
          <cell r="F393">
            <v>0</v>
          </cell>
          <cell r="G393">
            <v>0</v>
          </cell>
          <cell r="H393">
            <v>0</v>
          </cell>
          <cell r="I393">
            <v>0</v>
          </cell>
          <cell r="J393">
            <v>0</v>
          </cell>
        </row>
        <row r="394">
          <cell r="B394" t="str">
            <v>1.1.06.15.40</v>
          </cell>
          <cell r="C394" t="str">
            <v>Piutang Pendapatan dari Pengembalian Kelebihan Pembayaran Belanja Bantuan Sosial Bantuan Sosial kepada Lembaga Non Pemerintahan (Bidang Pendidikan, Keagamaan dan Bidang Lainnya)</v>
          </cell>
          <cell r="F394">
            <v>0</v>
          </cell>
          <cell r="G394">
            <v>0</v>
          </cell>
          <cell r="H394">
            <v>0</v>
          </cell>
          <cell r="I394">
            <v>0</v>
          </cell>
          <cell r="J394">
            <v>0</v>
          </cell>
        </row>
        <row r="395">
          <cell r="B395" t="str">
            <v>1.1.06.15.41</v>
          </cell>
          <cell r="C395" t="str">
            <v>Piutang Pendapatan dari Pengembalian Kelebihan Pembayaran Belanja Modal Tanah</v>
          </cell>
          <cell r="F395">
            <v>0</v>
          </cell>
          <cell r="G395">
            <v>0</v>
          </cell>
          <cell r="H395">
            <v>0</v>
          </cell>
          <cell r="I395">
            <v>0</v>
          </cell>
          <cell r="J395">
            <v>0</v>
          </cell>
        </row>
        <row r="396">
          <cell r="B396" t="str">
            <v>1.1.06.15.42</v>
          </cell>
          <cell r="C396" t="str">
            <v>Piutang Pendapatan dari Pengembalian Kelebihan Pembayaran Belanja Modal Peralatan dan Mesin-Alat Besar</v>
          </cell>
          <cell r="F396">
            <v>0</v>
          </cell>
          <cell r="G396">
            <v>0</v>
          </cell>
          <cell r="H396">
            <v>0</v>
          </cell>
          <cell r="I396">
            <v>0</v>
          </cell>
          <cell r="J396">
            <v>0</v>
          </cell>
        </row>
        <row r="397">
          <cell r="B397" t="str">
            <v>1.1.06.15.44</v>
          </cell>
          <cell r="C397" t="str">
            <v>Piutang Pendapatan dari Pengembalian Kelebihan Pembayaran Belanja Modal Peralatan dan Mesin-Alat Bengkel dan Alat Ukur</v>
          </cell>
          <cell r="F397">
            <v>0</v>
          </cell>
          <cell r="G397">
            <v>0</v>
          </cell>
          <cell r="H397">
            <v>0</v>
          </cell>
          <cell r="I397">
            <v>0</v>
          </cell>
          <cell r="J397">
            <v>0</v>
          </cell>
        </row>
        <row r="398">
          <cell r="B398" t="str">
            <v>1.1.06.15.45</v>
          </cell>
          <cell r="C398" t="str">
            <v>Piutang Pendapatan dari Pengembalian Kelebihan Pembayaran Belanja Modal Peralatan dan Mesin-Alat Pertanian</v>
          </cell>
          <cell r="F398">
            <v>0</v>
          </cell>
          <cell r="G398">
            <v>0</v>
          </cell>
          <cell r="H398">
            <v>0</v>
          </cell>
          <cell r="I398">
            <v>0</v>
          </cell>
          <cell r="J398">
            <v>0</v>
          </cell>
        </row>
        <row r="399">
          <cell r="B399" t="str">
            <v>1.1.06.15.46</v>
          </cell>
          <cell r="C399" t="str">
            <v>Piutang Pendapatan dari Pengembalian Kelebihan Pembayaran Belanja Modal Peralatan dan Mesin-Alat Kantor dan Rumah Tangga</v>
          </cell>
          <cell r="F399">
            <v>0</v>
          </cell>
          <cell r="G399">
            <v>0</v>
          </cell>
          <cell r="H399">
            <v>0</v>
          </cell>
          <cell r="I399">
            <v>0</v>
          </cell>
          <cell r="J399">
            <v>0</v>
          </cell>
        </row>
        <row r="400">
          <cell r="B400" t="str">
            <v>1.1.06.15.47</v>
          </cell>
          <cell r="C400" t="str">
            <v>Piutang Pendapatan dari Pengembalian Kelebihan Pembayaran Belanja Modal Peralatan dan Mesin-Alat Studio, Komunikasi, dan Pemancar</v>
          </cell>
          <cell r="F400">
            <v>0</v>
          </cell>
          <cell r="G400">
            <v>0</v>
          </cell>
          <cell r="H400">
            <v>0</v>
          </cell>
          <cell r="I400">
            <v>0</v>
          </cell>
          <cell r="J400">
            <v>0</v>
          </cell>
        </row>
        <row r="401">
          <cell r="B401" t="str">
            <v>1.1.06.15.48</v>
          </cell>
          <cell r="C401" t="str">
            <v>Piutang Pendapatan dari Pengembalian Kelebihan Pembayaran Belanja Modal Peralatan dan Mesin-Alat Kedokteran dan Kesehatan</v>
          </cell>
          <cell r="F401">
            <v>0</v>
          </cell>
          <cell r="G401">
            <v>0</v>
          </cell>
          <cell r="H401">
            <v>0</v>
          </cell>
          <cell r="I401">
            <v>0</v>
          </cell>
          <cell r="J401">
            <v>0</v>
          </cell>
        </row>
        <row r="402">
          <cell r="B402" t="str">
            <v>1.1.06.15.49</v>
          </cell>
          <cell r="C402" t="str">
            <v>Piutang Pendapatan dari Pengembalian Kelebihan Pembayaran Belanja Modal Peralatan dan Mesin-Alat Laboratorium</v>
          </cell>
          <cell r="F402">
            <v>0</v>
          </cell>
          <cell r="G402">
            <v>0</v>
          </cell>
          <cell r="H402">
            <v>0</v>
          </cell>
          <cell r="I402">
            <v>0</v>
          </cell>
          <cell r="J402">
            <v>0</v>
          </cell>
        </row>
        <row r="403">
          <cell r="B403" t="str">
            <v>1.1.06.15.51</v>
          </cell>
          <cell r="C403" t="str">
            <v>Piutang Pendapatan dari Pengembalian Kelebihan Pembayaran Belanja Modal Peralatan dan Mesin-Komputer</v>
          </cell>
          <cell r="F403">
            <v>0</v>
          </cell>
          <cell r="G403">
            <v>0</v>
          </cell>
          <cell r="H403">
            <v>0</v>
          </cell>
          <cell r="I403">
            <v>0</v>
          </cell>
          <cell r="J403">
            <v>0</v>
          </cell>
        </row>
        <row r="404">
          <cell r="B404" t="str">
            <v>1.1.06.15.52</v>
          </cell>
          <cell r="C404" t="str">
            <v>Piutang Pendapatan dari Pengembalian Kelebihan Pembayaran Belanja Modal Peralatan dan Mesin-Alat Eksplorasi</v>
          </cell>
          <cell r="F404">
            <v>0</v>
          </cell>
          <cell r="G404">
            <v>0</v>
          </cell>
          <cell r="H404">
            <v>0</v>
          </cell>
          <cell r="I404">
            <v>0</v>
          </cell>
          <cell r="J404">
            <v>0</v>
          </cell>
        </row>
        <row r="405">
          <cell r="B405" t="str">
            <v>1.1.06.15.53</v>
          </cell>
          <cell r="C405" t="str">
            <v>Piutang Pendapatan dari Pengembalian Kelebihan Pembayaran Belanja Modal Peralatan dan Mesin-Alat Pengeboran</v>
          </cell>
          <cell r="F405">
            <v>0</v>
          </cell>
          <cell r="G405">
            <v>0</v>
          </cell>
          <cell r="H405">
            <v>0</v>
          </cell>
          <cell r="I405">
            <v>0</v>
          </cell>
          <cell r="J405">
            <v>0</v>
          </cell>
        </row>
        <row r="406">
          <cell r="B406" t="str">
            <v>1.1.06.15.54</v>
          </cell>
          <cell r="C406" t="str">
            <v>Piutang Pendapatan dari Pengembalian Kelebihan Pembayaran Belanja Modal Peralatan dan Mesin-Alat Produksi, Pengolahan, dan Pemurnian</v>
          </cell>
          <cell r="F406">
            <v>0</v>
          </cell>
          <cell r="G406">
            <v>0</v>
          </cell>
          <cell r="H406">
            <v>0</v>
          </cell>
          <cell r="I406">
            <v>0</v>
          </cell>
          <cell r="J406">
            <v>0</v>
          </cell>
        </row>
        <row r="407">
          <cell r="B407" t="str">
            <v>1.1.06.15.55</v>
          </cell>
          <cell r="C407" t="str">
            <v>Piutang Pendapatan dari Pengembalian Kelebihan Pembayaran Belanja Modal Peralatan dan Mesin-Alat Bantu Eksplorasi</v>
          </cell>
          <cell r="F407">
            <v>0</v>
          </cell>
          <cell r="G407">
            <v>0</v>
          </cell>
          <cell r="H407">
            <v>0</v>
          </cell>
          <cell r="I407">
            <v>0</v>
          </cell>
          <cell r="J407">
            <v>0</v>
          </cell>
        </row>
        <row r="408">
          <cell r="B408" t="str">
            <v>1.1.06.15.56</v>
          </cell>
          <cell r="C408" t="str">
            <v>Piutang Pendapatan dari Pengembalian Kelebihan Pembayaran Belanja Modal Peralatan dan Mesin-Alat Keselamatan Kerja</v>
          </cell>
          <cell r="F408">
            <v>0</v>
          </cell>
          <cell r="G408">
            <v>0</v>
          </cell>
          <cell r="H408">
            <v>0</v>
          </cell>
          <cell r="I408">
            <v>0</v>
          </cell>
          <cell r="J408">
            <v>0</v>
          </cell>
        </row>
        <row r="409">
          <cell r="B409" t="str">
            <v>1.1.06.15.57</v>
          </cell>
          <cell r="C409" t="str">
            <v>Piutang Pendapatan dari Pengembalian Kelebihan Pembayaran Belanja Modal Peralatan dan Mesin-Alat Peraga</v>
          </cell>
          <cell r="F409">
            <v>0</v>
          </cell>
          <cell r="G409">
            <v>0</v>
          </cell>
          <cell r="H409">
            <v>0</v>
          </cell>
          <cell r="I409">
            <v>0</v>
          </cell>
          <cell r="J409">
            <v>0</v>
          </cell>
        </row>
        <row r="410">
          <cell r="B410" t="str">
            <v>1.1.06.15.58</v>
          </cell>
          <cell r="C410" t="str">
            <v>Piutang Pendapatan dari Pengembalian Kelebihan Pembayaran Belanja Modal Peralatan dan Mesin-Peralatan Proses/Produksi</v>
          </cell>
          <cell r="F410">
            <v>0</v>
          </cell>
          <cell r="G410">
            <v>0</v>
          </cell>
          <cell r="H410">
            <v>0</v>
          </cell>
          <cell r="I410">
            <v>0</v>
          </cell>
          <cell r="J410">
            <v>0</v>
          </cell>
        </row>
        <row r="411">
          <cell r="B411" t="str">
            <v>1.1.06.15.59</v>
          </cell>
          <cell r="C411" t="str">
            <v>Piutang Pendapatan dari Pengembalian Kelebihan Pembayaran Belanja Modal Peralatan dan Mesin-Rambu-Rambu</v>
          </cell>
          <cell r="F411">
            <v>0</v>
          </cell>
          <cell r="G411">
            <v>0</v>
          </cell>
          <cell r="H411">
            <v>0</v>
          </cell>
          <cell r="I411">
            <v>0</v>
          </cell>
          <cell r="J411">
            <v>0</v>
          </cell>
        </row>
        <row r="412">
          <cell r="B412" t="str">
            <v>1.1.06.15.60</v>
          </cell>
          <cell r="C412" t="str">
            <v>Piutang Pendapatan dari Pengembalian Kelebihan Pembayaran Belanja Modal Peralatan dan Mesin-Peralatan Olahraga</v>
          </cell>
          <cell r="F412">
            <v>0</v>
          </cell>
          <cell r="G412">
            <v>0</v>
          </cell>
          <cell r="H412">
            <v>0</v>
          </cell>
          <cell r="I412">
            <v>0</v>
          </cell>
          <cell r="J412">
            <v>0</v>
          </cell>
        </row>
        <row r="413">
          <cell r="B413" t="str">
            <v>1.1.06.15.61</v>
          </cell>
          <cell r="C413" t="str">
            <v>Piutang Pendapatan dari Pengembalian Kelebihan Pembayaran Belanja Modal Gedung dan Bangunan-Bangunan Gedung</v>
          </cell>
          <cell r="F413">
            <v>0</v>
          </cell>
          <cell r="G413">
            <v>0</v>
          </cell>
          <cell r="H413">
            <v>0</v>
          </cell>
          <cell r="I413">
            <v>0</v>
          </cell>
          <cell r="J413">
            <v>0</v>
          </cell>
        </row>
        <row r="414">
          <cell r="B414" t="str">
            <v>1.1.06.15.62</v>
          </cell>
          <cell r="C414" t="str">
            <v>Piutang Pendapatan dari Pengembalian Kelebihan Pembayaran Belanja Modal Gedung dan Bangunan-Monumen</v>
          </cell>
          <cell r="F414">
            <v>0</v>
          </cell>
          <cell r="G414">
            <v>0</v>
          </cell>
          <cell r="H414">
            <v>0</v>
          </cell>
          <cell r="I414">
            <v>0</v>
          </cell>
          <cell r="J414">
            <v>0</v>
          </cell>
        </row>
        <row r="415">
          <cell r="B415" t="str">
            <v>1.1.06.15.63</v>
          </cell>
          <cell r="C415" t="str">
            <v>Piutang Pendapatan dari Pengembalian Kelebihan Pembayaran Belanja Modal Gedung dan Bangunan-Bangunan Menara</v>
          </cell>
          <cell r="F415">
            <v>0</v>
          </cell>
          <cell r="G415">
            <v>0</v>
          </cell>
          <cell r="H415">
            <v>0</v>
          </cell>
          <cell r="I415">
            <v>0</v>
          </cell>
          <cell r="J415">
            <v>0</v>
          </cell>
        </row>
        <row r="416">
          <cell r="B416" t="str">
            <v>1.1.06.15.64</v>
          </cell>
          <cell r="C416" t="str">
            <v>Piutang Pendapatan dari Pengembalian Kelebihan Pembayaran Belanja Modal Gedung dan Bangunan-Tugu Titik Kontrol/Pasti</v>
          </cell>
          <cell r="F416">
            <v>0</v>
          </cell>
          <cell r="G416">
            <v>0</v>
          </cell>
          <cell r="H416">
            <v>0</v>
          </cell>
          <cell r="I416">
            <v>0</v>
          </cell>
          <cell r="J416">
            <v>0</v>
          </cell>
        </row>
        <row r="417">
          <cell r="B417" t="str">
            <v>1.1.06.15.65</v>
          </cell>
          <cell r="C417" t="str">
            <v>Piutang Pendapatan dari Pengembalian Kelebihan Pembayaran Belanja Modal Jalan, Jaringan, dan Irigasi-Jalan dan Jembatan</v>
          </cell>
          <cell r="F417">
            <v>0</v>
          </cell>
          <cell r="G417">
            <v>0</v>
          </cell>
          <cell r="H417">
            <v>0</v>
          </cell>
          <cell r="I417">
            <v>0</v>
          </cell>
          <cell r="J417">
            <v>0</v>
          </cell>
        </row>
        <row r="418">
          <cell r="B418" t="str">
            <v>1.1.06.15.66</v>
          </cell>
          <cell r="C418" t="str">
            <v>Piutang Pendapatan dari Pengembalian Kelebihan Pembayaran Belanja Modal Jalan, Jaringan, dan Irigasi-Bangunan Air</v>
          </cell>
          <cell r="F418">
            <v>0</v>
          </cell>
          <cell r="G418">
            <v>0</v>
          </cell>
          <cell r="H418">
            <v>0</v>
          </cell>
          <cell r="I418">
            <v>0</v>
          </cell>
          <cell r="J418">
            <v>0</v>
          </cell>
        </row>
        <row r="419">
          <cell r="B419" t="str">
            <v>1.1.06.15.67</v>
          </cell>
          <cell r="C419" t="str">
            <v>Piutang Pendapatan dari Pengembalian Kelebihan Pembayaran Belanja Jalan, Jaringan, dan Instalasi-Instalasi</v>
          </cell>
          <cell r="F419">
            <v>0</v>
          </cell>
          <cell r="G419">
            <v>0</v>
          </cell>
          <cell r="H419">
            <v>0</v>
          </cell>
          <cell r="I419">
            <v>0</v>
          </cell>
          <cell r="J419">
            <v>0</v>
          </cell>
        </row>
        <row r="420">
          <cell r="B420" t="str">
            <v>1.1.06.15.68</v>
          </cell>
          <cell r="C420" t="str">
            <v>Piutang Pendapatan dari Pengembalian Kelebihan Pembayaran Belanja Modal Jalan, Jaringan, dan Irigasi-Jaringan</v>
          </cell>
          <cell r="F420">
            <v>0</v>
          </cell>
          <cell r="G420">
            <v>0</v>
          </cell>
          <cell r="H420">
            <v>0</v>
          </cell>
          <cell r="I420">
            <v>0</v>
          </cell>
          <cell r="J420">
            <v>0</v>
          </cell>
        </row>
        <row r="421">
          <cell r="B421" t="str">
            <v>1.1.06.15.69</v>
          </cell>
          <cell r="C421" t="str">
            <v>Piutang Pendapatan dari Pengembalian Kelebihan Pembayaran Belanja Modal Aset Tetap Lainnya-Bahan Perpustakaan</v>
          </cell>
          <cell r="F421">
            <v>0</v>
          </cell>
          <cell r="G421">
            <v>0</v>
          </cell>
          <cell r="H421">
            <v>0</v>
          </cell>
          <cell r="I421">
            <v>0</v>
          </cell>
          <cell r="J421">
            <v>0</v>
          </cell>
        </row>
        <row r="422">
          <cell r="B422" t="str">
            <v>1.1.06.15.70</v>
          </cell>
          <cell r="C422" t="str">
            <v>Piutang Pendapatan dari Pengembalian Kelebihan Pembayaran Belanja Modal Aset Tetap Lainnya-Barang Bercorak Kesenian/Kebudayaan/Olahraga</v>
          </cell>
          <cell r="F422">
            <v>0</v>
          </cell>
          <cell r="G422">
            <v>0</v>
          </cell>
          <cell r="H422">
            <v>0</v>
          </cell>
          <cell r="I422">
            <v>0</v>
          </cell>
          <cell r="J422">
            <v>0</v>
          </cell>
        </row>
        <row r="423">
          <cell r="B423" t="str">
            <v>1.1.06.15.71</v>
          </cell>
          <cell r="C423" t="str">
            <v>Piutang Pendapatan dari Pengembalian Kelebihan Pembayaran Belanja Modal Aset Tetap Lainnya-Hewan</v>
          </cell>
          <cell r="F423">
            <v>0</v>
          </cell>
          <cell r="G423">
            <v>0</v>
          </cell>
          <cell r="H423">
            <v>0</v>
          </cell>
          <cell r="I423">
            <v>0</v>
          </cell>
          <cell r="J423">
            <v>0</v>
          </cell>
        </row>
        <row r="424">
          <cell r="B424" t="str">
            <v>1.1.06.15.72</v>
          </cell>
          <cell r="C424" t="str">
            <v>Piutang Pendapatan dari Pengembalian Kelebihan Pembayaran Belanja Modal Aset Tetap Lainnya-Biota Perairan</v>
          </cell>
          <cell r="F424">
            <v>0</v>
          </cell>
          <cell r="G424">
            <v>0</v>
          </cell>
          <cell r="H424">
            <v>0</v>
          </cell>
          <cell r="I424">
            <v>0</v>
          </cell>
          <cell r="J424">
            <v>0</v>
          </cell>
        </row>
        <row r="425">
          <cell r="B425" t="str">
            <v>1.1.06.15.73</v>
          </cell>
          <cell r="C425" t="str">
            <v>Piutang Pendapatan dari Pengembalian Kelebihan Pembayaran Belanja Modal Aset Tetap Lainnya-Tanaman</v>
          </cell>
          <cell r="F425">
            <v>0</v>
          </cell>
          <cell r="G425">
            <v>0</v>
          </cell>
          <cell r="H425">
            <v>0</v>
          </cell>
          <cell r="I425">
            <v>0</v>
          </cell>
          <cell r="J425">
            <v>0</v>
          </cell>
        </row>
        <row r="426">
          <cell r="B426" t="str">
            <v>1.1.06.15.74</v>
          </cell>
          <cell r="C426" t="str">
            <v>Piutang Pendapatan dari Pengembalian Kelebihan Pembayaran Belanja Modal Aset Tetap Lainnya-Barang Koleksi Non Budaya</v>
          </cell>
          <cell r="F426">
            <v>0</v>
          </cell>
          <cell r="G426">
            <v>0</v>
          </cell>
          <cell r="H426">
            <v>0</v>
          </cell>
          <cell r="I426">
            <v>0</v>
          </cell>
          <cell r="J426">
            <v>0</v>
          </cell>
        </row>
        <row r="427">
          <cell r="B427" t="str">
            <v>1.1.06.15.75</v>
          </cell>
          <cell r="C427" t="str">
            <v>Piutang Pendapatan dari Pengembalian Kelebihan Pembayaran Belanja Modal Aset Tetap Lainnya-Aset Tetap dalam Renovasi</v>
          </cell>
          <cell r="F427">
            <v>0</v>
          </cell>
          <cell r="G427">
            <v>0</v>
          </cell>
          <cell r="H427">
            <v>0</v>
          </cell>
          <cell r="I427">
            <v>0</v>
          </cell>
          <cell r="J427">
            <v>0</v>
          </cell>
        </row>
        <row r="428">
          <cell r="B428" t="str">
            <v>1.1.06.15.76</v>
          </cell>
          <cell r="C428" t="str">
            <v>Piutang Pendapatan dari Pengembalian Kelebihan Pembayaran Belanja Modal Aset Lainnya-Aset Tidak Berwujud</v>
          </cell>
          <cell r="F428">
            <v>0</v>
          </cell>
          <cell r="G428">
            <v>0</v>
          </cell>
          <cell r="H428">
            <v>0</v>
          </cell>
          <cell r="I428">
            <v>0</v>
          </cell>
          <cell r="J428">
            <v>0</v>
          </cell>
        </row>
        <row r="429">
          <cell r="B429" t="str">
            <v>1.1.06.15.77</v>
          </cell>
          <cell r="C429" t="str">
            <v>Piutang Pendapatan dari Pengembalian Kelebihan Pembayaran Belanja Tidak Terduga</v>
          </cell>
          <cell r="F429">
            <v>0</v>
          </cell>
          <cell r="G429">
            <v>0</v>
          </cell>
          <cell r="H429">
            <v>0</v>
          </cell>
          <cell r="I429">
            <v>0</v>
          </cell>
          <cell r="J429">
            <v>0</v>
          </cell>
        </row>
        <row r="430">
          <cell r="B430" t="str">
            <v>1.1.06.15.78</v>
          </cell>
          <cell r="C430" t="str">
            <v>Piutang Pendapatan dari Pengembalian Kelebihan Pembayaran Belanja Bagi Hasil Pajak Daerah Kepada Pemerintahan Kabupaten/Kota dan Desa</v>
          </cell>
          <cell r="F430">
            <v>0</v>
          </cell>
          <cell r="G430">
            <v>0</v>
          </cell>
          <cell r="H430">
            <v>0</v>
          </cell>
          <cell r="I430">
            <v>0</v>
          </cell>
          <cell r="J430">
            <v>0</v>
          </cell>
        </row>
        <row r="431">
          <cell r="B431" t="str">
            <v>1.1.06.15.79</v>
          </cell>
          <cell r="C431" t="str">
            <v>Piutang Pendapatan dari Pengembalian Kelebihan Pembayaran Belanja Bagi Hasil Retribusi Daerah Kabupaten/Kota Kepada Pemerintah Desa</v>
          </cell>
          <cell r="F431">
            <v>0</v>
          </cell>
          <cell r="G431">
            <v>0</v>
          </cell>
          <cell r="H431">
            <v>0</v>
          </cell>
          <cell r="I431">
            <v>0</v>
          </cell>
          <cell r="J431">
            <v>0</v>
          </cell>
        </row>
        <row r="432">
          <cell r="B432" t="str">
            <v>1.1.06.15.80</v>
          </cell>
          <cell r="C432" t="str">
            <v>Piutang Pendapatan dari Pengembalian Kelebihan Pembayaran Belanja Bantuan Keuangan antar Daerah Provinsi</v>
          </cell>
          <cell r="F432">
            <v>0</v>
          </cell>
          <cell r="G432">
            <v>0</v>
          </cell>
          <cell r="H432">
            <v>0</v>
          </cell>
          <cell r="I432">
            <v>0</v>
          </cell>
          <cell r="J432">
            <v>0</v>
          </cell>
        </row>
        <row r="433">
          <cell r="B433" t="str">
            <v>1.1.06.15.81</v>
          </cell>
          <cell r="C433" t="str">
            <v>Piutang Pendapatan dari Pengembalian Kelebihan Pembayaran Belanja Bantuan Keuangan antar Daerah Kabupaten/Kota</v>
          </cell>
          <cell r="F433">
            <v>0</v>
          </cell>
          <cell r="G433">
            <v>0</v>
          </cell>
          <cell r="H433">
            <v>0</v>
          </cell>
          <cell r="I433">
            <v>0</v>
          </cell>
          <cell r="J433">
            <v>0</v>
          </cell>
        </row>
        <row r="434">
          <cell r="B434" t="str">
            <v>1.1.06.15.82</v>
          </cell>
          <cell r="C434" t="str">
            <v>Piutang Pendapatan dari Pengembalian Kelebihan Pembayaran Belanja Bantuan Keuangan Daerah Provinsi ke Kabupaten/Kota</v>
          </cell>
          <cell r="F434">
            <v>0</v>
          </cell>
          <cell r="G434">
            <v>0</v>
          </cell>
          <cell r="H434">
            <v>0</v>
          </cell>
          <cell r="I434">
            <v>0</v>
          </cell>
          <cell r="J434">
            <v>0</v>
          </cell>
        </row>
        <row r="435">
          <cell r="B435" t="str">
            <v>1.1.06.15.83</v>
          </cell>
          <cell r="C435" t="str">
            <v>Piutang Pendapatan dari Pengembalian Kelebihan Pembayaran Belanja Bantuan Keuangan Kabupaten/Kota ke Daerah Provinsi</v>
          </cell>
          <cell r="F435">
            <v>0</v>
          </cell>
          <cell r="G435">
            <v>0</v>
          </cell>
          <cell r="H435">
            <v>0</v>
          </cell>
          <cell r="I435">
            <v>0</v>
          </cell>
          <cell r="J435">
            <v>0</v>
          </cell>
        </row>
        <row r="436">
          <cell r="B436" t="str">
            <v>1.1.06.15.84</v>
          </cell>
          <cell r="C436" t="str">
            <v>Piutang Pendapatan dari Pengembalian Kelebihan Pembayaran Belanja Bantuan Keuangan Daerah Provinsi atau Kabupaten/Kota kepada Desa</v>
          </cell>
          <cell r="F436">
            <v>0</v>
          </cell>
          <cell r="G436">
            <v>0</v>
          </cell>
          <cell r="H436">
            <v>0</v>
          </cell>
          <cell r="I436">
            <v>0</v>
          </cell>
          <cell r="J436">
            <v>0</v>
          </cell>
        </row>
        <row r="437">
          <cell r="B437" t="str">
            <v>1.1.06.15.85</v>
          </cell>
          <cell r="C437" t="str">
            <v>Piutang Pendapatan dari Pengembalian Kelebihan Pembayaran Belanja Transfer Dana Otonomi Khusus Provinsi kepada Kabupaten/Kota</v>
          </cell>
          <cell r="F437">
            <v>0</v>
          </cell>
          <cell r="G437">
            <v>0</v>
          </cell>
          <cell r="H437">
            <v>0</v>
          </cell>
          <cell r="I437">
            <v>0</v>
          </cell>
          <cell r="J437">
            <v>0</v>
          </cell>
        </row>
        <row r="438">
          <cell r="B438" t="str">
            <v>1.1.06.15.86</v>
          </cell>
          <cell r="C438" t="str">
            <v>Piutang Pendapatan dari Pengembalian Kelebihan Pembayaran Belanja Gaji dan Tunjangan Perangkat Lembaga Wali Nanggroe</v>
          </cell>
          <cell r="F438">
            <v>0</v>
          </cell>
          <cell r="G438">
            <v>0</v>
          </cell>
          <cell r="H438">
            <v>0</v>
          </cell>
          <cell r="I438">
            <v>0</v>
          </cell>
          <cell r="J438">
            <v>0</v>
          </cell>
        </row>
        <row r="439">
          <cell r="B439" t="str">
            <v>1.1.06.15.87</v>
          </cell>
          <cell r="C439" t="str">
            <v>Piutang Pendapatan dari Pengembalian Kelebihan Pembayaran Belanja Hibah Dana BOSP</v>
          </cell>
          <cell r="F439">
            <v>0</v>
          </cell>
          <cell r="G439">
            <v>0</v>
          </cell>
          <cell r="H439">
            <v>0</v>
          </cell>
          <cell r="I439">
            <v>0</v>
          </cell>
          <cell r="J439">
            <v>0</v>
          </cell>
        </row>
        <row r="440">
          <cell r="B440" t="str">
            <v>1.1.06.15.88</v>
          </cell>
          <cell r="C440" t="str">
            <v>Piutang Pendapatan dari Pengembalian Kelebihan Pembayaran Belanja Pegawai BOS, Belanja Barang dan Jasa BOS, Belanja Modal Peralatan dan Mesin BOS, serta Belanja Modal Aset Tetap Lainnya BOS</v>
          </cell>
          <cell r="F440">
            <v>0</v>
          </cell>
          <cell r="G440">
            <v>0</v>
          </cell>
          <cell r="H440">
            <v>0</v>
          </cell>
          <cell r="I440">
            <v>0</v>
          </cell>
          <cell r="J440">
            <v>0</v>
          </cell>
        </row>
        <row r="441">
          <cell r="B441" t="str">
            <v>1.1.06.15.89</v>
          </cell>
          <cell r="C441" t="str">
            <v>Piutang Pendapatan dari Pengembalian Kelebihan Pembayaran Belanja Pegawai BOSP, Belanja Barang dan Jasa BOSP, Belanja Modal Peralatan dan Mesin BOSP, dan Belanja Modal Aset Tetap Lainnya BOSP</v>
          </cell>
          <cell r="F441">
            <v>0</v>
          </cell>
          <cell r="G441">
            <v>0</v>
          </cell>
          <cell r="H441">
            <v>0</v>
          </cell>
          <cell r="I441">
            <v>0</v>
          </cell>
          <cell r="J441">
            <v>0</v>
          </cell>
        </row>
        <row r="442">
          <cell r="B442" t="str">
            <v>1.1.06.15.90</v>
          </cell>
          <cell r="C442" t="str">
            <v>Piutang Pendapatan dari Pengembalian Kelebihan Pembayaran Belanja Barang dan Jasa BOK Puskesmas</v>
          </cell>
          <cell r="F442">
            <v>0</v>
          </cell>
          <cell r="G442">
            <v>0</v>
          </cell>
          <cell r="H442">
            <v>0</v>
          </cell>
          <cell r="I442">
            <v>0</v>
          </cell>
          <cell r="J442">
            <v>0</v>
          </cell>
        </row>
        <row r="443">
          <cell r="B443" t="str">
            <v>1.1.06.15.91</v>
          </cell>
          <cell r="C443" t="str">
            <v>Piutang Pendapatan dari Pengembalian Kelebihan Pembayaran Belanja Hibah kepada BUMDesa</v>
          </cell>
          <cell r="F443">
            <v>0</v>
          </cell>
          <cell r="G443">
            <v>0</v>
          </cell>
          <cell r="H443">
            <v>0</v>
          </cell>
          <cell r="I443">
            <v>0</v>
          </cell>
          <cell r="J443">
            <v>0</v>
          </cell>
        </row>
        <row r="444">
          <cell r="B444" t="str">
            <v>1.1.06.15.92</v>
          </cell>
          <cell r="C444" t="str">
            <v>Piutang Pendapatan dari Pengembalian Kelebihan Pembayaran Belanja Hibah kepada Koperasi</v>
          </cell>
          <cell r="F444">
            <v>0</v>
          </cell>
          <cell r="G444">
            <v>0</v>
          </cell>
          <cell r="H444">
            <v>0</v>
          </cell>
          <cell r="I444">
            <v>0</v>
          </cell>
          <cell r="J444">
            <v>0</v>
          </cell>
        </row>
        <row r="445">
          <cell r="B445" t="str">
            <v>1.1.06.15.93</v>
          </cell>
          <cell r="C445" t="str">
            <v>Piutang Pendapatan dari Pengembalian Kelebihan Pembayaran Belanja Imbalan-Imbalan Sukuk Daerah</v>
          </cell>
          <cell r="F445">
            <v>0</v>
          </cell>
          <cell r="G445">
            <v>0</v>
          </cell>
          <cell r="H445">
            <v>0</v>
          </cell>
          <cell r="I445">
            <v>0</v>
          </cell>
          <cell r="J445">
            <v>0</v>
          </cell>
        </row>
        <row r="446">
          <cell r="B446" t="str">
            <v>1.1.06.15.94</v>
          </cell>
          <cell r="C446" t="str">
            <v>Piutang Pendapatan dari Pengembalian Kelebihan Pembayaran Belanja Bunga Pembiayaan Utang Daerah-Pinjaman Daerah</v>
          </cell>
          <cell r="F446">
            <v>0</v>
          </cell>
          <cell r="G446">
            <v>0</v>
          </cell>
          <cell r="H446">
            <v>0</v>
          </cell>
          <cell r="I446">
            <v>0</v>
          </cell>
          <cell r="J446">
            <v>0</v>
          </cell>
        </row>
        <row r="447">
          <cell r="B447" t="str">
            <v>1.1.06.15.95</v>
          </cell>
          <cell r="C447" t="str">
            <v>Piutang Pendapatan dari Pengembalian Kelebihan Pembayaran Belanja Bunga Pembiayaan Utang Daerah-Obligasi Daerah</v>
          </cell>
          <cell r="F447">
            <v>0</v>
          </cell>
          <cell r="G447">
            <v>0</v>
          </cell>
          <cell r="H447">
            <v>0</v>
          </cell>
          <cell r="I447">
            <v>0</v>
          </cell>
          <cell r="J447">
            <v>0</v>
          </cell>
        </row>
        <row r="448">
          <cell r="B448" t="str">
            <v>1.1.06.15.99</v>
          </cell>
          <cell r="C448" t="str">
            <v>Piutang 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F448">
            <v>0</v>
          </cell>
          <cell r="G448">
            <v>0</v>
          </cell>
          <cell r="H448">
            <v>0</v>
          </cell>
          <cell r="I448">
            <v>0</v>
          </cell>
          <cell r="J448">
            <v>0</v>
          </cell>
        </row>
        <row r="449">
          <cell r="B449" t="str">
            <v>1.1.06.16</v>
          </cell>
          <cell r="C449" t="str">
            <v>Piutang Pendapatan BLUD</v>
          </cell>
          <cell r="D449">
            <v>4210835832</v>
          </cell>
          <cell r="E449">
            <v>0</v>
          </cell>
          <cell r="J449">
            <v>4809104675</v>
          </cell>
        </row>
        <row r="450">
          <cell r="B450" t="str">
            <v>1.1.06.16.01</v>
          </cell>
          <cell r="C450" t="str">
            <v>Piutang Pendapatan BLUD</v>
          </cell>
          <cell r="F450">
            <v>0</v>
          </cell>
          <cell r="G450">
            <v>0</v>
          </cell>
          <cell r="H450">
            <v>0</v>
          </cell>
          <cell r="I450">
            <v>0</v>
          </cell>
          <cell r="J450">
            <v>0</v>
          </cell>
        </row>
        <row r="451">
          <cell r="B451" t="str">
            <v>1.1.06.16.02</v>
          </cell>
          <cell r="C451" t="str">
            <v>Piutang Pendapatan BLUD dari Jasa Layanan</v>
          </cell>
          <cell r="D451">
            <v>4210835832</v>
          </cell>
          <cell r="F451">
            <v>0</v>
          </cell>
          <cell r="G451">
            <v>0</v>
          </cell>
          <cell r="H451">
            <v>4809104675</v>
          </cell>
          <cell r="I451">
            <v>0</v>
          </cell>
          <cell r="J451">
            <v>4809104675</v>
          </cell>
        </row>
        <row r="452">
          <cell r="B452" t="str">
            <v>1.1.06.16.03</v>
          </cell>
          <cell r="C452" t="str">
            <v>Piutang Pendapatan BLUD dari Hibah</v>
          </cell>
          <cell r="F452">
            <v>0</v>
          </cell>
          <cell r="G452">
            <v>0</v>
          </cell>
          <cell r="H452">
            <v>0</v>
          </cell>
          <cell r="I452">
            <v>0</v>
          </cell>
          <cell r="J452">
            <v>0</v>
          </cell>
        </row>
        <row r="453">
          <cell r="B453" t="str">
            <v>1.1.06.16.04</v>
          </cell>
          <cell r="C453" t="str">
            <v>Piutang Pendapatan BLUD dari Hasil Kerja Sama dengan Pihak Lain</v>
          </cell>
          <cell r="F453">
            <v>0</v>
          </cell>
          <cell r="G453">
            <v>0</v>
          </cell>
          <cell r="H453">
            <v>0</v>
          </cell>
          <cell r="I453">
            <v>0</v>
          </cell>
          <cell r="J453">
            <v>0</v>
          </cell>
        </row>
        <row r="454">
          <cell r="B454" t="str">
            <v>1.1.06.16.05</v>
          </cell>
          <cell r="C454" t="str">
            <v>Piutang Pendapatan BLUD dari APBD</v>
          </cell>
          <cell r="F454">
            <v>0</v>
          </cell>
          <cell r="G454">
            <v>0</v>
          </cell>
          <cell r="H454">
            <v>0</v>
          </cell>
          <cell r="I454">
            <v>0</v>
          </cell>
          <cell r="J454">
            <v>0</v>
          </cell>
        </row>
        <row r="455">
          <cell r="B455" t="str">
            <v>1.1.06.16.06</v>
          </cell>
          <cell r="C455" t="str">
            <v>Piutang Pendapatan BLUD dari Lain-Lain Pendapatan BLUD yang Sah</v>
          </cell>
          <cell r="F455">
            <v>0</v>
          </cell>
          <cell r="G455">
            <v>0</v>
          </cell>
          <cell r="H455">
            <v>0</v>
          </cell>
          <cell r="I455">
            <v>0</v>
          </cell>
          <cell r="J455">
            <v>0</v>
          </cell>
        </row>
        <row r="456">
          <cell r="B456" t="str">
            <v>1.1.06.17</v>
          </cell>
          <cell r="C456" t="str">
            <v>Piutang Pendapatan Denda Pemanfaatan BMD yang Tidak Dipisahkan</v>
          </cell>
          <cell r="D456">
            <v>0</v>
          </cell>
          <cell r="E456">
            <v>0</v>
          </cell>
          <cell r="J456">
            <v>0</v>
          </cell>
        </row>
        <row r="457">
          <cell r="B457" t="str">
            <v>1.1.06.17.01</v>
          </cell>
          <cell r="C457" t="str">
            <v>Piutang Pendapatan Denda Pengakhiran Sewa BMD</v>
          </cell>
          <cell r="F457">
            <v>0</v>
          </cell>
          <cell r="G457">
            <v>0</v>
          </cell>
          <cell r="H457">
            <v>0</v>
          </cell>
          <cell r="I457">
            <v>0</v>
          </cell>
          <cell r="J457">
            <v>0</v>
          </cell>
        </row>
        <row r="458">
          <cell r="B458" t="str">
            <v>1.1.06.17.02</v>
          </cell>
          <cell r="C458" t="str">
            <v>Piutang Pendapatan Denda Hasil dari Kerja Sama Penyediaan Infrastruktur</v>
          </cell>
          <cell r="F458">
            <v>0</v>
          </cell>
          <cell r="G458">
            <v>0</v>
          </cell>
          <cell r="H458">
            <v>0</v>
          </cell>
          <cell r="I458">
            <v>0</v>
          </cell>
          <cell r="J458">
            <v>0</v>
          </cell>
        </row>
        <row r="459">
          <cell r="B459" t="str">
            <v>1.1.06.18</v>
          </cell>
          <cell r="C459" t="str">
            <v>Piutang Pendapatan Dana Kapitasi Jaminan Kesehatan Nasional (JKN) pada Fasilitas Kesehatan Tingkat Pertama (FKTP)</v>
          </cell>
          <cell r="D459">
            <v>0</v>
          </cell>
          <cell r="E459">
            <v>0</v>
          </cell>
          <cell r="J459">
            <v>0</v>
          </cell>
        </row>
        <row r="460">
          <cell r="B460" t="str">
            <v>1.1.06.18.01</v>
          </cell>
          <cell r="C460" t="str">
            <v>Piutang Pendapatan Dana Kapitasi JKN pada FKTP</v>
          </cell>
          <cell r="F460">
            <v>0</v>
          </cell>
          <cell r="G460">
            <v>0</v>
          </cell>
          <cell r="H460">
            <v>0</v>
          </cell>
          <cell r="I460">
            <v>0</v>
          </cell>
          <cell r="J460">
            <v>0</v>
          </cell>
        </row>
        <row r="461">
          <cell r="B461" t="str">
            <v>1.1.06.19</v>
          </cell>
          <cell r="C461" t="str">
            <v>Piutang Pendapatan Hasil Pengelolaan Dana Bergulir</v>
          </cell>
          <cell r="D461">
            <v>0</v>
          </cell>
          <cell r="E461">
            <v>0</v>
          </cell>
          <cell r="J461">
            <v>0</v>
          </cell>
        </row>
        <row r="462">
          <cell r="B462" t="str">
            <v>1.1.06.19.01</v>
          </cell>
          <cell r="C462" t="str">
            <v>Piutang Pendapatan Hasil Pengelolaan Dana Bergulir</v>
          </cell>
          <cell r="F462">
            <v>0</v>
          </cell>
          <cell r="G462">
            <v>0</v>
          </cell>
          <cell r="H462">
            <v>0</v>
          </cell>
          <cell r="I462">
            <v>0</v>
          </cell>
          <cell r="J462">
            <v>0</v>
          </cell>
        </row>
        <row r="463">
          <cell r="B463" t="str">
            <v>1.1.06.20</v>
          </cell>
          <cell r="C463" t="str">
            <v>Piutang Pendapatan Berdasarkan Putusan Pengadilan (Inkracht)</v>
          </cell>
          <cell r="D463">
            <v>0</v>
          </cell>
          <cell r="E463">
            <v>0</v>
          </cell>
          <cell r="J463">
            <v>0</v>
          </cell>
        </row>
        <row r="464">
          <cell r="B464" t="str">
            <v>1.1.06.20.01</v>
          </cell>
          <cell r="C464" t="str">
            <v>Piutang Pendapatan Berdasarkan Putusan Pengadilan (Inkracht)</v>
          </cell>
          <cell r="F464">
            <v>0</v>
          </cell>
          <cell r="G464">
            <v>0</v>
          </cell>
          <cell r="H464">
            <v>0</v>
          </cell>
          <cell r="I464">
            <v>0</v>
          </cell>
          <cell r="J464">
            <v>0</v>
          </cell>
        </row>
        <row r="465">
          <cell r="B465" t="str">
            <v>1.1.06.21</v>
          </cell>
          <cell r="C465" t="str">
            <v>Piutang Pendapatan Denda atas Pelanggaran Peraturan Daerah</v>
          </cell>
          <cell r="D465">
            <v>0</v>
          </cell>
          <cell r="E465">
            <v>0</v>
          </cell>
          <cell r="J465">
            <v>0</v>
          </cell>
        </row>
        <row r="466">
          <cell r="B466" t="str">
            <v>1.1.06.21.01</v>
          </cell>
          <cell r="C466" t="str">
            <v>Piutang Pendapatan Denda atas Pelanggaran Peraturan Daerah</v>
          </cell>
          <cell r="F466">
            <v>0</v>
          </cell>
          <cell r="G466">
            <v>0</v>
          </cell>
          <cell r="H466">
            <v>0</v>
          </cell>
          <cell r="I466">
            <v>0</v>
          </cell>
          <cell r="J466">
            <v>0</v>
          </cell>
        </row>
        <row r="467">
          <cell r="B467" t="str">
            <v>1.1.06.22</v>
          </cell>
          <cell r="C467" t="str">
            <v>Piutang Pendapatan Zakat, Infaq, Shadaqah, dan Wakaf</v>
          </cell>
          <cell r="D467">
            <v>0</v>
          </cell>
          <cell r="E467">
            <v>0</v>
          </cell>
          <cell r="J467">
            <v>0</v>
          </cell>
        </row>
        <row r="468">
          <cell r="B468" t="str">
            <v>1.1.06.22.01</v>
          </cell>
          <cell r="C468" t="str">
            <v>Piutang Pendapatan Zakat</v>
          </cell>
          <cell r="F468">
            <v>0</v>
          </cell>
          <cell r="G468">
            <v>0</v>
          </cell>
          <cell r="H468">
            <v>0</v>
          </cell>
          <cell r="I468">
            <v>0</v>
          </cell>
          <cell r="J468">
            <v>0</v>
          </cell>
        </row>
        <row r="469">
          <cell r="B469" t="str">
            <v>1.1.06.22.02</v>
          </cell>
          <cell r="C469" t="str">
            <v>Piutang Pendapatan Infaq</v>
          </cell>
          <cell r="F469">
            <v>0</v>
          </cell>
          <cell r="G469">
            <v>0</v>
          </cell>
          <cell r="H469">
            <v>0</v>
          </cell>
          <cell r="I469">
            <v>0</v>
          </cell>
          <cell r="J469">
            <v>0</v>
          </cell>
        </row>
        <row r="470">
          <cell r="B470" t="str">
            <v>1.1.06.22.03</v>
          </cell>
          <cell r="C470" t="str">
            <v>Piutang Pendapatan Shadaqah</v>
          </cell>
          <cell r="F470">
            <v>0</v>
          </cell>
          <cell r="G470">
            <v>0</v>
          </cell>
          <cell r="H470">
            <v>0</v>
          </cell>
          <cell r="I470">
            <v>0</v>
          </cell>
          <cell r="J470">
            <v>0</v>
          </cell>
        </row>
        <row r="471">
          <cell r="B471" t="str">
            <v>1.1.06.22.04</v>
          </cell>
          <cell r="C471" t="str">
            <v>Piutang Pendapatan Wakaf</v>
          </cell>
          <cell r="F471">
            <v>0</v>
          </cell>
          <cell r="G471">
            <v>0</v>
          </cell>
          <cell r="H471">
            <v>0</v>
          </cell>
          <cell r="I471">
            <v>0</v>
          </cell>
          <cell r="J471">
            <v>0</v>
          </cell>
        </row>
        <row r="472">
          <cell r="B472" t="str">
            <v>1.1.06.23</v>
          </cell>
          <cell r="C472" t="str">
            <v>Piutang Pendapatan Hasil Pelaksanaan Perjanjian/Kontrak</v>
          </cell>
          <cell r="D472">
            <v>0</v>
          </cell>
          <cell r="E472">
            <v>0</v>
          </cell>
          <cell r="J472">
            <v>0</v>
          </cell>
        </row>
        <row r="473">
          <cell r="B473" t="str">
            <v>1.1.06.23.01</v>
          </cell>
          <cell r="C473" t="str">
            <v>Piutang Pendapatan Hasil Pelaksanaan Perjanjian/Kontrak</v>
          </cell>
          <cell r="F473">
            <v>0</v>
          </cell>
          <cell r="G473">
            <v>0</v>
          </cell>
          <cell r="H473">
            <v>0</v>
          </cell>
          <cell r="I473">
            <v>0</v>
          </cell>
          <cell r="J473">
            <v>0</v>
          </cell>
        </row>
        <row r="474">
          <cell r="B474" t="str">
            <v>1.1.06.24</v>
          </cell>
          <cell r="C474" t="str">
            <v>Piutang Pungutan bagi Wisatawan Asing</v>
          </cell>
          <cell r="D474">
            <v>0</v>
          </cell>
          <cell r="E474">
            <v>0</v>
          </cell>
          <cell r="J474">
            <v>0</v>
          </cell>
        </row>
        <row r="475">
          <cell r="B475" t="str">
            <v>1.1.06.24.01</v>
          </cell>
          <cell r="C475" t="str">
            <v>Piutang Pungutan bagi Wisatawan Asing</v>
          </cell>
          <cell r="F475">
            <v>0</v>
          </cell>
          <cell r="G475">
            <v>0</v>
          </cell>
          <cell r="H475">
            <v>0</v>
          </cell>
          <cell r="I475">
            <v>0</v>
          </cell>
          <cell r="J475">
            <v>0</v>
          </cell>
        </row>
        <row r="476">
          <cell r="B476" t="str">
            <v>1.1.06.25</v>
          </cell>
          <cell r="C476" t="str">
            <v>Piutang Hasil Pengelolaan Dana Abadi Daerah</v>
          </cell>
          <cell r="D476">
            <v>0</v>
          </cell>
          <cell r="E476">
            <v>0</v>
          </cell>
          <cell r="J476">
            <v>0</v>
          </cell>
        </row>
        <row r="477">
          <cell r="B477" t="str">
            <v>1.1.06.25.01</v>
          </cell>
          <cell r="C477" t="str">
            <v>Piutang Hasil Pengelolaan Dana Abadi Daerah</v>
          </cell>
          <cell r="F477">
            <v>0</v>
          </cell>
          <cell r="G477">
            <v>0</v>
          </cell>
          <cell r="H477">
            <v>0</v>
          </cell>
          <cell r="I477">
            <v>0</v>
          </cell>
          <cell r="J477">
            <v>0</v>
          </cell>
        </row>
        <row r="478">
          <cell r="B478" t="str">
            <v>1.1.06.26</v>
          </cell>
          <cell r="C478" t="str">
            <v>Piutang Hasil Pengelolaan Dana Cadangan</v>
          </cell>
          <cell r="D478">
            <v>0</v>
          </cell>
          <cell r="E478">
            <v>0</v>
          </cell>
          <cell r="J478">
            <v>0</v>
          </cell>
        </row>
        <row r="479">
          <cell r="B479" t="str">
            <v>1.1.06.26.01</v>
          </cell>
          <cell r="C479" t="str">
            <v>Piutang Hasil Pengelolaan Dana Cadangan</v>
          </cell>
          <cell r="F479">
            <v>0</v>
          </cell>
          <cell r="G479">
            <v>0</v>
          </cell>
          <cell r="H479">
            <v>0</v>
          </cell>
          <cell r="I479">
            <v>0</v>
          </cell>
          <cell r="J479">
            <v>0</v>
          </cell>
        </row>
        <row r="480">
          <cell r="B480" t="str">
            <v>1.1.06.27</v>
          </cell>
          <cell r="C480" t="str">
            <v>Piutang Pendapatan atas Sanksi Administrasi Pajak Daerah</v>
          </cell>
          <cell r="D480">
            <v>0</v>
          </cell>
          <cell r="E480">
            <v>0</v>
          </cell>
          <cell r="J480">
            <v>0</v>
          </cell>
        </row>
        <row r="481">
          <cell r="B481" t="str">
            <v>1.1.06.27.01</v>
          </cell>
          <cell r="C481" t="str">
            <v>Piutang Pendapatan Denda</v>
          </cell>
          <cell r="F481">
            <v>0</v>
          </cell>
          <cell r="G481">
            <v>0</v>
          </cell>
          <cell r="H481">
            <v>0</v>
          </cell>
          <cell r="I481">
            <v>0</v>
          </cell>
          <cell r="J481">
            <v>0</v>
          </cell>
        </row>
        <row r="482">
          <cell r="B482" t="str">
            <v>1.1.06.27.02</v>
          </cell>
          <cell r="C482" t="str">
            <v>Piutang Pendapatan Bunga</v>
          </cell>
          <cell r="F482">
            <v>0</v>
          </cell>
          <cell r="G482">
            <v>0</v>
          </cell>
          <cell r="H482">
            <v>0</v>
          </cell>
          <cell r="I482">
            <v>0</v>
          </cell>
          <cell r="J482">
            <v>0</v>
          </cell>
        </row>
        <row r="483">
          <cell r="B483" t="str">
            <v>1.1.06.27.03</v>
          </cell>
          <cell r="C483" t="str">
            <v>Piutang Pendapatan Kenaikan Pokok Pajak</v>
          </cell>
          <cell r="F483">
            <v>0</v>
          </cell>
          <cell r="G483">
            <v>0</v>
          </cell>
          <cell r="H483">
            <v>0</v>
          </cell>
          <cell r="I483">
            <v>0</v>
          </cell>
          <cell r="J483">
            <v>0</v>
          </cell>
        </row>
        <row r="484">
          <cell r="B484" t="str">
            <v>1.1.06.28</v>
          </cell>
          <cell r="C484" t="str">
            <v>Piutang Pendapatan atas Sanksi Administrasi Retribusi Daerah</v>
          </cell>
          <cell r="D484">
            <v>0</v>
          </cell>
          <cell r="E484">
            <v>0</v>
          </cell>
          <cell r="J484">
            <v>0</v>
          </cell>
        </row>
        <row r="485">
          <cell r="B485" t="str">
            <v>1.1.06.28.01</v>
          </cell>
          <cell r="C485" t="str">
            <v>Piutang Pendapatan Denda</v>
          </cell>
          <cell r="F485">
            <v>0</v>
          </cell>
          <cell r="G485">
            <v>0</v>
          </cell>
          <cell r="H485">
            <v>0</v>
          </cell>
          <cell r="I485">
            <v>0</v>
          </cell>
          <cell r="J485">
            <v>0</v>
          </cell>
        </row>
        <row r="486">
          <cell r="B486" t="str">
            <v>1.1.06.28.02</v>
          </cell>
          <cell r="C486" t="str">
            <v>Piutang Pendapatan Bunga</v>
          </cell>
          <cell r="F486">
            <v>0</v>
          </cell>
          <cell r="G486">
            <v>0</v>
          </cell>
          <cell r="H486">
            <v>0</v>
          </cell>
          <cell r="I486">
            <v>0</v>
          </cell>
          <cell r="J486">
            <v>0</v>
          </cell>
        </row>
        <row r="488">
          <cell r="B488" t="str">
            <v>1.1.07</v>
          </cell>
          <cell r="C488" t="str">
            <v>Piutang Transfer Pemerintah Pusat</v>
          </cell>
          <cell r="D488">
            <v>9452884000</v>
          </cell>
          <cell r="E488">
            <v>3948908000</v>
          </cell>
          <cell r="J488">
            <v>76837538000</v>
          </cell>
        </row>
        <row r="489">
          <cell r="B489" t="str">
            <v>1.1.07.01</v>
          </cell>
          <cell r="C489" t="str">
            <v>Piutang Dana Perimbangan</v>
          </cell>
          <cell r="D489">
            <v>9452884000</v>
          </cell>
          <cell r="E489">
            <v>3948908000</v>
          </cell>
          <cell r="J489">
            <v>76837538000</v>
          </cell>
        </row>
        <row r="490">
          <cell r="B490" t="str">
            <v>1.1.07.01.01</v>
          </cell>
          <cell r="C490" t="str">
            <v>Piutang Dana Transfer Umum-DBH</v>
          </cell>
          <cell r="D490">
            <v>9452884000</v>
          </cell>
          <cell r="E490">
            <v>3948908000</v>
          </cell>
          <cell r="F490">
            <v>72888630000</v>
          </cell>
          <cell r="G490">
            <v>0</v>
          </cell>
          <cell r="H490">
            <v>0</v>
          </cell>
          <cell r="I490">
            <v>0</v>
          </cell>
          <cell r="J490">
            <v>76837538000</v>
          </cell>
        </row>
        <row r="491">
          <cell r="B491" t="str">
            <v>1.1.07.01.02</v>
          </cell>
          <cell r="C491" t="str">
            <v>Piutang Dana Transfer Umum-Dana Alokasi umum (DAU)</v>
          </cell>
          <cell r="F491">
            <v>0</v>
          </cell>
          <cell r="G491">
            <v>0</v>
          </cell>
          <cell r="H491">
            <v>0</v>
          </cell>
          <cell r="I491">
            <v>0</v>
          </cell>
          <cell r="J491">
            <v>0</v>
          </cell>
        </row>
        <row r="492">
          <cell r="B492" t="str">
            <v>1.1.07.01.03</v>
          </cell>
          <cell r="C492" t="str">
            <v>Piutang Dana Transfer Khusus-Dana Alokasi Khusus (DAK) Fisik</v>
          </cell>
          <cell r="F492">
            <v>0</v>
          </cell>
          <cell r="G492">
            <v>0</v>
          </cell>
          <cell r="H492">
            <v>0</v>
          </cell>
          <cell r="I492">
            <v>0</v>
          </cell>
          <cell r="J492">
            <v>0</v>
          </cell>
        </row>
        <row r="493">
          <cell r="B493" t="str">
            <v>1.1.07.01.04</v>
          </cell>
          <cell r="C493" t="str">
            <v>Piutang Dana Transfer Khusus Non Fisik-DAK Non Fisik</v>
          </cell>
          <cell r="F493">
            <v>0</v>
          </cell>
          <cell r="G493">
            <v>0</v>
          </cell>
          <cell r="H493">
            <v>0</v>
          </cell>
          <cell r="I493">
            <v>0</v>
          </cell>
          <cell r="J493">
            <v>0</v>
          </cell>
        </row>
        <row r="494">
          <cell r="B494" t="str">
            <v>1.1.07.02</v>
          </cell>
          <cell r="C494" t="str">
            <v>Piutang Dana Insentif Daerah (DID)</v>
          </cell>
          <cell r="D494">
            <v>0</v>
          </cell>
          <cell r="E494">
            <v>0</v>
          </cell>
          <cell r="J494">
            <v>0</v>
          </cell>
        </row>
        <row r="495">
          <cell r="B495" t="str">
            <v>1.1.07.02.01</v>
          </cell>
          <cell r="C495" t="str">
            <v>Piutang DID</v>
          </cell>
          <cell r="F495">
            <v>0</v>
          </cell>
          <cell r="G495">
            <v>0</v>
          </cell>
          <cell r="H495">
            <v>0</v>
          </cell>
          <cell r="I495">
            <v>0</v>
          </cell>
          <cell r="J495">
            <v>0</v>
          </cell>
        </row>
        <row r="496">
          <cell r="B496" t="str">
            <v>1.1.07.03</v>
          </cell>
          <cell r="C496" t="str">
            <v>Piutang Dana Otonomi Khusus dan Tambahan Infrastruktur</v>
          </cell>
          <cell r="D496">
            <v>0</v>
          </cell>
          <cell r="E496">
            <v>0</v>
          </cell>
          <cell r="J496">
            <v>0</v>
          </cell>
        </row>
        <row r="497">
          <cell r="B497" t="str">
            <v>1.1.07.03.01</v>
          </cell>
          <cell r="C497" t="str">
            <v>Piutang Dana Otonomi Khusus-Provinsi Papua</v>
          </cell>
          <cell r="F497">
            <v>0</v>
          </cell>
          <cell r="G497">
            <v>0</v>
          </cell>
          <cell r="H497">
            <v>0</v>
          </cell>
          <cell r="I497">
            <v>0</v>
          </cell>
          <cell r="J497">
            <v>0</v>
          </cell>
        </row>
        <row r="498">
          <cell r="B498" t="str">
            <v>1.1.07.03.02</v>
          </cell>
          <cell r="C498" t="str">
            <v>Piutang Dana Otonomi Khusus-Provinsi Papua Barat</v>
          </cell>
          <cell r="F498">
            <v>0</v>
          </cell>
          <cell r="G498">
            <v>0</v>
          </cell>
          <cell r="H498">
            <v>0</v>
          </cell>
          <cell r="I498">
            <v>0</v>
          </cell>
          <cell r="J498">
            <v>0</v>
          </cell>
        </row>
        <row r="499">
          <cell r="B499" t="str">
            <v>1.1.07.03.03</v>
          </cell>
          <cell r="C499" t="str">
            <v>Piutang Dana Otonomi Khusus-Provinsi Aceh</v>
          </cell>
          <cell r="F499">
            <v>0</v>
          </cell>
          <cell r="G499">
            <v>0</v>
          </cell>
          <cell r="H499">
            <v>0</v>
          </cell>
          <cell r="I499">
            <v>0</v>
          </cell>
          <cell r="J499">
            <v>0</v>
          </cell>
        </row>
        <row r="500">
          <cell r="B500" t="str">
            <v>1.1.07.03.04</v>
          </cell>
          <cell r="C500" t="str">
            <v>Piutang Dana Tambahan Infrastruktur dalam rangka Otonomi Khusus Provinsi Papua</v>
          </cell>
          <cell r="F500">
            <v>0</v>
          </cell>
          <cell r="G500">
            <v>0</v>
          </cell>
          <cell r="H500">
            <v>0</v>
          </cell>
          <cell r="I500">
            <v>0</v>
          </cell>
          <cell r="J500">
            <v>0</v>
          </cell>
        </row>
        <row r="501">
          <cell r="B501" t="str">
            <v>1.1.07.03.05</v>
          </cell>
          <cell r="C501" t="str">
            <v>Piutang Dana Tambahan Infrastruktur dalam rangka Otonomi Khusus Provinsi Papua Barat</v>
          </cell>
          <cell r="F501">
            <v>0</v>
          </cell>
          <cell r="G501">
            <v>0</v>
          </cell>
          <cell r="H501">
            <v>0</v>
          </cell>
          <cell r="I501">
            <v>0</v>
          </cell>
          <cell r="J501">
            <v>0</v>
          </cell>
        </row>
        <row r="502">
          <cell r="B502" t="str">
            <v>1.1.07.03.06</v>
          </cell>
          <cell r="C502" t="str">
            <v>Piutang Dana Bagi Hasil (DBH) Minyak dan Gas Otonomi Khusus Papua</v>
          </cell>
          <cell r="F502">
            <v>0</v>
          </cell>
          <cell r="G502">
            <v>0</v>
          </cell>
          <cell r="H502">
            <v>0</v>
          </cell>
          <cell r="I502">
            <v>0</v>
          </cell>
          <cell r="J502">
            <v>0</v>
          </cell>
        </row>
        <row r="503">
          <cell r="B503" t="str">
            <v>1.1.07.03.07</v>
          </cell>
          <cell r="C503" t="str">
            <v>Piutang Dana Bagi Hasil (DBH) Minyak dan Gas Otonomi Khusus Aceh</v>
          </cell>
          <cell r="F503">
            <v>0</v>
          </cell>
          <cell r="G503">
            <v>0</v>
          </cell>
          <cell r="H503">
            <v>0</v>
          </cell>
          <cell r="I503">
            <v>0</v>
          </cell>
          <cell r="J503">
            <v>0</v>
          </cell>
        </row>
        <row r="504">
          <cell r="B504" t="str">
            <v>1.1.07.03.08</v>
          </cell>
          <cell r="C504" t="str">
            <v>Piutang Dana Otonomi Khusus 1%-Papua</v>
          </cell>
          <cell r="F504">
            <v>0</v>
          </cell>
          <cell r="G504">
            <v>0</v>
          </cell>
          <cell r="H504">
            <v>0</v>
          </cell>
          <cell r="I504">
            <v>0</v>
          </cell>
          <cell r="J504">
            <v>0</v>
          </cell>
        </row>
        <row r="505">
          <cell r="B505" t="str">
            <v>1.1.07.03.09</v>
          </cell>
          <cell r="C505" t="str">
            <v>Piutang DBH SDA Pertambangan Minyak Bumi-Papua</v>
          </cell>
          <cell r="F505">
            <v>0</v>
          </cell>
          <cell r="G505">
            <v>0</v>
          </cell>
          <cell r="H505">
            <v>0</v>
          </cell>
          <cell r="I505">
            <v>0</v>
          </cell>
          <cell r="J505">
            <v>0</v>
          </cell>
        </row>
        <row r="506">
          <cell r="B506" t="str">
            <v>1.1.07.03.10</v>
          </cell>
          <cell r="C506" t="str">
            <v>Piutang DBH SDA Pertambangan Gas Alam-Papua</v>
          </cell>
          <cell r="F506">
            <v>0</v>
          </cell>
          <cell r="G506">
            <v>0</v>
          </cell>
          <cell r="H506">
            <v>0</v>
          </cell>
          <cell r="I506">
            <v>0</v>
          </cell>
          <cell r="J506">
            <v>0</v>
          </cell>
        </row>
        <row r="507">
          <cell r="B507" t="str">
            <v>1.1.07.03.11</v>
          </cell>
          <cell r="C507" t="str">
            <v>Piutang Dana Otonomi Khusus 1,25%-Papua</v>
          </cell>
          <cell r="F507">
            <v>0</v>
          </cell>
          <cell r="G507">
            <v>0</v>
          </cell>
          <cell r="H507">
            <v>0</v>
          </cell>
          <cell r="I507">
            <v>0</v>
          </cell>
          <cell r="J507">
            <v>0</v>
          </cell>
        </row>
        <row r="508">
          <cell r="B508" t="str">
            <v>1.1.07.03.12</v>
          </cell>
          <cell r="C508" t="str">
            <v>Piutang DTI-Papua</v>
          </cell>
          <cell r="F508">
            <v>0</v>
          </cell>
          <cell r="G508">
            <v>0</v>
          </cell>
          <cell r="H508">
            <v>0</v>
          </cell>
          <cell r="I508">
            <v>0</v>
          </cell>
          <cell r="J508">
            <v>0</v>
          </cell>
        </row>
        <row r="509">
          <cell r="B509" t="str">
            <v>1.1.07.03.13</v>
          </cell>
          <cell r="C509" t="str">
            <v>Piutang DBH SDA Pertambangan Minyak Bumi-Aceh</v>
          </cell>
          <cell r="F509">
            <v>0</v>
          </cell>
          <cell r="G509">
            <v>0</v>
          </cell>
          <cell r="H509">
            <v>0</v>
          </cell>
          <cell r="I509">
            <v>0</v>
          </cell>
          <cell r="J509">
            <v>0</v>
          </cell>
        </row>
        <row r="510">
          <cell r="B510" t="str">
            <v>1.1.07.03.14</v>
          </cell>
          <cell r="C510" t="str">
            <v>Piutang DBH SDA Pertambangan Gas Alam-Aceh</v>
          </cell>
          <cell r="F510">
            <v>0</v>
          </cell>
          <cell r="G510">
            <v>0</v>
          </cell>
          <cell r="H510">
            <v>0</v>
          </cell>
          <cell r="I510">
            <v>0</v>
          </cell>
          <cell r="J510">
            <v>0</v>
          </cell>
        </row>
        <row r="511">
          <cell r="B511" t="str">
            <v>1.1.07.04</v>
          </cell>
          <cell r="C511" t="str">
            <v>Piutang Dana Keistimewaan</v>
          </cell>
          <cell r="D511">
            <v>0</v>
          </cell>
          <cell r="E511">
            <v>0</v>
          </cell>
          <cell r="J511">
            <v>0</v>
          </cell>
        </row>
        <row r="512">
          <cell r="B512" t="str">
            <v>1.1.07.04.01</v>
          </cell>
          <cell r="C512" t="str">
            <v>Piutang Dana Keistimewaan Daerah Istimewa Yogyakarta</v>
          </cell>
          <cell r="F512">
            <v>0</v>
          </cell>
          <cell r="G512">
            <v>0</v>
          </cell>
          <cell r="H512">
            <v>0</v>
          </cell>
          <cell r="I512">
            <v>0</v>
          </cell>
          <cell r="J512">
            <v>0</v>
          </cell>
        </row>
        <row r="513">
          <cell r="B513" t="str">
            <v>1.1.07.05</v>
          </cell>
          <cell r="C513" t="str">
            <v>Piutang Dana Desa</v>
          </cell>
          <cell r="D513">
            <v>0</v>
          </cell>
          <cell r="E513">
            <v>0</v>
          </cell>
          <cell r="J513">
            <v>0</v>
          </cell>
        </row>
        <row r="514">
          <cell r="B514" t="str">
            <v>1.1.07.05.01</v>
          </cell>
          <cell r="C514" t="str">
            <v>Piutang Dana Desa</v>
          </cell>
          <cell r="F514">
            <v>0</v>
          </cell>
          <cell r="G514">
            <v>0</v>
          </cell>
          <cell r="H514">
            <v>0</v>
          </cell>
          <cell r="I514">
            <v>0</v>
          </cell>
          <cell r="J514">
            <v>0</v>
          </cell>
        </row>
        <row r="515">
          <cell r="B515" t="str">
            <v>1.1.07.06</v>
          </cell>
          <cell r="C515" t="str">
            <v>Piutang Insentif Fiskal</v>
          </cell>
          <cell r="D515">
            <v>0</v>
          </cell>
          <cell r="E515">
            <v>0</v>
          </cell>
          <cell r="J515">
            <v>0</v>
          </cell>
        </row>
        <row r="516">
          <cell r="B516" t="str">
            <v>1.1.07.06.01</v>
          </cell>
          <cell r="C516" t="str">
            <v>Piutang Insentif Fiskal</v>
          </cell>
          <cell r="F516">
            <v>0</v>
          </cell>
          <cell r="G516">
            <v>0</v>
          </cell>
          <cell r="H516">
            <v>0</v>
          </cell>
          <cell r="I516">
            <v>0</v>
          </cell>
          <cell r="J516">
            <v>0</v>
          </cell>
        </row>
        <row r="517">
          <cell r="B517" t="str">
            <v>1.1.07.06.02</v>
          </cell>
          <cell r="C517" t="str">
            <v>Piutang Insentif Fiskal Untuk Penghargaan Kinerja Tahun Sebelumnya</v>
          </cell>
          <cell r="F517">
            <v>0</v>
          </cell>
          <cell r="G517">
            <v>0</v>
          </cell>
          <cell r="H517">
            <v>0</v>
          </cell>
          <cell r="I517">
            <v>0</v>
          </cell>
          <cell r="J517">
            <v>0</v>
          </cell>
        </row>
        <row r="518">
          <cell r="B518" t="str">
            <v>1.1.07.06.03</v>
          </cell>
          <cell r="C518" t="str">
            <v>Piutang Insentif Fiskal Untuk Penghargaan Kinerja Tahun Berjalan</v>
          </cell>
          <cell r="F518">
            <v>0</v>
          </cell>
          <cell r="G518">
            <v>0</v>
          </cell>
          <cell r="H518">
            <v>0</v>
          </cell>
          <cell r="I518">
            <v>0</v>
          </cell>
          <cell r="J518">
            <v>0</v>
          </cell>
        </row>
        <row r="519">
          <cell r="B519" t="str">
            <v>1.1.07.07</v>
          </cell>
          <cell r="C519" t="str">
            <v>Piutang Dana Bagi Hasil (DBH)</v>
          </cell>
          <cell r="D519">
            <v>0</v>
          </cell>
          <cell r="E519">
            <v>0</v>
          </cell>
          <cell r="J519">
            <v>0</v>
          </cell>
        </row>
        <row r="520">
          <cell r="B520" t="str">
            <v>1.1.07.07.01</v>
          </cell>
          <cell r="C520" t="str">
            <v>Piutang DBH Pajak</v>
          </cell>
          <cell r="F520">
            <v>0</v>
          </cell>
          <cell r="G520">
            <v>0</v>
          </cell>
          <cell r="H520">
            <v>0</v>
          </cell>
          <cell r="I520">
            <v>0</v>
          </cell>
          <cell r="J520">
            <v>0</v>
          </cell>
        </row>
        <row r="521">
          <cell r="B521" t="str">
            <v>1.1.07.07.02</v>
          </cell>
          <cell r="C521" t="str">
            <v>Piutang DBH Sumber Daya Alam (SDA)</v>
          </cell>
          <cell r="F521">
            <v>0</v>
          </cell>
          <cell r="G521">
            <v>0</v>
          </cell>
          <cell r="H521">
            <v>0</v>
          </cell>
          <cell r="I521">
            <v>0</v>
          </cell>
          <cell r="J521">
            <v>0</v>
          </cell>
        </row>
        <row r="522">
          <cell r="B522" t="str">
            <v>1.1.07.07.03</v>
          </cell>
          <cell r="C522" t="str">
            <v>Piutang DBH Lainnya</v>
          </cell>
          <cell r="F522">
            <v>0</v>
          </cell>
          <cell r="G522">
            <v>0</v>
          </cell>
          <cell r="H522">
            <v>0</v>
          </cell>
          <cell r="I522">
            <v>0</v>
          </cell>
          <cell r="J522">
            <v>0</v>
          </cell>
        </row>
        <row r="523">
          <cell r="B523" t="str">
            <v>1.1.07.08</v>
          </cell>
          <cell r="C523" t="str">
            <v>Piutang Dana Alokasi Umum (DAU)</v>
          </cell>
          <cell r="D523">
            <v>0</v>
          </cell>
          <cell r="E523">
            <v>0</v>
          </cell>
          <cell r="J523">
            <v>0</v>
          </cell>
        </row>
        <row r="524">
          <cell r="B524" t="str">
            <v>1.1.07.08.01</v>
          </cell>
          <cell r="C524" t="str">
            <v>Piutang DAU yang Tidak Ditentukan Penggunaannya</v>
          </cell>
          <cell r="F524">
            <v>0</v>
          </cell>
          <cell r="G524">
            <v>0</v>
          </cell>
          <cell r="H524">
            <v>0</v>
          </cell>
          <cell r="I524">
            <v>0</v>
          </cell>
          <cell r="J524">
            <v>0</v>
          </cell>
        </row>
        <row r="525">
          <cell r="B525" t="str">
            <v>1.1.07.08.02</v>
          </cell>
          <cell r="C525" t="str">
            <v>Piutang DAU yang Ditentukan Penggunaannya</v>
          </cell>
          <cell r="F525">
            <v>0</v>
          </cell>
          <cell r="G525">
            <v>0</v>
          </cell>
          <cell r="H525">
            <v>0</v>
          </cell>
          <cell r="I525">
            <v>0</v>
          </cell>
          <cell r="J525">
            <v>0</v>
          </cell>
        </row>
        <row r="526">
          <cell r="B526" t="str">
            <v>1.1.07.09</v>
          </cell>
          <cell r="C526" t="str">
            <v>Piutang Dana Alokasi Khusus (DAK)</v>
          </cell>
          <cell r="D526">
            <v>0</v>
          </cell>
          <cell r="E526">
            <v>0</v>
          </cell>
          <cell r="J526">
            <v>0</v>
          </cell>
        </row>
        <row r="527">
          <cell r="B527" t="str">
            <v>1.1.07.09.01</v>
          </cell>
          <cell r="C527" t="str">
            <v>Piutang DAK Fisik</v>
          </cell>
          <cell r="F527">
            <v>0</v>
          </cell>
          <cell r="G527">
            <v>0</v>
          </cell>
          <cell r="H527">
            <v>0</v>
          </cell>
          <cell r="I527">
            <v>0</v>
          </cell>
          <cell r="J527">
            <v>0</v>
          </cell>
        </row>
        <row r="528">
          <cell r="B528" t="str">
            <v>1.1.07.09.02</v>
          </cell>
          <cell r="C528" t="str">
            <v>Piutang DAK Non Fisik</v>
          </cell>
          <cell r="F528">
            <v>0</v>
          </cell>
          <cell r="G528">
            <v>0</v>
          </cell>
          <cell r="H528">
            <v>0</v>
          </cell>
          <cell r="I528">
            <v>0</v>
          </cell>
          <cell r="J528">
            <v>0</v>
          </cell>
        </row>
        <row r="529">
          <cell r="B529" t="str">
            <v>1.1.07.09.03</v>
          </cell>
          <cell r="C529" t="str">
            <v>Piutang Hibah kepada Daerah</v>
          </cell>
          <cell r="F529">
            <v>0</v>
          </cell>
          <cell r="G529">
            <v>0</v>
          </cell>
          <cell r="H529">
            <v>0</v>
          </cell>
          <cell r="I529">
            <v>0</v>
          </cell>
          <cell r="J529">
            <v>0</v>
          </cell>
        </row>
        <row r="531">
          <cell r="B531" t="str">
            <v>1.1.08</v>
          </cell>
          <cell r="C531" t="str">
            <v>Piutang Transfer Antar Daerah</v>
          </cell>
          <cell r="D531">
            <v>7938405512</v>
          </cell>
          <cell r="E531">
            <v>1024848964</v>
          </cell>
          <cell r="J531">
            <v>1024848964</v>
          </cell>
        </row>
        <row r="532">
          <cell r="B532" t="str">
            <v>1.1.08.01</v>
          </cell>
          <cell r="C532" t="str">
            <v>Piutang Bagi Hasil</v>
          </cell>
          <cell r="D532">
            <v>7938405512</v>
          </cell>
          <cell r="E532">
            <v>1024848964</v>
          </cell>
          <cell r="J532">
            <v>1024848964</v>
          </cell>
        </row>
        <row r="533">
          <cell r="B533" t="str">
            <v>1.1.08.01.01</v>
          </cell>
          <cell r="C533" t="str">
            <v>Piutang Bagi Hasil Pajak</v>
          </cell>
          <cell r="D533">
            <v>7938405512</v>
          </cell>
          <cell r="E533">
            <v>1024848964</v>
          </cell>
          <cell r="F533">
            <v>0</v>
          </cell>
          <cell r="G533">
            <v>0</v>
          </cell>
          <cell r="H533">
            <v>0</v>
          </cell>
          <cell r="I533">
            <v>0</v>
          </cell>
          <cell r="J533">
            <v>1024848964</v>
          </cell>
        </row>
        <row r="534">
          <cell r="B534" t="str">
            <v>1.1.08.02</v>
          </cell>
          <cell r="C534" t="str">
            <v>Piutang Bantuan Keuangan</v>
          </cell>
          <cell r="D534">
            <v>0</v>
          </cell>
          <cell r="E534">
            <v>0</v>
          </cell>
          <cell r="J534">
            <v>0</v>
          </cell>
        </row>
        <row r="535">
          <cell r="B535" t="str">
            <v>1.1.08.02.01</v>
          </cell>
          <cell r="C535" t="str">
            <v>Piutang Bantuan Keuangan Umum dari Pemerintah Provinsi</v>
          </cell>
          <cell r="F535">
            <v>0</v>
          </cell>
          <cell r="G535">
            <v>0</v>
          </cell>
          <cell r="H535">
            <v>0</v>
          </cell>
          <cell r="I535">
            <v>0</v>
          </cell>
          <cell r="J535">
            <v>0</v>
          </cell>
        </row>
        <row r="536">
          <cell r="B536" t="str">
            <v>1.1.08.02.02</v>
          </cell>
          <cell r="C536" t="str">
            <v>Piutang Bantuan Keuangan Khusus dari Pemerintah Provinsi</v>
          </cell>
          <cell r="F536">
            <v>0</v>
          </cell>
          <cell r="G536">
            <v>0</v>
          </cell>
          <cell r="H536">
            <v>0</v>
          </cell>
          <cell r="I536">
            <v>0</v>
          </cell>
          <cell r="J536">
            <v>0</v>
          </cell>
        </row>
        <row r="537">
          <cell r="B537" t="str">
            <v>1.1.08.02.03</v>
          </cell>
          <cell r="C537" t="str">
            <v>Piutang Bantuan Keuangan Umum dari Pemerintah Kabupaten/Kota</v>
          </cell>
          <cell r="F537">
            <v>0</v>
          </cell>
          <cell r="G537">
            <v>0</v>
          </cell>
          <cell r="H537">
            <v>0</v>
          </cell>
          <cell r="I537">
            <v>0</v>
          </cell>
          <cell r="J537">
            <v>0</v>
          </cell>
        </row>
        <row r="538">
          <cell r="B538" t="str">
            <v>1.1.08.02.04</v>
          </cell>
          <cell r="C538" t="str">
            <v>Piutang Bantuan Keuangan Khusus dari Pemerintah Kabupaten/Kota</v>
          </cell>
          <cell r="F538">
            <v>0</v>
          </cell>
          <cell r="G538">
            <v>0</v>
          </cell>
          <cell r="H538">
            <v>0</v>
          </cell>
          <cell r="I538">
            <v>0</v>
          </cell>
          <cell r="J538">
            <v>0</v>
          </cell>
        </row>
        <row r="540">
          <cell r="B540" t="str">
            <v>1.1.09</v>
          </cell>
          <cell r="C540" t="str">
            <v>Piutang Lainnya</v>
          </cell>
          <cell r="D540">
            <v>517529460</v>
          </cell>
          <cell r="E540">
            <v>486722730</v>
          </cell>
          <cell r="J540">
            <v>47131730</v>
          </cell>
        </row>
        <row r="541">
          <cell r="B541" t="str">
            <v>1.1.09.01</v>
          </cell>
          <cell r="C541" t="str">
            <v>Bagian Lancar Tagihan Jangka Panjang</v>
          </cell>
          <cell r="D541">
            <v>0</v>
          </cell>
          <cell r="E541">
            <v>0</v>
          </cell>
          <cell r="J541">
            <v>0</v>
          </cell>
        </row>
        <row r="542">
          <cell r="B542" t="str">
            <v>1.1.09.01.01</v>
          </cell>
          <cell r="C542" t="str">
            <v>Bagian Lancar Tagihan Jangka Panjang-Investasi dalam Proyek Pembangunan kepada Pemerintah Pusat</v>
          </cell>
          <cell r="F542">
            <v>0</v>
          </cell>
          <cell r="G542">
            <v>0</v>
          </cell>
          <cell r="H542">
            <v>0</v>
          </cell>
          <cell r="I542">
            <v>0</v>
          </cell>
          <cell r="J542">
            <v>0</v>
          </cell>
        </row>
        <row r="543">
          <cell r="B543" t="str">
            <v>1.1.09.01.02</v>
          </cell>
          <cell r="C543" t="str">
            <v>Bagian Lancar Tagihan Jangka Panjang-Investasi dalam Proyek Pembangunan kepada Pemerintah Daerah Lainnya</v>
          </cell>
          <cell r="F543">
            <v>0</v>
          </cell>
          <cell r="G543">
            <v>0</v>
          </cell>
          <cell r="H543">
            <v>0</v>
          </cell>
          <cell r="I543">
            <v>0</v>
          </cell>
          <cell r="J543">
            <v>0</v>
          </cell>
        </row>
        <row r="544">
          <cell r="B544" t="str">
            <v>1.1.09.01.03</v>
          </cell>
          <cell r="C544" t="str">
            <v>Bagian Lancar Tagihan Jangka Panjang-Investasi Non Permanen kepada BUMD</v>
          </cell>
          <cell r="F544">
            <v>0</v>
          </cell>
          <cell r="G544">
            <v>0</v>
          </cell>
          <cell r="H544">
            <v>0</v>
          </cell>
          <cell r="I544">
            <v>0</v>
          </cell>
          <cell r="J544">
            <v>0</v>
          </cell>
        </row>
        <row r="545">
          <cell r="B545" t="str">
            <v>1.1.09.01.04</v>
          </cell>
          <cell r="C545" t="str">
            <v>Bagian Lancar Tagihan Jangka Panjang-Investasi Non Permanen Lainnya kepada BUMN</v>
          </cell>
          <cell r="F545">
            <v>0</v>
          </cell>
          <cell r="G545">
            <v>0</v>
          </cell>
          <cell r="H545">
            <v>0</v>
          </cell>
          <cell r="I545">
            <v>0</v>
          </cell>
          <cell r="J545">
            <v>0</v>
          </cell>
        </row>
        <row r="546">
          <cell r="B546" t="str">
            <v>1.1.09.01.05</v>
          </cell>
          <cell r="C546" t="str">
            <v>Bagian Lancar Tagihan Jangka Panjang-Dana Bergulir kepada Koperasi</v>
          </cell>
          <cell r="F546">
            <v>0</v>
          </cell>
          <cell r="G546">
            <v>0</v>
          </cell>
          <cell r="H546">
            <v>0</v>
          </cell>
          <cell r="I546">
            <v>0</v>
          </cell>
          <cell r="J546">
            <v>0</v>
          </cell>
        </row>
        <row r="547">
          <cell r="B547" t="str">
            <v>1.1.09.01.06</v>
          </cell>
          <cell r="C547" t="str">
            <v>Bagian Lancar Tagihan Jangka Panjang-Dana Bergulir kepada Masyarakat</v>
          </cell>
          <cell r="F547">
            <v>0</v>
          </cell>
          <cell r="G547">
            <v>0</v>
          </cell>
          <cell r="H547">
            <v>0</v>
          </cell>
          <cell r="I547">
            <v>0</v>
          </cell>
          <cell r="J547">
            <v>0</v>
          </cell>
        </row>
        <row r="548">
          <cell r="B548" t="str">
            <v>1.1.09.01.07</v>
          </cell>
          <cell r="C548" t="str">
            <v>Bagian Lancar Tagihan Jangka Panjang-Dana Bergulir melalui BLUD</v>
          </cell>
          <cell r="F548">
            <v>0</v>
          </cell>
          <cell r="G548">
            <v>0</v>
          </cell>
          <cell r="H548">
            <v>0</v>
          </cell>
          <cell r="I548">
            <v>0</v>
          </cell>
          <cell r="J548">
            <v>0</v>
          </cell>
        </row>
        <row r="549">
          <cell r="B549" t="str">
            <v>1.1.09.02</v>
          </cell>
          <cell r="C549" t="str">
            <v>Bagian Lancar Tagihan Pinjaman Jangka Panjang</v>
          </cell>
          <cell r="D549">
            <v>0</v>
          </cell>
          <cell r="E549">
            <v>0</v>
          </cell>
          <cell r="J549">
            <v>0</v>
          </cell>
        </row>
        <row r="550">
          <cell r="B550" t="str">
            <v>1.1.09.02.01</v>
          </cell>
          <cell r="C550" t="str">
            <v>Bagian Lancar Tagihan Pinjaman Jangka Panjang kepada Pemerintah Pusat</v>
          </cell>
          <cell r="F550">
            <v>0</v>
          </cell>
          <cell r="G550">
            <v>0</v>
          </cell>
          <cell r="H550">
            <v>0</v>
          </cell>
          <cell r="I550">
            <v>0</v>
          </cell>
          <cell r="J550">
            <v>0</v>
          </cell>
        </row>
        <row r="551">
          <cell r="B551" t="str">
            <v>1.1.09.02.02</v>
          </cell>
          <cell r="C551" t="str">
            <v>Bagian Lancar Tagihan Pinjaman Jangka Panjang kepada Pemerintah Daerah Lainnya</v>
          </cell>
          <cell r="F551">
            <v>0</v>
          </cell>
          <cell r="G551">
            <v>0</v>
          </cell>
          <cell r="H551">
            <v>0</v>
          </cell>
          <cell r="I551">
            <v>0</v>
          </cell>
          <cell r="J551">
            <v>0</v>
          </cell>
        </row>
        <row r="552">
          <cell r="B552" t="str">
            <v>1.1.09.02.03</v>
          </cell>
          <cell r="C552" t="str">
            <v>Bagian Lancar Tagihan Pinjaman Jangka Panjang kepada BUMD</v>
          </cell>
          <cell r="F552">
            <v>0</v>
          </cell>
          <cell r="G552">
            <v>0</v>
          </cell>
          <cell r="H552">
            <v>0</v>
          </cell>
          <cell r="I552">
            <v>0</v>
          </cell>
          <cell r="J552">
            <v>0</v>
          </cell>
        </row>
        <row r="553">
          <cell r="B553" t="str">
            <v>1.1.09.02.04</v>
          </cell>
          <cell r="C553" t="str">
            <v>Bagian Lancar Tagihan Pinjaman Jangka Panjang kepada BUMN</v>
          </cell>
          <cell r="F553">
            <v>0</v>
          </cell>
          <cell r="G553">
            <v>0</v>
          </cell>
          <cell r="H553">
            <v>0</v>
          </cell>
          <cell r="I553">
            <v>0</v>
          </cell>
          <cell r="J553">
            <v>0</v>
          </cell>
        </row>
        <row r="554">
          <cell r="B554" t="str">
            <v>1.1.09.02.05</v>
          </cell>
          <cell r="C554" t="str">
            <v>Bagian Lancar Tagihan Pinjaman Jangka Panjang kepada Koperasi</v>
          </cell>
          <cell r="F554">
            <v>0</v>
          </cell>
          <cell r="G554">
            <v>0</v>
          </cell>
          <cell r="H554">
            <v>0</v>
          </cell>
          <cell r="I554">
            <v>0</v>
          </cell>
          <cell r="J554">
            <v>0</v>
          </cell>
        </row>
        <row r="555">
          <cell r="B555" t="str">
            <v>1.1.09.02.06</v>
          </cell>
          <cell r="C555" t="str">
            <v>Bagian Lancar Tagihan Pinjaman Jangka Panjang kepada Masyarakat</v>
          </cell>
          <cell r="F555">
            <v>0</v>
          </cell>
          <cell r="G555">
            <v>0</v>
          </cell>
          <cell r="H555">
            <v>0</v>
          </cell>
          <cell r="I555">
            <v>0</v>
          </cell>
          <cell r="J555">
            <v>0</v>
          </cell>
        </row>
        <row r="556">
          <cell r="B556" t="str">
            <v>1.1.09.02.07</v>
          </cell>
          <cell r="C556" t="str">
            <v>Bagian Lancar Tagihan Pinjaman Jangka Panjang melalui BLUD</v>
          </cell>
          <cell r="F556">
            <v>0</v>
          </cell>
          <cell r="G556">
            <v>0</v>
          </cell>
          <cell r="H556">
            <v>0</v>
          </cell>
          <cell r="I556">
            <v>0</v>
          </cell>
          <cell r="J556">
            <v>0</v>
          </cell>
        </row>
        <row r="557">
          <cell r="B557" t="str">
            <v>1.1.09.03</v>
          </cell>
          <cell r="C557" t="str">
            <v>Bagian Lancar Tagihan Penjualan Angsuran</v>
          </cell>
          <cell r="D557">
            <v>77938460</v>
          </cell>
          <cell r="E557">
            <v>47131730</v>
          </cell>
          <cell r="J557">
            <v>47131730</v>
          </cell>
        </row>
        <row r="558">
          <cell r="B558" t="str">
            <v>1.1.09.03.01</v>
          </cell>
          <cell r="C558" t="str">
            <v>Bagian Lancar Tagihan Penjualan Angsuran Penjualan Rumah Negara Golongan III</v>
          </cell>
          <cell r="D558">
            <v>77938460</v>
          </cell>
          <cell r="E558">
            <v>47131730</v>
          </cell>
          <cell r="F558">
            <v>0</v>
          </cell>
          <cell r="G558">
            <v>0</v>
          </cell>
          <cell r="H558">
            <v>0</v>
          </cell>
          <cell r="I558">
            <v>0</v>
          </cell>
          <cell r="J558">
            <v>47131730</v>
          </cell>
        </row>
        <row r="559">
          <cell r="B559" t="str">
            <v>1.1.09.03.02</v>
          </cell>
          <cell r="C559" t="str">
            <v>Bagian Lancar Tagihan Penjualan Angsuran Penjualan Kendaraan Perorangan Dinas</v>
          </cell>
          <cell r="F559">
            <v>0</v>
          </cell>
          <cell r="G559">
            <v>0</v>
          </cell>
          <cell r="H559">
            <v>0</v>
          </cell>
          <cell r="I559">
            <v>0</v>
          </cell>
          <cell r="J559">
            <v>0</v>
          </cell>
        </row>
        <row r="560">
          <cell r="B560" t="str">
            <v>1.1.09.04</v>
          </cell>
          <cell r="C560" t="str">
            <v>Bagian Lancar Tuntutan Ganti Kerugian Daerah</v>
          </cell>
          <cell r="D560">
            <v>439591000</v>
          </cell>
          <cell r="E560">
            <v>439591000</v>
          </cell>
          <cell r="J560">
            <v>0</v>
          </cell>
        </row>
        <row r="561">
          <cell r="B561" t="str">
            <v>1.1.09.04.01</v>
          </cell>
          <cell r="C561" t="str">
            <v>Bagian Lancar Tuntutan Ganti Kerugian Daerah Terhadap Bendahara</v>
          </cell>
          <cell r="D561">
            <v>439591000</v>
          </cell>
          <cell r="E561">
            <v>439591000</v>
          </cell>
          <cell r="F561">
            <v>0</v>
          </cell>
          <cell r="G561">
            <v>439591000</v>
          </cell>
          <cell r="H561">
            <v>0</v>
          </cell>
          <cell r="I561">
            <v>0</v>
          </cell>
          <cell r="J561">
            <v>0</v>
          </cell>
        </row>
        <row r="562">
          <cell r="B562" t="str">
            <v>1.1.09.04.02</v>
          </cell>
          <cell r="C562" t="str">
            <v>Bagian Lancar Tuntutan Ganti Kerugian Daerah Terhadap Pegawai Negeri Bukan Bendahara atau Pejabat Lain</v>
          </cell>
          <cell r="F562">
            <v>0</v>
          </cell>
          <cell r="G562">
            <v>0</v>
          </cell>
          <cell r="H562">
            <v>0</v>
          </cell>
          <cell r="I562">
            <v>0</v>
          </cell>
          <cell r="J562">
            <v>0</v>
          </cell>
        </row>
        <row r="563">
          <cell r="B563" t="str">
            <v>1.1.09.05</v>
          </cell>
          <cell r="C563" t="str">
            <v>Uang Muka</v>
          </cell>
          <cell r="D563">
            <v>0</v>
          </cell>
          <cell r="E563">
            <v>0</v>
          </cell>
          <cell r="J563">
            <v>0</v>
          </cell>
        </row>
        <row r="564">
          <cell r="B564" t="str">
            <v>1.1.09.05.01</v>
          </cell>
          <cell r="C564" t="str">
            <v>Uang Muka</v>
          </cell>
          <cell r="F564">
            <v>0</v>
          </cell>
          <cell r="G564">
            <v>0</v>
          </cell>
          <cell r="H564">
            <v>0</v>
          </cell>
          <cell r="I564">
            <v>0</v>
          </cell>
          <cell r="J564">
            <v>0</v>
          </cell>
        </row>
        <row r="566">
          <cell r="B566" t="str">
            <v>1.1.10</v>
          </cell>
          <cell r="C566" t="str">
            <v>Penyisihan Piutang</v>
          </cell>
          <cell r="D566">
            <v>-26845727935.220001</v>
          </cell>
          <cell r="E566">
            <v>-31354951984.229996</v>
          </cell>
          <cell r="J566">
            <v>-31275951037.459995</v>
          </cell>
        </row>
        <row r="567">
          <cell r="B567" t="str">
            <v>1.1.10.01</v>
          </cell>
          <cell r="C567" t="str">
            <v>Penyisihan Piutang Pendapatan</v>
          </cell>
          <cell r="D567">
            <v>-26845727935.220001</v>
          </cell>
          <cell r="E567">
            <v>-31354951984.229996</v>
          </cell>
          <cell r="J567">
            <v>-31275951037.459995</v>
          </cell>
        </row>
        <row r="568">
          <cell r="B568" t="str">
            <v>1.1.10.01.01</v>
          </cell>
          <cell r="C568" t="str">
            <v>Penyisihan Piutang Pajak Daerah</v>
          </cell>
          <cell r="D568">
            <v>-13743924880.719999</v>
          </cell>
          <cell r="E568">
            <v>-17597195216.229996</v>
          </cell>
          <cell r="F568">
            <v>7163946.7699999996</v>
          </cell>
          <cell r="G568">
            <v>0</v>
          </cell>
          <cell r="H568">
            <v>0</v>
          </cell>
          <cell r="I568">
            <v>0</v>
          </cell>
          <cell r="J568">
            <v>-17590031269.459995</v>
          </cell>
        </row>
        <row r="569">
          <cell r="B569" t="str">
            <v>1.1.10.01.02</v>
          </cell>
          <cell r="C569" t="str">
            <v>Penyisihan Piutang Retribusi</v>
          </cell>
          <cell r="D569">
            <v>-9082230404.5</v>
          </cell>
          <cell r="E569">
            <v>-13625392663</v>
          </cell>
          <cell r="F569">
            <v>71837000</v>
          </cell>
          <cell r="G569">
            <v>0</v>
          </cell>
          <cell r="H569">
            <v>0</v>
          </cell>
          <cell r="I569">
            <v>0</v>
          </cell>
          <cell r="J569">
            <v>-13553555663</v>
          </cell>
        </row>
        <row r="570">
          <cell r="B570" t="str">
            <v>1.1.10.01.03</v>
          </cell>
          <cell r="C570" t="str">
            <v>Penyisihan Piutang Hasil Pengelolaan Kekayaan Daerah yang Dipisahkan</v>
          </cell>
          <cell r="F570">
            <v>0</v>
          </cell>
          <cell r="G570">
            <v>0</v>
          </cell>
          <cell r="H570">
            <v>0</v>
          </cell>
          <cell r="I570">
            <v>0</v>
          </cell>
          <cell r="J570">
            <v>0</v>
          </cell>
        </row>
        <row r="571">
          <cell r="B571" t="str">
            <v>1.1.10.01.04</v>
          </cell>
          <cell r="C571" t="str">
            <v>Penyisihan Piutang Lain-lain PAD yang Sah</v>
          </cell>
          <cell r="D571">
            <v>-4019572650</v>
          </cell>
          <cell r="E571">
            <v>-132364105</v>
          </cell>
          <cell r="F571">
            <v>0</v>
          </cell>
          <cell r="G571">
            <v>0</v>
          </cell>
          <cell r="H571">
            <v>0</v>
          </cell>
          <cell r="I571">
            <v>0</v>
          </cell>
          <cell r="J571">
            <v>-132364105</v>
          </cell>
        </row>
        <row r="572">
          <cell r="B572" t="str">
            <v>1.1.10.01.05</v>
          </cell>
          <cell r="C572" t="str">
            <v>Penyisihan Piutang Transfer Pemerintah Pusat</v>
          </cell>
          <cell r="F572">
            <v>0</v>
          </cell>
          <cell r="G572">
            <v>0</v>
          </cell>
          <cell r="H572">
            <v>0</v>
          </cell>
          <cell r="I572">
            <v>0</v>
          </cell>
          <cell r="J572">
            <v>0</v>
          </cell>
        </row>
        <row r="573">
          <cell r="B573" t="str">
            <v>1.1.10.01.06</v>
          </cell>
          <cell r="C573" t="str">
            <v>Penyisihan Piutang Transfer Antar Daerah</v>
          </cell>
          <cell r="F573">
            <v>0</v>
          </cell>
          <cell r="G573">
            <v>0</v>
          </cell>
          <cell r="H573">
            <v>0</v>
          </cell>
          <cell r="I573">
            <v>0</v>
          </cell>
          <cell r="J573">
            <v>0</v>
          </cell>
        </row>
        <row r="574">
          <cell r="B574" t="str">
            <v>1.1.10.02</v>
          </cell>
          <cell r="C574" t="str">
            <v>Penyisihan Piutang Lainnya</v>
          </cell>
          <cell r="D574">
            <v>0</v>
          </cell>
          <cell r="E574">
            <v>0</v>
          </cell>
          <cell r="J574">
            <v>0</v>
          </cell>
        </row>
        <row r="575">
          <cell r="B575" t="str">
            <v>1.1.10.02.01</v>
          </cell>
          <cell r="C575" t="str">
            <v>Penyisihan Piutang Lainnya-Bagian Lancar Tagihan Jangka Panjang dari Pemerintah Pusat</v>
          </cell>
          <cell r="F575">
            <v>0</v>
          </cell>
          <cell r="G575">
            <v>0</v>
          </cell>
          <cell r="H575">
            <v>0</v>
          </cell>
          <cell r="I575">
            <v>0</v>
          </cell>
          <cell r="J575">
            <v>0</v>
          </cell>
        </row>
        <row r="576">
          <cell r="B576" t="str">
            <v>1.1.10.02.02</v>
          </cell>
          <cell r="C576" t="str">
            <v>Penyisihan Piutang Lainnya-Bagian Lancar Tagihan Jangka Panjang dari Daerah Lain</v>
          </cell>
          <cell r="F576">
            <v>0</v>
          </cell>
          <cell r="G576">
            <v>0</v>
          </cell>
          <cell r="H576">
            <v>0</v>
          </cell>
          <cell r="I576">
            <v>0</v>
          </cell>
          <cell r="J576">
            <v>0</v>
          </cell>
        </row>
        <row r="577">
          <cell r="B577" t="str">
            <v>1.1.10.02.03</v>
          </cell>
          <cell r="C577" t="str">
            <v>Penyisihan Piutang Lainnya-Bagian Lancar Tagihan Jangka Panjang dari Lembaga Keuangan Bank</v>
          </cell>
          <cell r="F577">
            <v>0</v>
          </cell>
          <cell r="G577">
            <v>0</v>
          </cell>
          <cell r="H577">
            <v>0</v>
          </cell>
          <cell r="I577">
            <v>0</v>
          </cell>
          <cell r="J577">
            <v>0</v>
          </cell>
        </row>
        <row r="578">
          <cell r="B578" t="str">
            <v>1.1.10.02.04</v>
          </cell>
          <cell r="C578" t="str">
            <v>Penyisihan Piutang Lainnya-Bagian Lancar Tagihan Jangka Panjang dari Lembaga Keuangan Bukan Bank</v>
          </cell>
          <cell r="F578">
            <v>0</v>
          </cell>
          <cell r="G578">
            <v>0</v>
          </cell>
          <cell r="H578">
            <v>0</v>
          </cell>
          <cell r="I578">
            <v>0</v>
          </cell>
          <cell r="J578">
            <v>0</v>
          </cell>
        </row>
        <row r="579">
          <cell r="B579" t="str">
            <v>1.1.10.02.05</v>
          </cell>
          <cell r="C579" t="str">
            <v>Penyisihan Piutang Lainnya-Bagian Lancar Tagihan Pinjaman melalui BLUD</v>
          </cell>
          <cell r="F579">
            <v>0</v>
          </cell>
          <cell r="G579">
            <v>0</v>
          </cell>
          <cell r="H579">
            <v>0</v>
          </cell>
          <cell r="I579">
            <v>0</v>
          </cell>
          <cell r="J579">
            <v>0</v>
          </cell>
        </row>
        <row r="580">
          <cell r="B580" t="str">
            <v>1.1.10.02.06</v>
          </cell>
          <cell r="C580" t="str">
            <v>Penyisihan Piutang Lainnya-Bagian Lancar Tagihan Penjualan Angsuran</v>
          </cell>
          <cell r="F580">
            <v>0</v>
          </cell>
          <cell r="G580">
            <v>0</v>
          </cell>
          <cell r="H580">
            <v>0</v>
          </cell>
          <cell r="I580">
            <v>0</v>
          </cell>
          <cell r="J580">
            <v>0</v>
          </cell>
        </row>
        <row r="581">
          <cell r="B581" t="str">
            <v>1.1.10.02.07</v>
          </cell>
          <cell r="C581" t="str">
            <v>Penyisihan Piutang Lainnya-Bagian lancar Tuntutan Ganti Kerugian Daerah</v>
          </cell>
          <cell r="F581">
            <v>0</v>
          </cell>
          <cell r="G581">
            <v>0</v>
          </cell>
          <cell r="H581">
            <v>0</v>
          </cell>
          <cell r="I581">
            <v>0</v>
          </cell>
          <cell r="J581">
            <v>0</v>
          </cell>
        </row>
        <row r="582">
          <cell r="B582" t="str">
            <v>1.1.10.02.08</v>
          </cell>
          <cell r="C582" t="str">
            <v>Penyisihan Piutang Lainnya-Uang Muka</v>
          </cell>
          <cell r="F582">
            <v>0</v>
          </cell>
          <cell r="G582">
            <v>0</v>
          </cell>
          <cell r="H582">
            <v>0</v>
          </cell>
          <cell r="I582">
            <v>0</v>
          </cell>
          <cell r="J582">
            <v>0</v>
          </cell>
        </row>
        <row r="583">
          <cell r="B583" t="str">
            <v>1.1.10.02.09</v>
          </cell>
          <cell r="C583" t="str">
            <v>Penyisihan Bagian Lancar Tagihan Jangka Panjang</v>
          </cell>
          <cell r="F583">
            <v>0</v>
          </cell>
          <cell r="G583">
            <v>0</v>
          </cell>
          <cell r="H583">
            <v>0</v>
          </cell>
          <cell r="I583">
            <v>0</v>
          </cell>
          <cell r="J583">
            <v>0</v>
          </cell>
        </row>
        <row r="584">
          <cell r="B584" t="str">
            <v>1.1.10.02.10</v>
          </cell>
          <cell r="C584" t="str">
            <v>Penyisihan Bagian Lancar Tagihan Pinjaman Jangka Panjang</v>
          </cell>
          <cell r="F584">
            <v>0</v>
          </cell>
          <cell r="G584">
            <v>0</v>
          </cell>
          <cell r="H584">
            <v>0</v>
          </cell>
          <cell r="I584">
            <v>0</v>
          </cell>
          <cell r="J584">
            <v>0</v>
          </cell>
        </row>
        <row r="585">
          <cell r="B585" t="str">
            <v>1.1.10.02.11</v>
          </cell>
          <cell r="C585" t="str">
            <v>Penyisihan Bagian Lancar Tagihan Penjualan Angsuran</v>
          </cell>
          <cell r="F585">
            <v>0</v>
          </cell>
          <cell r="G585">
            <v>0</v>
          </cell>
          <cell r="H585">
            <v>0</v>
          </cell>
          <cell r="I585">
            <v>0</v>
          </cell>
          <cell r="J585">
            <v>0</v>
          </cell>
        </row>
        <row r="586">
          <cell r="B586" t="str">
            <v>1.1.10.02.12</v>
          </cell>
          <cell r="C586" t="str">
            <v>Penyisihan Bagian Lancar Tuntutan Ganti Kerugian Daerah</v>
          </cell>
          <cell r="F586">
            <v>0</v>
          </cell>
          <cell r="G586">
            <v>0</v>
          </cell>
          <cell r="H586">
            <v>0</v>
          </cell>
          <cell r="I586">
            <v>0</v>
          </cell>
          <cell r="J586">
            <v>0</v>
          </cell>
        </row>
        <row r="587">
          <cell r="B587" t="str">
            <v>1.1.10.02.13</v>
          </cell>
          <cell r="C587" t="str">
            <v>Penyisihan Uang Muka</v>
          </cell>
          <cell r="F587">
            <v>0</v>
          </cell>
          <cell r="G587">
            <v>0</v>
          </cell>
          <cell r="H587">
            <v>0</v>
          </cell>
          <cell r="I587">
            <v>0</v>
          </cell>
          <cell r="J587">
            <v>0</v>
          </cell>
        </row>
        <row r="588">
          <cell r="B588" t="str">
            <v>1.1.10.02.14</v>
          </cell>
          <cell r="C588" t="str">
            <v>Penyisihan Dana Bergulir</v>
          </cell>
          <cell r="F588">
            <v>0</v>
          </cell>
          <cell r="G588">
            <v>0</v>
          </cell>
          <cell r="H588">
            <v>0</v>
          </cell>
          <cell r="I588">
            <v>0</v>
          </cell>
          <cell r="J588">
            <v>0</v>
          </cell>
        </row>
        <row r="590">
          <cell r="B590" t="str">
            <v>1.1.11</v>
          </cell>
          <cell r="C590" t="str">
            <v>Beban Dibayar Dimuka</v>
          </cell>
          <cell r="D590">
            <v>1906594316</v>
          </cell>
          <cell r="E590">
            <v>0</v>
          </cell>
          <cell r="J590">
            <v>38666666.670000002</v>
          </cell>
        </row>
        <row r="591">
          <cell r="B591" t="str">
            <v>1.1.11.01</v>
          </cell>
          <cell r="C591" t="str">
            <v>Beban Dibayar Dimuka</v>
          </cell>
          <cell r="D591">
            <v>1906594316</v>
          </cell>
          <cell r="E591">
            <v>0</v>
          </cell>
          <cell r="J591">
            <v>38666666.670000002</v>
          </cell>
        </row>
        <row r="592">
          <cell r="B592" t="str">
            <v>1.1.11.01.01</v>
          </cell>
          <cell r="C592" t="str">
            <v>Beban Dibayar Dimuka</v>
          </cell>
          <cell r="D592">
            <v>1906594316</v>
          </cell>
          <cell r="F592">
            <v>38666666.670000002</v>
          </cell>
          <cell r="G592">
            <v>0</v>
          </cell>
          <cell r="H592">
            <v>0</v>
          </cell>
          <cell r="I592">
            <v>0</v>
          </cell>
          <cell r="J592">
            <v>38666666.670000002</v>
          </cell>
        </row>
        <row r="593">
          <cell r="B593" t="str">
            <v>1.1.11.02</v>
          </cell>
          <cell r="C593" t="str">
            <v>Beban Dibayar Dimuka-Sewa</v>
          </cell>
          <cell r="D593">
            <v>0</v>
          </cell>
          <cell r="E593">
            <v>0</v>
          </cell>
          <cell r="J593">
            <v>0</v>
          </cell>
        </row>
        <row r="594">
          <cell r="B594" t="str">
            <v>1.1.11.02.01</v>
          </cell>
          <cell r="C594" t="str">
            <v>Beban Dibayar Dimuka-Sewa Tanah</v>
          </cell>
          <cell r="F594">
            <v>0</v>
          </cell>
          <cell r="G594">
            <v>0</v>
          </cell>
          <cell r="H594">
            <v>0</v>
          </cell>
          <cell r="I594">
            <v>0</v>
          </cell>
          <cell r="J594">
            <v>0</v>
          </cell>
        </row>
        <row r="595">
          <cell r="B595" t="str">
            <v>1.1.11.02.02</v>
          </cell>
          <cell r="C595" t="str">
            <v>Beban Dibayar Dimuka-Sewa Peralatan dan Mesin</v>
          </cell>
          <cell r="F595">
            <v>0</v>
          </cell>
          <cell r="G595">
            <v>0</v>
          </cell>
          <cell r="H595">
            <v>0</v>
          </cell>
          <cell r="I595">
            <v>0</v>
          </cell>
          <cell r="J595">
            <v>0</v>
          </cell>
        </row>
        <row r="596">
          <cell r="B596" t="str">
            <v>1.1.11.02.03</v>
          </cell>
          <cell r="C596" t="str">
            <v>Beban Dibayar Dimuka-Sewa Gedung dan Bangunan</v>
          </cell>
          <cell r="F596">
            <v>0</v>
          </cell>
          <cell r="G596">
            <v>0</v>
          </cell>
          <cell r="H596">
            <v>0</v>
          </cell>
          <cell r="I596">
            <v>0</v>
          </cell>
          <cell r="J596">
            <v>0</v>
          </cell>
        </row>
        <row r="597">
          <cell r="B597" t="str">
            <v>1.1.11.02.04</v>
          </cell>
          <cell r="C597" t="str">
            <v>Beban Dibayar Dimuka-Sewa Jalan, Jaringan, dan Irigasi</v>
          </cell>
          <cell r="F597">
            <v>0</v>
          </cell>
          <cell r="G597">
            <v>0</v>
          </cell>
          <cell r="H597">
            <v>0</v>
          </cell>
          <cell r="I597">
            <v>0</v>
          </cell>
          <cell r="J597">
            <v>0</v>
          </cell>
        </row>
        <row r="598">
          <cell r="B598" t="str">
            <v>1.1.11.02.05</v>
          </cell>
          <cell r="C598" t="str">
            <v>Beban Dibayar Dimuka-Sewa Aset Tetap Lainnya</v>
          </cell>
          <cell r="F598">
            <v>0</v>
          </cell>
          <cell r="G598">
            <v>0</v>
          </cell>
          <cell r="H598">
            <v>0</v>
          </cell>
          <cell r="I598">
            <v>0</v>
          </cell>
          <cell r="J598">
            <v>0</v>
          </cell>
        </row>
        <row r="599">
          <cell r="B599" t="str">
            <v>1.1.11.02.06</v>
          </cell>
          <cell r="C599" t="str">
            <v>Beban Dibayar Dimuka-Sewa Aset Tidak Berwujud</v>
          </cell>
          <cell r="F599">
            <v>0</v>
          </cell>
          <cell r="G599">
            <v>0</v>
          </cell>
          <cell r="H599">
            <v>0</v>
          </cell>
          <cell r="I599">
            <v>0</v>
          </cell>
          <cell r="J599">
            <v>0</v>
          </cell>
        </row>
        <row r="600">
          <cell r="B600" t="str">
            <v>1.1.11.02.07</v>
          </cell>
          <cell r="C600" t="str">
            <v>Beban Dibayar Dimuka Sewa Jasa</v>
          </cell>
          <cell r="F600">
            <v>0</v>
          </cell>
          <cell r="G600">
            <v>0</v>
          </cell>
          <cell r="H600">
            <v>0</v>
          </cell>
          <cell r="I600">
            <v>0</v>
          </cell>
          <cell r="J600">
            <v>0</v>
          </cell>
        </row>
        <row r="601">
          <cell r="B601" t="str">
            <v>1.1.11.03</v>
          </cell>
          <cell r="C601" t="str">
            <v>Beban Dibayar Dimuka Asuransi Barang Milik Daerah</v>
          </cell>
          <cell r="D601">
            <v>0</v>
          </cell>
          <cell r="E601">
            <v>0</v>
          </cell>
          <cell r="J601">
            <v>0</v>
          </cell>
        </row>
        <row r="602">
          <cell r="B602" t="str">
            <v>1.1.11.03.01</v>
          </cell>
          <cell r="C602" t="str">
            <v>Beban Dibayar Dimuka Asuransi Barang Milik Daerah-Tanah</v>
          </cell>
          <cell r="F602">
            <v>0</v>
          </cell>
          <cell r="G602">
            <v>0</v>
          </cell>
          <cell r="H602">
            <v>0</v>
          </cell>
          <cell r="I602">
            <v>0</v>
          </cell>
          <cell r="J602">
            <v>0</v>
          </cell>
        </row>
        <row r="603">
          <cell r="B603" t="str">
            <v>1.1.11.03.02</v>
          </cell>
          <cell r="C603" t="str">
            <v>Beban Dibayar Dimuka Asuransi Barang Milik Daerah-Peralatan dan Mesin</v>
          </cell>
          <cell r="F603">
            <v>0</v>
          </cell>
          <cell r="G603">
            <v>0</v>
          </cell>
          <cell r="H603">
            <v>0</v>
          </cell>
          <cell r="I603">
            <v>0</v>
          </cell>
          <cell r="J603">
            <v>0</v>
          </cell>
        </row>
        <row r="604">
          <cell r="B604" t="str">
            <v>1.1.11.03.03</v>
          </cell>
          <cell r="C604" t="str">
            <v>Beban Dibayar Dimuka Asuransi Barang Milik Daerah-Gedung dan Bangunan</v>
          </cell>
          <cell r="F604">
            <v>0</v>
          </cell>
          <cell r="G604">
            <v>0</v>
          </cell>
          <cell r="H604">
            <v>0</v>
          </cell>
          <cell r="I604">
            <v>0</v>
          </cell>
          <cell r="J604">
            <v>0</v>
          </cell>
        </row>
        <row r="606">
          <cell r="B606" t="str">
            <v>1.1.12</v>
          </cell>
          <cell r="C606" t="str">
            <v>Persediaan</v>
          </cell>
          <cell r="D606">
            <v>23820443030.26659</v>
          </cell>
          <cell r="E606">
            <v>21473262119.559998</v>
          </cell>
          <cell r="J606">
            <v>21473262119.559998</v>
          </cell>
        </row>
        <row r="607">
          <cell r="B607" t="str">
            <v>1.1.12.01</v>
          </cell>
          <cell r="C607" t="str">
            <v>Barang Pakai Habis</v>
          </cell>
          <cell r="D607">
            <v>23820443030.26659</v>
          </cell>
          <cell r="E607">
            <v>21473262119.559998</v>
          </cell>
          <cell r="J607">
            <v>21473262119.559998</v>
          </cell>
        </row>
        <row r="608">
          <cell r="B608" t="str">
            <v>1.1.12.01.01</v>
          </cell>
          <cell r="C608" t="str">
            <v>Bahan</v>
          </cell>
          <cell r="D608">
            <v>52545000</v>
          </cell>
          <cell r="E608">
            <v>105959150</v>
          </cell>
          <cell r="F608">
            <v>0</v>
          </cell>
          <cell r="G608">
            <v>0</v>
          </cell>
          <cell r="H608">
            <v>0</v>
          </cell>
          <cell r="I608">
            <v>0</v>
          </cell>
          <cell r="J608">
            <v>105959150</v>
          </cell>
        </row>
        <row r="609">
          <cell r="B609" t="str">
            <v>1.1.12.01.02</v>
          </cell>
          <cell r="C609" t="str">
            <v>Suku Cadang</v>
          </cell>
          <cell r="F609">
            <v>0</v>
          </cell>
          <cell r="G609">
            <v>0</v>
          </cell>
          <cell r="H609">
            <v>0</v>
          </cell>
          <cell r="I609">
            <v>0</v>
          </cell>
          <cell r="J609">
            <v>0</v>
          </cell>
        </row>
        <row r="610">
          <cell r="B610" t="str">
            <v>1.1.12.01.03</v>
          </cell>
          <cell r="C610" t="str">
            <v>Alat/Bahan Untuk Kegiatan Kantor</v>
          </cell>
          <cell r="D610">
            <v>4987143915</v>
          </cell>
          <cell r="E610">
            <v>445968061</v>
          </cell>
          <cell r="F610">
            <v>0</v>
          </cell>
          <cell r="G610">
            <v>0</v>
          </cell>
          <cell r="H610">
            <v>0</v>
          </cell>
          <cell r="I610">
            <v>0</v>
          </cell>
          <cell r="J610">
            <v>445968061</v>
          </cell>
        </row>
        <row r="611">
          <cell r="B611" t="str">
            <v>1.1.12.01.04</v>
          </cell>
          <cell r="C611" t="str">
            <v>Obat-obatan</v>
          </cell>
          <cell r="D611">
            <v>17567698615.26659</v>
          </cell>
          <cell r="E611">
            <v>18265203598.559998</v>
          </cell>
          <cell r="F611">
            <v>0</v>
          </cell>
          <cell r="G611">
            <v>0</v>
          </cell>
          <cell r="H611">
            <v>0</v>
          </cell>
          <cell r="I611">
            <v>0</v>
          </cell>
          <cell r="J611">
            <v>18265203598.559998</v>
          </cell>
        </row>
        <row r="612">
          <cell r="B612" t="str">
            <v>1.1.12.01.05</v>
          </cell>
          <cell r="C612" t="str">
            <v>Persediaan untuk Dijual/Diserahkan</v>
          </cell>
          <cell r="D612">
            <v>1212655000</v>
          </cell>
          <cell r="E612">
            <v>2654246810</v>
          </cell>
          <cell r="F612">
            <v>0</v>
          </cell>
          <cell r="G612">
            <v>0</v>
          </cell>
          <cell r="H612">
            <v>0</v>
          </cell>
          <cell r="I612">
            <v>0</v>
          </cell>
          <cell r="J612">
            <v>2654246810</v>
          </cell>
        </row>
        <row r="613">
          <cell r="B613" t="str">
            <v>1.1.12.01.06</v>
          </cell>
          <cell r="C613" t="str">
            <v>Persediaan untuk Tujuan Strategis/Berjaga-Jaga</v>
          </cell>
          <cell r="F613">
            <v>0</v>
          </cell>
          <cell r="G613">
            <v>0</v>
          </cell>
          <cell r="H613">
            <v>0</v>
          </cell>
          <cell r="I613">
            <v>0</v>
          </cell>
          <cell r="J613">
            <v>0</v>
          </cell>
        </row>
        <row r="614">
          <cell r="B614" t="str">
            <v>1.1.12.01.07</v>
          </cell>
          <cell r="C614" t="str">
            <v>Natura dan Pakan</v>
          </cell>
          <cell r="D614">
            <v>400500</v>
          </cell>
          <cell r="E614">
            <v>1884500</v>
          </cell>
          <cell r="F614">
            <v>0</v>
          </cell>
          <cell r="G614">
            <v>0</v>
          </cell>
          <cell r="H614">
            <v>0</v>
          </cell>
          <cell r="I614">
            <v>0</v>
          </cell>
          <cell r="J614">
            <v>1884500</v>
          </cell>
        </row>
        <row r="615">
          <cell r="B615" t="str">
            <v>1.1.12.01.08</v>
          </cell>
          <cell r="C615" t="str">
            <v>Persediaan Penelitian</v>
          </cell>
          <cell r="F615">
            <v>0</v>
          </cell>
          <cell r="G615">
            <v>0</v>
          </cell>
          <cell r="H615">
            <v>0</v>
          </cell>
          <cell r="I615">
            <v>0</v>
          </cell>
          <cell r="J615">
            <v>0</v>
          </cell>
        </row>
        <row r="616">
          <cell r="B616" t="str">
            <v>1.1.12.01.09</v>
          </cell>
          <cell r="C616" t="str">
            <v>Persediaan dalam Proses</v>
          </cell>
          <cell r="F616">
            <v>0</v>
          </cell>
          <cell r="G616">
            <v>0</v>
          </cell>
          <cell r="H616">
            <v>0</v>
          </cell>
          <cell r="I616">
            <v>0</v>
          </cell>
          <cell r="J616">
            <v>0</v>
          </cell>
        </row>
        <row r="617">
          <cell r="B617" t="str">
            <v>1.1.12.02</v>
          </cell>
          <cell r="C617" t="str">
            <v>Barang Tak Habis Pakai</v>
          </cell>
          <cell r="D617">
            <v>0</v>
          </cell>
          <cell r="E617">
            <v>0</v>
          </cell>
          <cell r="J617">
            <v>0</v>
          </cell>
        </row>
        <row r="618">
          <cell r="B618" t="str">
            <v>1.1.12.02.01</v>
          </cell>
          <cell r="C618" t="str">
            <v>Komponen</v>
          </cell>
          <cell r="F618">
            <v>0</v>
          </cell>
          <cell r="G618">
            <v>0</v>
          </cell>
          <cell r="H618">
            <v>0</v>
          </cell>
          <cell r="I618">
            <v>0</v>
          </cell>
          <cell r="J618">
            <v>0</v>
          </cell>
        </row>
        <row r="619">
          <cell r="B619" t="str">
            <v>1.1.12.02.02</v>
          </cell>
          <cell r="C619" t="str">
            <v>Pipa</v>
          </cell>
          <cell r="F619">
            <v>0</v>
          </cell>
          <cell r="G619">
            <v>0</v>
          </cell>
          <cell r="H619">
            <v>0</v>
          </cell>
          <cell r="I619">
            <v>0</v>
          </cell>
          <cell r="J619">
            <v>0</v>
          </cell>
        </row>
        <row r="620">
          <cell r="B620" t="str">
            <v>1.1.12.03</v>
          </cell>
          <cell r="C620" t="str">
            <v>Barang Bekas Dipakai</v>
          </cell>
          <cell r="D620">
            <v>0</v>
          </cell>
          <cell r="E620">
            <v>0</v>
          </cell>
          <cell r="J620">
            <v>0</v>
          </cell>
        </row>
        <row r="621">
          <cell r="B621" t="str">
            <v>1.1.12.03.01</v>
          </cell>
          <cell r="C621" t="str">
            <v>Komponen Bekas dan Pipa Bekas</v>
          </cell>
          <cell r="F621">
            <v>0</v>
          </cell>
          <cell r="G621">
            <v>0</v>
          </cell>
          <cell r="H621">
            <v>0</v>
          </cell>
          <cell r="I621">
            <v>0</v>
          </cell>
          <cell r="J621">
            <v>0</v>
          </cell>
        </row>
        <row r="623">
          <cell r="B623" t="str">
            <v>1.1.13</v>
          </cell>
          <cell r="C623" t="str">
            <v>Aset Untuk Dikonsolidasikan</v>
          </cell>
          <cell r="D623">
            <v>0</v>
          </cell>
          <cell r="E623">
            <v>0</v>
          </cell>
          <cell r="J623">
            <v>0</v>
          </cell>
        </row>
        <row r="624">
          <cell r="B624" t="str">
            <v>1.1.13.01</v>
          </cell>
          <cell r="C624" t="str">
            <v>RK SKPD</v>
          </cell>
          <cell r="D624">
            <v>0</v>
          </cell>
          <cell r="E624">
            <v>0</v>
          </cell>
          <cell r="J624">
            <v>0</v>
          </cell>
        </row>
        <row r="625">
          <cell r="B625" t="str">
            <v>1.1.13.01.01</v>
          </cell>
          <cell r="C625" t="str">
            <v>RK SKPD</v>
          </cell>
          <cell r="F625">
            <v>0</v>
          </cell>
          <cell r="G625">
            <v>0</v>
          </cell>
          <cell r="H625">
            <v>0</v>
          </cell>
          <cell r="I625">
            <v>0</v>
          </cell>
          <cell r="J625">
            <v>0</v>
          </cell>
        </row>
        <row r="627">
          <cell r="B627" t="str">
            <v>1.2</v>
          </cell>
          <cell r="C627" t="str">
            <v>INVESTASI JANGKA PANJANG</v>
          </cell>
          <cell r="D627">
            <v>84628796886.024002</v>
          </cell>
          <cell r="E627">
            <v>83320924333.100006</v>
          </cell>
          <cell r="J627">
            <v>78515352256.440002</v>
          </cell>
        </row>
        <row r="628">
          <cell r="B628" t="str">
            <v>1.2.01</v>
          </cell>
          <cell r="C628" t="str">
            <v>Investasi Jangka Panjang Non Permanen</v>
          </cell>
          <cell r="D628">
            <v>13375000.5</v>
          </cell>
          <cell r="E628">
            <v>13375000.5</v>
          </cell>
          <cell r="J628">
            <v>13375000.5</v>
          </cell>
        </row>
        <row r="629">
          <cell r="B629" t="str">
            <v>1.2.01.01</v>
          </cell>
          <cell r="C629" t="str">
            <v>Investasi kepada Badan Usaha Milik Negara</v>
          </cell>
          <cell r="D629">
            <v>0</v>
          </cell>
          <cell r="E629">
            <v>0</v>
          </cell>
          <cell r="J629">
            <v>0</v>
          </cell>
        </row>
        <row r="630">
          <cell r="B630" t="str">
            <v>1.2.01.01.01</v>
          </cell>
          <cell r="C630" t="str">
            <v>Investasi kepada Badan Usaha Milik Negara</v>
          </cell>
          <cell r="F630">
            <v>0</v>
          </cell>
          <cell r="G630">
            <v>0</v>
          </cell>
          <cell r="H630">
            <v>0</v>
          </cell>
          <cell r="I630">
            <v>0</v>
          </cell>
          <cell r="J630">
            <v>0</v>
          </cell>
        </row>
        <row r="631">
          <cell r="B631" t="str">
            <v>1.2.01.02</v>
          </cell>
          <cell r="C631" t="str">
            <v>Investasi kepada Badan Usaha Milik Daerah</v>
          </cell>
          <cell r="D631">
            <v>0</v>
          </cell>
          <cell r="E631">
            <v>0</v>
          </cell>
          <cell r="J631">
            <v>0</v>
          </cell>
        </row>
        <row r="632">
          <cell r="B632" t="str">
            <v>1.2.01.02.01</v>
          </cell>
          <cell r="C632" t="str">
            <v>Investasi kepada Badan Usaha Milik Daerah</v>
          </cell>
          <cell r="F632">
            <v>0</v>
          </cell>
          <cell r="G632">
            <v>0</v>
          </cell>
          <cell r="H632">
            <v>0</v>
          </cell>
          <cell r="I632">
            <v>0</v>
          </cell>
          <cell r="J632">
            <v>0</v>
          </cell>
        </row>
        <row r="633">
          <cell r="B633" t="str">
            <v>1.2.01.03</v>
          </cell>
          <cell r="C633" t="str">
            <v>Investasi dalam Obligasi</v>
          </cell>
          <cell r="D633">
            <v>0</v>
          </cell>
          <cell r="E633">
            <v>0</v>
          </cell>
          <cell r="J633">
            <v>0</v>
          </cell>
        </row>
        <row r="634">
          <cell r="B634" t="str">
            <v>1.2.01.03.01</v>
          </cell>
          <cell r="C634" t="str">
            <v>Investasi dalam Obligasi</v>
          </cell>
          <cell r="F634">
            <v>0</v>
          </cell>
          <cell r="G634">
            <v>0</v>
          </cell>
          <cell r="H634">
            <v>0</v>
          </cell>
          <cell r="I634">
            <v>0</v>
          </cell>
          <cell r="J634">
            <v>0</v>
          </cell>
        </row>
        <row r="635">
          <cell r="B635" t="str">
            <v>1.2.01.04</v>
          </cell>
          <cell r="C635" t="str">
            <v>Investasi dalam Proyek Pembangunan</v>
          </cell>
          <cell r="D635">
            <v>0</v>
          </cell>
          <cell r="E635">
            <v>0</v>
          </cell>
          <cell r="J635">
            <v>0</v>
          </cell>
        </row>
        <row r="636">
          <cell r="B636" t="str">
            <v>1.2.01.04.01</v>
          </cell>
          <cell r="C636" t="str">
            <v>Investasi dalam Proyek Pembangunan kepada Pemerintah Pusat</v>
          </cell>
          <cell r="F636">
            <v>0</v>
          </cell>
          <cell r="G636">
            <v>0</v>
          </cell>
          <cell r="H636">
            <v>0</v>
          </cell>
          <cell r="I636">
            <v>0</v>
          </cell>
          <cell r="J636">
            <v>0</v>
          </cell>
        </row>
        <row r="637">
          <cell r="B637" t="str">
            <v>1.2.01.04.02</v>
          </cell>
          <cell r="C637" t="str">
            <v>Investasi dalam Proyek Pembangunan kepada Pemerintah Daerah</v>
          </cell>
          <cell r="F637">
            <v>0</v>
          </cell>
          <cell r="G637">
            <v>0</v>
          </cell>
          <cell r="H637">
            <v>0</v>
          </cell>
          <cell r="I637">
            <v>0</v>
          </cell>
          <cell r="J637">
            <v>0</v>
          </cell>
        </row>
        <row r="638">
          <cell r="B638" t="str">
            <v>1.2.01.05</v>
          </cell>
          <cell r="C638" t="str">
            <v>Dana Bergulir</v>
          </cell>
          <cell r="D638">
            <v>13375000.5</v>
          </cell>
          <cell r="E638">
            <v>13375000.5</v>
          </cell>
          <cell r="J638">
            <v>13375000.5</v>
          </cell>
        </row>
        <row r="639">
          <cell r="B639" t="str">
            <v>1.2.01.05.01</v>
          </cell>
          <cell r="C639" t="str">
            <v>Dana Bergulir kepada Koperasi</v>
          </cell>
          <cell r="D639">
            <v>13375000.5</v>
          </cell>
          <cell r="E639">
            <v>13375000.5</v>
          </cell>
          <cell r="F639">
            <v>0</v>
          </cell>
          <cell r="G639">
            <v>0</v>
          </cell>
          <cell r="H639">
            <v>0</v>
          </cell>
          <cell r="I639">
            <v>0</v>
          </cell>
          <cell r="J639">
            <v>13375000.5</v>
          </cell>
        </row>
        <row r="640">
          <cell r="B640" t="str">
            <v>1.2.01.05.02</v>
          </cell>
          <cell r="C640" t="str">
            <v>Dana Bergulir kepada Masyarakat</v>
          </cell>
          <cell r="F640">
            <v>0</v>
          </cell>
          <cell r="G640">
            <v>0</v>
          </cell>
          <cell r="H640">
            <v>0</v>
          </cell>
          <cell r="I640">
            <v>0</v>
          </cell>
          <cell r="J640">
            <v>0</v>
          </cell>
        </row>
        <row r="641">
          <cell r="B641" t="str">
            <v>1.2.01.05.03</v>
          </cell>
          <cell r="C641" t="str">
            <v>Dana Bergulir melalui BLUD</v>
          </cell>
          <cell r="F641">
            <v>0</v>
          </cell>
          <cell r="G641">
            <v>0</v>
          </cell>
          <cell r="H641">
            <v>0</v>
          </cell>
          <cell r="I641">
            <v>0</v>
          </cell>
          <cell r="J641">
            <v>0</v>
          </cell>
        </row>
        <row r="643">
          <cell r="B643" t="str">
            <v>1.2.02</v>
          </cell>
          <cell r="C643" t="str">
            <v>Investasi Jangka Panjang Permanen</v>
          </cell>
          <cell r="D643">
            <v>84615421885.524002</v>
          </cell>
          <cell r="E643">
            <v>83307549332.600006</v>
          </cell>
          <cell r="J643">
            <v>78501977255.940002</v>
          </cell>
        </row>
        <row r="644">
          <cell r="B644" t="str">
            <v>1.2.02.01</v>
          </cell>
          <cell r="C644" t="str">
            <v>Penyertaan Modal</v>
          </cell>
          <cell r="D644">
            <v>84615421885.524002</v>
          </cell>
          <cell r="E644">
            <v>83307549332.600006</v>
          </cell>
          <cell r="J644">
            <v>78501977255.940002</v>
          </cell>
        </row>
        <row r="645">
          <cell r="B645" t="str">
            <v>1.2.02.01.01</v>
          </cell>
          <cell r="C645" t="str">
            <v>Penyertaan Modal kepada Badan Usaha Milik Daerah (BUMD)</v>
          </cell>
          <cell r="D645">
            <v>84615421885.524002</v>
          </cell>
          <cell r="E645">
            <v>83307549332.600006</v>
          </cell>
          <cell r="F645">
            <v>0</v>
          </cell>
          <cell r="G645">
            <v>4805572076.6599998</v>
          </cell>
          <cell r="H645">
            <v>0</v>
          </cell>
          <cell r="I645">
            <v>0</v>
          </cell>
          <cell r="J645">
            <v>78501977255.940002</v>
          </cell>
        </row>
        <row r="646">
          <cell r="B646" t="str">
            <v>1.2.02.01.02</v>
          </cell>
          <cell r="C646" t="str">
            <v>Penyertaan Modal kepada Badan Usaha Milik Negara (BUMN)</v>
          </cell>
          <cell r="F646">
            <v>0</v>
          </cell>
          <cell r="G646">
            <v>0</v>
          </cell>
          <cell r="H646">
            <v>0</v>
          </cell>
          <cell r="I646">
            <v>0</v>
          </cell>
          <cell r="J646">
            <v>0</v>
          </cell>
        </row>
        <row r="647">
          <cell r="B647" t="str">
            <v>1.2.02.02</v>
          </cell>
          <cell r="C647" t="str">
            <v>Investasi-Pemberian Pinjaman Daerah</v>
          </cell>
          <cell r="D647">
            <v>0</v>
          </cell>
          <cell r="E647">
            <v>0</v>
          </cell>
          <cell r="J647">
            <v>0</v>
          </cell>
        </row>
        <row r="648">
          <cell r="B648" t="str">
            <v>1.2.02.02.01</v>
          </cell>
          <cell r="C648" t="str">
            <v>Investasi-Pemberian Pinjaman Daerah kepada Pemerintah Pusat</v>
          </cell>
          <cell r="F648">
            <v>0</v>
          </cell>
          <cell r="G648">
            <v>0</v>
          </cell>
          <cell r="H648">
            <v>0</v>
          </cell>
          <cell r="I648">
            <v>0</v>
          </cell>
          <cell r="J648">
            <v>0</v>
          </cell>
        </row>
        <row r="649">
          <cell r="B649" t="str">
            <v>1.2.02.02.02</v>
          </cell>
          <cell r="C649" t="str">
            <v>Investasi-Pemberian Pinjaman Daerah kepada Pemerintah Daerah Lainnya</v>
          </cell>
          <cell r="F649">
            <v>0</v>
          </cell>
          <cell r="G649">
            <v>0</v>
          </cell>
          <cell r="H649">
            <v>0</v>
          </cell>
          <cell r="I649">
            <v>0</v>
          </cell>
          <cell r="J649">
            <v>0</v>
          </cell>
        </row>
        <row r="650">
          <cell r="B650" t="str">
            <v>1.2.02.02.03</v>
          </cell>
          <cell r="C650" t="str">
            <v>Investasi-Pemberian Pinjaman Daerah kepada BUMD</v>
          </cell>
          <cell r="F650">
            <v>0</v>
          </cell>
          <cell r="G650">
            <v>0</v>
          </cell>
          <cell r="H650">
            <v>0</v>
          </cell>
          <cell r="I650">
            <v>0</v>
          </cell>
          <cell r="J650">
            <v>0</v>
          </cell>
        </row>
        <row r="651">
          <cell r="B651" t="str">
            <v>1.2.02.02.04</v>
          </cell>
          <cell r="C651" t="str">
            <v>Investasi-Pemberian Pinjaman Daerah kepada BUMN</v>
          </cell>
          <cell r="F651">
            <v>0</v>
          </cell>
          <cell r="G651">
            <v>0</v>
          </cell>
          <cell r="H651">
            <v>0</v>
          </cell>
          <cell r="I651">
            <v>0</v>
          </cell>
          <cell r="J651">
            <v>0</v>
          </cell>
        </row>
        <row r="652">
          <cell r="B652" t="str">
            <v>1.2.02.02.05</v>
          </cell>
          <cell r="C652" t="str">
            <v>Investasi-Pemberian Pinjaman Daerah kepada Koperasi</v>
          </cell>
          <cell r="F652">
            <v>0</v>
          </cell>
          <cell r="G652">
            <v>0</v>
          </cell>
          <cell r="H652">
            <v>0</v>
          </cell>
          <cell r="I652">
            <v>0</v>
          </cell>
          <cell r="J652">
            <v>0</v>
          </cell>
        </row>
        <row r="653">
          <cell r="B653" t="str">
            <v>1.2.02.02.06</v>
          </cell>
          <cell r="C653" t="str">
            <v>Investasi-Pemberian Pinjaman Daerah kepada Masyarakat</v>
          </cell>
          <cell r="F653">
            <v>0</v>
          </cell>
          <cell r="G653">
            <v>0</v>
          </cell>
          <cell r="H653">
            <v>0</v>
          </cell>
          <cell r="I653">
            <v>0</v>
          </cell>
          <cell r="J653">
            <v>0</v>
          </cell>
        </row>
        <row r="654">
          <cell r="B654" t="str">
            <v>1.2.02.03</v>
          </cell>
          <cell r="C654" t="str">
            <v>Investasi Dana Abadi Daerah</v>
          </cell>
          <cell r="D654">
            <v>0</v>
          </cell>
          <cell r="E654">
            <v>0</v>
          </cell>
          <cell r="J654">
            <v>0</v>
          </cell>
        </row>
        <row r="655">
          <cell r="B655" t="str">
            <v>1.2.02.03.01</v>
          </cell>
          <cell r="C655" t="str">
            <v>Investasi Dana Abadi Daerah</v>
          </cell>
          <cell r="F655">
            <v>0</v>
          </cell>
          <cell r="G655">
            <v>0</v>
          </cell>
          <cell r="H655">
            <v>0</v>
          </cell>
          <cell r="I655">
            <v>0</v>
          </cell>
          <cell r="J655">
            <v>0</v>
          </cell>
        </row>
        <row r="657">
          <cell r="B657" t="str">
            <v>1.3</v>
          </cell>
          <cell r="C657" t="str">
            <v>ASET TETAP</v>
          </cell>
          <cell r="D657" t="str">
            <v>2.678.998.403.647,70</v>
          </cell>
          <cell r="E657" t="str">
            <v>2.679.235.159.551,73</v>
          </cell>
          <cell r="J657" t="str">
            <v>2.649.641.375.145,13</v>
          </cell>
        </row>
        <row r="658">
          <cell r="B658" t="str">
            <v>1.3.01</v>
          </cell>
          <cell r="C658" t="str">
            <v>Tanah</v>
          </cell>
          <cell r="D658">
            <v>478771890498.66998</v>
          </cell>
          <cell r="E658">
            <v>498121991298.66998</v>
          </cell>
          <cell r="J658">
            <v>498033019298.66998</v>
          </cell>
        </row>
        <row r="659">
          <cell r="B659" t="str">
            <v>1.3.01.01</v>
          </cell>
          <cell r="C659" t="str">
            <v>Tanah</v>
          </cell>
          <cell r="D659">
            <v>478771890498.66998</v>
          </cell>
          <cell r="E659">
            <v>498121991298.66998</v>
          </cell>
          <cell r="J659">
            <v>498033019298.66998</v>
          </cell>
        </row>
        <row r="660">
          <cell r="B660" t="str">
            <v>1.3.01.01.01</v>
          </cell>
          <cell r="C660" t="str">
            <v>Tanah Persil</v>
          </cell>
          <cell r="D660">
            <v>307490642020</v>
          </cell>
          <cell r="E660">
            <v>310594277520</v>
          </cell>
          <cell r="F660">
            <v>0</v>
          </cell>
          <cell r="G660">
            <v>88972000</v>
          </cell>
          <cell r="H660">
            <v>0</v>
          </cell>
          <cell r="I660">
            <v>0</v>
          </cell>
          <cell r="J660">
            <v>310505305520</v>
          </cell>
        </row>
        <row r="661">
          <cell r="B661" t="str">
            <v>1.3.01.01.02</v>
          </cell>
          <cell r="C661" t="str">
            <v>Tanah Non Persil</v>
          </cell>
          <cell r="D661">
            <v>28597891430</v>
          </cell>
          <cell r="E661">
            <v>44844356730</v>
          </cell>
          <cell r="F661">
            <v>0</v>
          </cell>
          <cell r="G661">
            <v>0</v>
          </cell>
          <cell r="H661">
            <v>0</v>
          </cell>
          <cell r="I661">
            <v>0</v>
          </cell>
          <cell r="J661">
            <v>44844356730</v>
          </cell>
        </row>
        <row r="662">
          <cell r="B662" t="str">
            <v>1.3.01.01.03</v>
          </cell>
          <cell r="C662" t="str">
            <v>Lapangan</v>
          </cell>
          <cell r="D662">
            <v>142683357048.66998</v>
          </cell>
          <cell r="E662">
            <v>142683357048.66998</v>
          </cell>
          <cell r="F662">
            <v>0</v>
          </cell>
          <cell r="G662">
            <v>0</v>
          </cell>
          <cell r="H662">
            <v>0</v>
          </cell>
          <cell r="I662">
            <v>0</v>
          </cell>
          <cell r="J662">
            <v>142683357048.66998</v>
          </cell>
        </row>
        <row r="664">
          <cell r="B664" t="str">
            <v>1.3.02</v>
          </cell>
          <cell r="C664" t="str">
            <v>Peralatan dan Mesin</v>
          </cell>
          <cell r="D664">
            <v>735190183804.68042</v>
          </cell>
          <cell r="E664">
            <v>767490500831.41016</v>
          </cell>
          <cell r="J664">
            <v>760440812936.51086</v>
          </cell>
        </row>
        <row r="665">
          <cell r="B665" t="str">
            <v>1.3.02.01</v>
          </cell>
          <cell r="C665" t="str">
            <v>Alat Besar</v>
          </cell>
          <cell r="D665">
            <v>9819235639</v>
          </cell>
          <cell r="E665">
            <v>20089667719</v>
          </cell>
          <cell r="J665">
            <v>20622768133.080002</v>
          </cell>
        </row>
        <row r="666">
          <cell r="B666" t="str">
            <v>1.3.02.01.01</v>
          </cell>
          <cell r="C666" t="str">
            <v>Alat Besar Darat</v>
          </cell>
          <cell r="D666">
            <v>7684956135</v>
          </cell>
          <cell r="E666">
            <v>11577456135</v>
          </cell>
          <cell r="F666">
            <v>538798000</v>
          </cell>
          <cell r="G666">
            <v>1051680</v>
          </cell>
          <cell r="H666">
            <v>0</v>
          </cell>
          <cell r="I666">
            <v>0</v>
          </cell>
          <cell r="J666">
            <v>12115202455</v>
          </cell>
        </row>
        <row r="667">
          <cell r="B667" t="str">
            <v>1.3.02.01.02</v>
          </cell>
          <cell r="C667" t="str">
            <v>Alat Besar Apung</v>
          </cell>
          <cell r="F667">
            <v>0</v>
          </cell>
          <cell r="G667">
            <v>0</v>
          </cell>
          <cell r="H667">
            <v>0</v>
          </cell>
          <cell r="I667">
            <v>0</v>
          </cell>
          <cell r="J667">
            <v>0</v>
          </cell>
        </row>
        <row r="668">
          <cell r="B668" t="str">
            <v>1.3.02.01.03</v>
          </cell>
          <cell r="C668" t="str">
            <v>Alat Bantu</v>
          </cell>
          <cell r="D668">
            <v>2134279504</v>
          </cell>
          <cell r="E668">
            <v>8512211584</v>
          </cell>
          <cell r="F668">
            <v>0</v>
          </cell>
          <cell r="G668">
            <v>4645905.92</v>
          </cell>
          <cell r="H668">
            <v>0</v>
          </cell>
          <cell r="I668">
            <v>0</v>
          </cell>
          <cell r="J668">
            <v>8507565678.0799999</v>
          </cell>
        </row>
        <row r="669">
          <cell r="B669" t="str">
            <v>1.3.02.02</v>
          </cell>
          <cell r="C669" t="str">
            <v>Alat Angkutan</v>
          </cell>
          <cell r="D669">
            <v>179630071843.63998</v>
          </cell>
          <cell r="E669">
            <v>181827104802.64001</v>
          </cell>
          <cell r="J669">
            <v>181826804802.64001</v>
          </cell>
        </row>
        <row r="670">
          <cell r="B670" t="str">
            <v>1.3.02.02.01</v>
          </cell>
          <cell r="C670" t="str">
            <v>Alat Angkutan Darat Bermotor</v>
          </cell>
          <cell r="D670">
            <v>176104430943.63998</v>
          </cell>
          <cell r="E670">
            <v>178285521542.64001</v>
          </cell>
          <cell r="F670">
            <v>0</v>
          </cell>
          <cell r="G670">
            <v>0</v>
          </cell>
          <cell r="H670">
            <v>0</v>
          </cell>
          <cell r="I670">
            <v>0</v>
          </cell>
          <cell r="J670">
            <v>178285521542.64001</v>
          </cell>
        </row>
        <row r="671">
          <cell r="B671" t="str">
            <v>1.3.02.02.02</v>
          </cell>
          <cell r="C671" t="str">
            <v>Alat Angkutan Darat Tak Bermotor</v>
          </cell>
          <cell r="D671">
            <v>338956900</v>
          </cell>
          <cell r="E671">
            <v>354899260</v>
          </cell>
          <cell r="F671">
            <v>0</v>
          </cell>
          <cell r="G671">
            <v>300000</v>
          </cell>
          <cell r="H671">
            <v>0</v>
          </cell>
          <cell r="I671">
            <v>0</v>
          </cell>
          <cell r="J671">
            <v>354599260</v>
          </cell>
        </row>
        <row r="672">
          <cell r="B672" t="str">
            <v>1.3.02.02.03</v>
          </cell>
          <cell r="C672" t="str">
            <v>Alat Angkutan Apung Bermotor</v>
          </cell>
          <cell r="D672">
            <v>2216654000</v>
          </cell>
          <cell r="E672">
            <v>2216654000</v>
          </cell>
          <cell r="F672">
            <v>0</v>
          </cell>
          <cell r="G672">
            <v>0</v>
          </cell>
          <cell r="H672">
            <v>0</v>
          </cell>
          <cell r="I672">
            <v>0</v>
          </cell>
          <cell r="J672">
            <v>2216654000</v>
          </cell>
        </row>
        <row r="673">
          <cell r="B673" t="str">
            <v>1.3.02.02.04</v>
          </cell>
          <cell r="C673" t="str">
            <v>Alat Angkutan Apung Tak Bermotor</v>
          </cell>
          <cell r="D673">
            <v>970030000</v>
          </cell>
          <cell r="E673">
            <v>970030000</v>
          </cell>
          <cell r="F673">
            <v>0</v>
          </cell>
          <cell r="G673">
            <v>0</v>
          </cell>
          <cell r="H673">
            <v>0</v>
          </cell>
          <cell r="I673">
            <v>0</v>
          </cell>
          <cell r="J673">
            <v>970030000</v>
          </cell>
        </row>
        <row r="674">
          <cell r="B674" t="str">
            <v>1.3.02.02.05</v>
          </cell>
          <cell r="C674" t="str">
            <v>Alat Angkutan Bermotor Udara</v>
          </cell>
          <cell r="F674">
            <v>0</v>
          </cell>
          <cell r="G674">
            <v>0</v>
          </cell>
          <cell r="H674">
            <v>0</v>
          </cell>
          <cell r="I674">
            <v>0</v>
          </cell>
          <cell r="J674">
            <v>0</v>
          </cell>
        </row>
        <row r="675">
          <cell r="B675" t="str">
            <v>1.3.02.03</v>
          </cell>
          <cell r="C675" t="str">
            <v>Alat Bengkel dan Alat Ukur</v>
          </cell>
          <cell r="D675">
            <v>5852110386.5099001</v>
          </cell>
          <cell r="E675">
            <v>6125328396.5100002</v>
          </cell>
          <cell r="J675">
            <v>6119719556.5100002</v>
          </cell>
        </row>
        <row r="676">
          <cell r="B676" t="str">
            <v>1.3.02.03.01</v>
          </cell>
          <cell r="C676" t="str">
            <v>Alat Bengkel Bermesin</v>
          </cell>
          <cell r="D676">
            <v>1109179792</v>
          </cell>
          <cell r="E676">
            <v>1089775592</v>
          </cell>
          <cell r="F676">
            <v>0</v>
          </cell>
          <cell r="G676">
            <v>1496400</v>
          </cell>
          <cell r="H676">
            <v>0</v>
          </cell>
          <cell r="I676">
            <v>0</v>
          </cell>
          <cell r="J676">
            <v>1088279192</v>
          </cell>
        </row>
        <row r="677">
          <cell r="B677" t="str">
            <v>1.3.02.03.02</v>
          </cell>
          <cell r="C677" t="str">
            <v>Alat Bengkel Tak Bermesin</v>
          </cell>
          <cell r="D677">
            <v>1273651086.1798999</v>
          </cell>
          <cell r="E677">
            <v>1356564086.1800001</v>
          </cell>
          <cell r="F677">
            <v>0</v>
          </cell>
          <cell r="G677">
            <v>1045090</v>
          </cell>
          <cell r="H677">
            <v>0</v>
          </cell>
          <cell r="I677">
            <v>0</v>
          </cell>
          <cell r="J677">
            <v>1355518996.1800001</v>
          </cell>
        </row>
        <row r="678">
          <cell r="B678" t="str">
            <v>1.3.02.03.03</v>
          </cell>
          <cell r="C678" t="str">
            <v>Alat Ukur</v>
          </cell>
          <cell r="D678">
            <v>3469279508.3299999</v>
          </cell>
          <cell r="E678">
            <v>3678988718.3299999</v>
          </cell>
          <cell r="F678">
            <v>0</v>
          </cell>
          <cell r="G678">
            <v>3067350</v>
          </cell>
          <cell r="H678">
            <v>0</v>
          </cell>
          <cell r="I678">
            <v>0</v>
          </cell>
          <cell r="J678">
            <v>3675921368.3299999</v>
          </cell>
        </row>
        <row r="679">
          <cell r="B679" t="str">
            <v>1.3.02.04</v>
          </cell>
          <cell r="C679" t="str">
            <v>Alat Pertanian</v>
          </cell>
          <cell r="D679">
            <v>10849894692.474905</v>
          </cell>
          <cell r="E679">
            <v>10709222681.18</v>
          </cell>
          <cell r="J679">
            <v>10703721304.18</v>
          </cell>
        </row>
        <row r="680">
          <cell r="B680" t="str">
            <v>1.3.02.04.01</v>
          </cell>
          <cell r="C680" t="str">
            <v>Alat Pengolahan</v>
          </cell>
          <cell r="D680">
            <v>10849894692.474905</v>
          </cell>
          <cell r="E680">
            <v>10709222681.18</v>
          </cell>
          <cell r="F680">
            <v>0</v>
          </cell>
          <cell r="G680">
            <v>5501377</v>
          </cell>
          <cell r="H680">
            <v>0</v>
          </cell>
          <cell r="I680">
            <v>0</v>
          </cell>
          <cell r="J680">
            <v>10703721304.18</v>
          </cell>
        </row>
        <row r="681">
          <cell r="B681" t="str">
            <v>1.3.02.05</v>
          </cell>
          <cell r="C681" t="str">
            <v>Alat Kantor dan Rumah Tangga</v>
          </cell>
          <cell r="D681">
            <v>143231674590.03229</v>
          </cell>
          <cell r="E681">
            <v>152546837367.80002</v>
          </cell>
          <cell r="J681">
            <v>145604644536.96072</v>
          </cell>
        </row>
        <row r="682">
          <cell r="B682" t="str">
            <v>1.3.02.05.01</v>
          </cell>
          <cell r="C682" t="str">
            <v>Alat Kantor</v>
          </cell>
          <cell r="D682">
            <v>30017786869.455536</v>
          </cell>
          <cell r="E682">
            <v>33093969086.149998</v>
          </cell>
          <cell r="F682">
            <v>0</v>
          </cell>
          <cell r="G682">
            <v>297434463.93200016</v>
          </cell>
          <cell r="H682">
            <v>0</v>
          </cell>
          <cell r="I682">
            <v>0</v>
          </cell>
          <cell r="J682">
            <v>32796534622.217999</v>
          </cell>
        </row>
        <row r="683">
          <cell r="B683" t="str">
            <v>1.3.02.05.02</v>
          </cell>
          <cell r="C683" t="str">
            <v>Alat Rumah Tangga</v>
          </cell>
          <cell r="D683">
            <v>104582423711.72076</v>
          </cell>
          <cell r="E683">
            <v>110274728725.83</v>
          </cell>
          <cell r="F683">
            <v>0</v>
          </cell>
          <cell r="G683">
            <v>6348259283.7215757</v>
          </cell>
          <cell r="H683">
            <v>0</v>
          </cell>
          <cell r="I683">
            <v>0</v>
          </cell>
          <cell r="J683">
            <v>103926469442.10843</v>
          </cell>
        </row>
        <row r="684">
          <cell r="B684" t="str">
            <v>1.3.02.05.03</v>
          </cell>
          <cell r="C684" t="str">
            <v>Meja dan Kursi Kerja/Rapat Pejabat</v>
          </cell>
          <cell r="D684">
            <v>8631464008.8560028</v>
          </cell>
          <cell r="E684">
            <v>9178139555.8200016</v>
          </cell>
          <cell r="F684">
            <v>0</v>
          </cell>
          <cell r="G684">
            <v>296499083.18570018</v>
          </cell>
          <cell r="H684">
            <v>0</v>
          </cell>
          <cell r="I684">
            <v>0</v>
          </cell>
          <cell r="J684">
            <v>8881640472.6343021</v>
          </cell>
        </row>
        <row r="685">
          <cell r="B685" t="str">
            <v>1.3.02.06</v>
          </cell>
          <cell r="C685" t="str">
            <v>Alat Studio, Komunikasi, dan Pemancar</v>
          </cell>
          <cell r="D685">
            <v>14944883957.439501</v>
          </cell>
          <cell r="E685">
            <v>15771065604.440001</v>
          </cell>
          <cell r="J685">
            <v>15762612159.440001</v>
          </cell>
        </row>
        <row r="686">
          <cell r="B686" t="str">
            <v>1.3.02.06.01</v>
          </cell>
          <cell r="C686" t="str">
            <v>Alat Studio</v>
          </cell>
          <cell r="D686">
            <v>8651153792.4395008</v>
          </cell>
          <cell r="E686">
            <v>9330949929.4400005</v>
          </cell>
          <cell r="F686">
            <v>0</v>
          </cell>
          <cell r="G686">
            <v>6130600</v>
          </cell>
          <cell r="H686">
            <v>0</v>
          </cell>
          <cell r="I686">
            <v>0</v>
          </cell>
          <cell r="J686">
            <v>9324819329.4400005</v>
          </cell>
        </row>
        <row r="687">
          <cell r="B687" t="str">
            <v>1.3.02.06.02</v>
          </cell>
          <cell r="C687" t="str">
            <v>Alat Komunikasi</v>
          </cell>
          <cell r="D687">
            <v>2784683856</v>
          </cell>
          <cell r="E687">
            <v>2928304366</v>
          </cell>
          <cell r="F687">
            <v>0</v>
          </cell>
          <cell r="G687">
            <v>1547845</v>
          </cell>
          <cell r="H687">
            <v>0</v>
          </cell>
          <cell r="I687">
            <v>0</v>
          </cell>
          <cell r="J687">
            <v>2926756521</v>
          </cell>
        </row>
        <row r="688">
          <cell r="B688" t="str">
            <v>1.3.02.06.03</v>
          </cell>
          <cell r="C688" t="str">
            <v>Peralatan Pemancar</v>
          </cell>
          <cell r="D688">
            <v>3506946309</v>
          </cell>
          <cell r="E688">
            <v>3509711309</v>
          </cell>
          <cell r="F688">
            <v>0</v>
          </cell>
          <cell r="G688">
            <v>775000</v>
          </cell>
          <cell r="H688">
            <v>0</v>
          </cell>
          <cell r="I688">
            <v>0</v>
          </cell>
          <cell r="J688">
            <v>3508936309</v>
          </cell>
        </row>
        <row r="689">
          <cell r="B689" t="str">
            <v>1.3.02.06.04</v>
          </cell>
          <cell r="C689" t="str">
            <v>Peralatan Komunikasi Navigasi</v>
          </cell>
          <cell r="D689">
            <v>2100000</v>
          </cell>
          <cell r="E689">
            <v>2100000</v>
          </cell>
          <cell r="F689">
            <v>0</v>
          </cell>
          <cell r="G689">
            <v>0</v>
          </cell>
          <cell r="H689">
            <v>0</v>
          </cell>
          <cell r="I689">
            <v>0</v>
          </cell>
          <cell r="J689">
            <v>2100000</v>
          </cell>
        </row>
        <row r="690">
          <cell r="B690" t="str">
            <v>1.3.02.07</v>
          </cell>
          <cell r="C690" t="str">
            <v>Alat Kedokteran dan Kesehatan</v>
          </cell>
          <cell r="D690">
            <v>210060741673.97003</v>
          </cell>
          <cell r="E690">
            <v>211664452214.98999</v>
          </cell>
          <cell r="J690">
            <v>211661044014.98999</v>
          </cell>
        </row>
        <row r="691">
          <cell r="B691" t="str">
            <v>1.3.02.07.01</v>
          </cell>
          <cell r="C691" t="str">
            <v>Alat Kedokteran</v>
          </cell>
          <cell r="D691">
            <v>202893546959.97003</v>
          </cell>
          <cell r="E691">
            <v>204458979473.98999</v>
          </cell>
          <cell r="F691">
            <v>0</v>
          </cell>
          <cell r="G691">
            <v>884200</v>
          </cell>
          <cell r="H691">
            <v>0</v>
          </cell>
          <cell r="I691">
            <v>0</v>
          </cell>
          <cell r="J691">
            <v>204458095273.98999</v>
          </cell>
        </row>
        <row r="692">
          <cell r="B692" t="str">
            <v>1.3.02.07.02</v>
          </cell>
          <cell r="C692" t="str">
            <v>Alat Kesehatan Umum</v>
          </cell>
          <cell r="D692">
            <v>7167194714</v>
          </cell>
          <cell r="E692">
            <v>7205472741</v>
          </cell>
          <cell r="F692">
            <v>0</v>
          </cell>
          <cell r="G692">
            <v>2524000</v>
          </cell>
          <cell r="H692">
            <v>0</v>
          </cell>
          <cell r="I692">
            <v>0</v>
          </cell>
          <cell r="J692">
            <v>7202948741</v>
          </cell>
        </row>
        <row r="693">
          <cell r="B693" t="str">
            <v>1.3.02.08</v>
          </cell>
          <cell r="C693" t="str">
            <v>Alat Laboratorium</v>
          </cell>
          <cell r="D693">
            <v>43771812826.952759</v>
          </cell>
          <cell r="E693">
            <v>44403685943.979996</v>
          </cell>
          <cell r="J693">
            <v>43881058864.679993</v>
          </cell>
        </row>
        <row r="694">
          <cell r="B694" t="str">
            <v>1.3.02.08.01</v>
          </cell>
          <cell r="C694" t="str">
            <v>Unit Alat Laboratorium</v>
          </cell>
          <cell r="D694">
            <v>18163636670.879997</v>
          </cell>
          <cell r="E694">
            <v>18565711987.879997</v>
          </cell>
          <cell r="F694">
            <v>0</v>
          </cell>
          <cell r="G694">
            <v>18597550</v>
          </cell>
          <cell r="H694">
            <v>0</v>
          </cell>
          <cell r="I694">
            <v>0</v>
          </cell>
          <cell r="J694">
            <v>18547114437.879997</v>
          </cell>
        </row>
        <row r="695">
          <cell r="B695" t="str">
            <v>1.3.02.08.02</v>
          </cell>
          <cell r="C695" t="str">
            <v>Unit Alat Laboratorium Kimia Nuklir</v>
          </cell>
          <cell r="D695">
            <v>421676750</v>
          </cell>
          <cell r="E695">
            <v>421676750</v>
          </cell>
          <cell r="F695">
            <v>0</v>
          </cell>
          <cell r="G695">
            <v>0</v>
          </cell>
          <cell r="H695">
            <v>0</v>
          </cell>
          <cell r="I695">
            <v>0</v>
          </cell>
          <cell r="J695">
            <v>421676750</v>
          </cell>
        </row>
        <row r="696">
          <cell r="B696" t="str">
            <v>1.3.02.08.03</v>
          </cell>
          <cell r="C696" t="str">
            <v>Alat Peraga Praktik Sekolah</v>
          </cell>
          <cell r="D696">
            <v>19052438844.072758</v>
          </cell>
          <cell r="E696">
            <v>19302787344.099998</v>
          </cell>
          <cell r="F696">
            <v>0</v>
          </cell>
          <cell r="G696">
            <v>500378249.30000794</v>
          </cell>
          <cell r="H696">
            <v>0</v>
          </cell>
          <cell r="I696">
            <v>0</v>
          </cell>
          <cell r="J696">
            <v>18802409094.799992</v>
          </cell>
        </row>
        <row r="697">
          <cell r="B697" t="str">
            <v>1.3.02.08.04</v>
          </cell>
          <cell r="C697" t="str">
            <v>Alat Laboratorium Fisika Nuklir/Elektronika</v>
          </cell>
          <cell r="D697">
            <v>1216499017</v>
          </cell>
          <cell r="E697">
            <v>1217249017</v>
          </cell>
          <cell r="F697">
            <v>0</v>
          </cell>
          <cell r="G697">
            <v>940000</v>
          </cell>
          <cell r="H697">
            <v>0</v>
          </cell>
          <cell r="I697">
            <v>0</v>
          </cell>
          <cell r="J697">
            <v>1216309017</v>
          </cell>
        </row>
        <row r="698">
          <cell r="B698" t="str">
            <v>1.3.02.08.05</v>
          </cell>
          <cell r="C698" t="str">
            <v>Alat Proteksi Radiasi/Proteksi Lingkungan</v>
          </cell>
          <cell r="D698">
            <v>44572500</v>
          </cell>
          <cell r="E698">
            <v>44572500</v>
          </cell>
          <cell r="F698">
            <v>0</v>
          </cell>
          <cell r="G698">
            <v>0</v>
          </cell>
          <cell r="H698">
            <v>0</v>
          </cell>
          <cell r="I698">
            <v>0</v>
          </cell>
          <cell r="J698">
            <v>44572500</v>
          </cell>
        </row>
        <row r="699">
          <cell r="B699" t="str">
            <v>1.3.02.08.06</v>
          </cell>
          <cell r="C699" t="str">
            <v>Radiation Application and Non Destructive Testing Laboratory Lainnya</v>
          </cell>
          <cell r="D699">
            <v>63243200</v>
          </cell>
          <cell r="E699">
            <v>63243200</v>
          </cell>
          <cell r="F699">
            <v>0</v>
          </cell>
          <cell r="G699">
            <v>0</v>
          </cell>
          <cell r="H699">
            <v>0</v>
          </cell>
          <cell r="I699">
            <v>0</v>
          </cell>
          <cell r="J699">
            <v>63243200</v>
          </cell>
        </row>
        <row r="700">
          <cell r="B700" t="str">
            <v>1.3.02.08.07</v>
          </cell>
          <cell r="C700" t="str">
            <v>Alat Laboratorium Lingkungan Hidup</v>
          </cell>
          <cell r="D700">
            <v>3233358689</v>
          </cell>
          <cell r="E700">
            <v>3227267689</v>
          </cell>
          <cell r="F700">
            <v>0</v>
          </cell>
          <cell r="G700">
            <v>0</v>
          </cell>
          <cell r="H700">
            <v>0</v>
          </cell>
          <cell r="I700">
            <v>0</v>
          </cell>
          <cell r="J700">
            <v>3227267689</v>
          </cell>
        </row>
        <row r="701">
          <cell r="B701" t="str">
            <v>1.3.02.08.08</v>
          </cell>
          <cell r="C701" t="str">
            <v>Peralatan Laboratorium Hydrodinamica</v>
          </cell>
          <cell r="D701">
            <v>1080802016</v>
          </cell>
          <cell r="E701">
            <v>1065592316</v>
          </cell>
          <cell r="F701">
            <v>0</v>
          </cell>
          <cell r="G701">
            <v>2711280</v>
          </cell>
          <cell r="H701">
            <v>0</v>
          </cell>
          <cell r="I701">
            <v>0</v>
          </cell>
          <cell r="J701">
            <v>1062881036</v>
          </cell>
        </row>
        <row r="702">
          <cell r="B702" t="str">
            <v>1.3.02.08.09</v>
          </cell>
          <cell r="C702" t="str">
            <v>Alat Laboratorium Standarisasi Kalibrasi dan Instrumentasi</v>
          </cell>
          <cell r="D702">
            <v>495585140</v>
          </cell>
          <cell r="E702">
            <v>495585140</v>
          </cell>
          <cell r="F702">
            <v>0</v>
          </cell>
          <cell r="G702">
            <v>0</v>
          </cell>
          <cell r="H702">
            <v>0</v>
          </cell>
          <cell r="I702">
            <v>0</v>
          </cell>
          <cell r="J702">
            <v>495585140</v>
          </cell>
        </row>
        <row r="703">
          <cell r="B703" t="str">
            <v>1.3.02.09</v>
          </cell>
          <cell r="C703" t="str">
            <v>Alat Persenjataan</v>
          </cell>
          <cell r="D703">
            <v>1331622100</v>
          </cell>
          <cell r="E703">
            <v>1353810872</v>
          </cell>
          <cell r="J703">
            <v>1353810872</v>
          </cell>
        </row>
        <row r="704">
          <cell r="B704" t="str">
            <v>1.3.02.09.01</v>
          </cell>
          <cell r="C704" t="str">
            <v>Senjata Api</v>
          </cell>
          <cell r="D704">
            <v>23570800</v>
          </cell>
          <cell r="E704">
            <v>23570800</v>
          </cell>
          <cell r="F704">
            <v>0</v>
          </cell>
          <cell r="G704">
            <v>0</v>
          </cell>
          <cell r="H704">
            <v>0</v>
          </cell>
          <cell r="I704">
            <v>0</v>
          </cell>
          <cell r="J704">
            <v>23570800</v>
          </cell>
        </row>
        <row r="705">
          <cell r="B705" t="str">
            <v>1.3.02.09.02</v>
          </cell>
          <cell r="C705" t="str">
            <v>Persenjataan Non Senjata Api</v>
          </cell>
          <cell r="D705">
            <v>1296283300</v>
          </cell>
          <cell r="E705">
            <v>1298133300</v>
          </cell>
          <cell r="F705">
            <v>0</v>
          </cell>
          <cell r="G705">
            <v>0</v>
          </cell>
          <cell r="H705">
            <v>0</v>
          </cell>
          <cell r="I705">
            <v>0</v>
          </cell>
          <cell r="J705">
            <v>1298133300</v>
          </cell>
        </row>
        <row r="706">
          <cell r="B706" t="str">
            <v>1.3.02.09.03</v>
          </cell>
          <cell r="C706" t="str">
            <v>Senjata Sinar</v>
          </cell>
          <cell r="E706">
            <v>3000000</v>
          </cell>
          <cell r="F706">
            <v>0</v>
          </cell>
          <cell r="G706">
            <v>0</v>
          </cell>
          <cell r="H706">
            <v>0</v>
          </cell>
          <cell r="I706">
            <v>0</v>
          </cell>
          <cell r="J706">
            <v>3000000</v>
          </cell>
        </row>
        <row r="707">
          <cell r="B707" t="str">
            <v>1.3.02.09.04</v>
          </cell>
          <cell r="C707" t="str">
            <v>Alat Khusus Kepolisian</v>
          </cell>
          <cell r="D707">
            <v>11768000</v>
          </cell>
          <cell r="E707">
            <v>29106772</v>
          </cell>
          <cell r="F707">
            <v>0</v>
          </cell>
          <cell r="G707">
            <v>0</v>
          </cell>
          <cell r="H707">
            <v>0</v>
          </cell>
          <cell r="I707">
            <v>0</v>
          </cell>
          <cell r="J707">
            <v>29106772</v>
          </cell>
        </row>
        <row r="708">
          <cell r="B708" t="str">
            <v>1.3.02.10</v>
          </cell>
          <cell r="C708" t="str">
            <v>Komputer</v>
          </cell>
          <cell r="D708">
            <v>101922794758.99054</v>
          </cell>
          <cell r="E708">
            <v>108350829627.06</v>
          </cell>
          <cell r="J708">
            <v>108374888055.06</v>
          </cell>
        </row>
        <row r="709">
          <cell r="B709" t="str">
            <v>1.3.02.10.01</v>
          </cell>
          <cell r="C709" t="str">
            <v>Komputer Unit</v>
          </cell>
          <cell r="D709">
            <v>81811718239.550323</v>
          </cell>
          <cell r="E709">
            <v>86803632521.639999</v>
          </cell>
          <cell r="F709">
            <v>72512530</v>
          </cell>
          <cell r="G709">
            <v>11439498</v>
          </cell>
          <cell r="H709">
            <v>0</v>
          </cell>
          <cell r="I709">
            <v>0</v>
          </cell>
          <cell r="J709">
            <v>86864705553.639999</v>
          </cell>
        </row>
        <row r="710">
          <cell r="B710" t="str">
            <v>1.3.02.10.02</v>
          </cell>
          <cell r="C710" t="str">
            <v>Peralatan Komputer</v>
          </cell>
          <cell r="D710">
            <v>20111076519.440208</v>
          </cell>
          <cell r="E710">
            <v>21547197105.419998</v>
          </cell>
          <cell r="F710">
            <v>0</v>
          </cell>
          <cell r="G710">
            <v>37014604</v>
          </cell>
          <cell r="H710">
            <v>0</v>
          </cell>
          <cell r="I710">
            <v>0</v>
          </cell>
          <cell r="J710">
            <v>21510182501.419998</v>
          </cell>
        </row>
        <row r="711">
          <cell r="B711" t="str">
            <v>1.3.02.11</v>
          </cell>
          <cell r="C711" t="str">
            <v>Alat Eksplorasi</v>
          </cell>
          <cell r="D711">
            <v>0</v>
          </cell>
          <cell r="E711">
            <v>0</v>
          </cell>
          <cell r="J711">
            <v>0</v>
          </cell>
        </row>
        <row r="712">
          <cell r="B712" t="str">
            <v>1.3.02.11.01</v>
          </cell>
          <cell r="C712" t="str">
            <v>Alat Eksplorasi Topografi</v>
          </cell>
          <cell r="F712">
            <v>0</v>
          </cell>
          <cell r="G712">
            <v>0</v>
          </cell>
          <cell r="H712">
            <v>0</v>
          </cell>
          <cell r="I712">
            <v>0</v>
          </cell>
          <cell r="J712">
            <v>0</v>
          </cell>
        </row>
        <row r="713">
          <cell r="B713" t="str">
            <v>1.3.02.11.02</v>
          </cell>
          <cell r="C713" t="str">
            <v>Alat Eksplorasi Geofisika</v>
          </cell>
          <cell r="F713">
            <v>0</v>
          </cell>
          <cell r="G713">
            <v>0</v>
          </cell>
          <cell r="H713">
            <v>0</v>
          </cell>
          <cell r="I713">
            <v>0</v>
          </cell>
          <cell r="J713">
            <v>0</v>
          </cell>
        </row>
        <row r="714">
          <cell r="B714" t="str">
            <v>1.3.02.12</v>
          </cell>
          <cell r="C714" t="str">
            <v>Alat Pengeboran</v>
          </cell>
          <cell r="D714">
            <v>29000000</v>
          </cell>
          <cell r="E714">
            <v>29000000</v>
          </cell>
          <cell r="J714">
            <v>29000000</v>
          </cell>
        </row>
        <row r="715">
          <cell r="B715" t="str">
            <v>1.3.02.12.01</v>
          </cell>
          <cell r="C715" t="str">
            <v>Alat Pengeboran Mesin</v>
          </cell>
          <cell r="F715">
            <v>0</v>
          </cell>
          <cell r="G715">
            <v>0</v>
          </cell>
          <cell r="H715">
            <v>0</v>
          </cell>
          <cell r="I715">
            <v>0</v>
          </cell>
          <cell r="J715">
            <v>0</v>
          </cell>
        </row>
        <row r="716">
          <cell r="B716" t="str">
            <v>1.3.02.12.02</v>
          </cell>
          <cell r="C716" t="str">
            <v>Alat Pengeboran Non Mesin</v>
          </cell>
          <cell r="D716">
            <v>29000000</v>
          </cell>
          <cell r="E716">
            <v>29000000</v>
          </cell>
          <cell r="F716">
            <v>0</v>
          </cell>
          <cell r="G716">
            <v>0</v>
          </cell>
          <cell r="H716">
            <v>0</v>
          </cell>
          <cell r="I716">
            <v>0</v>
          </cell>
          <cell r="J716">
            <v>29000000</v>
          </cell>
        </row>
        <row r="717">
          <cell r="B717" t="str">
            <v>1.3.02.13</v>
          </cell>
          <cell r="C717" t="str">
            <v>Alat Produksi, Pengolahan, dan Pemurnian</v>
          </cell>
          <cell r="D717">
            <v>0</v>
          </cell>
          <cell r="E717">
            <v>0</v>
          </cell>
          <cell r="J717">
            <v>0</v>
          </cell>
        </row>
        <row r="718">
          <cell r="B718" t="str">
            <v>1.3.02.13.01</v>
          </cell>
          <cell r="C718" t="str">
            <v>Sumur</v>
          </cell>
          <cell r="F718">
            <v>0</v>
          </cell>
          <cell r="G718">
            <v>0</v>
          </cell>
          <cell r="H718">
            <v>0</v>
          </cell>
          <cell r="I718">
            <v>0</v>
          </cell>
          <cell r="J718">
            <v>0</v>
          </cell>
        </row>
        <row r="719">
          <cell r="B719" t="str">
            <v>1.3.02.13.02</v>
          </cell>
          <cell r="C719" t="str">
            <v>Produksi</v>
          </cell>
          <cell r="F719">
            <v>0</v>
          </cell>
          <cell r="G719">
            <v>0</v>
          </cell>
          <cell r="H719">
            <v>0</v>
          </cell>
          <cell r="I719">
            <v>0</v>
          </cell>
          <cell r="J719">
            <v>0</v>
          </cell>
        </row>
        <row r="720">
          <cell r="B720" t="str">
            <v>1.3.02.13.03</v>
          </cell>
          <cell r="C720" t="str">
            <v>Pengolahan dan Pemurnian</v>
          </cell>
          <cell r="F720">
            <v>0</v>
          </cell>
          <cell r="G720">
            <v>0</v>
          </cell>
          <cell r="H720">
            <v>0</v>
          </cell>
          <cell r="I720">
            <v>0</v>
          </cell>
          <cell r="J720">
            <v>0</v>
          </cell>
        </row>
        <row r="721">
          <cell r="B721" t="str">
            <v>1.3.02.14</v>
          </cell>
          <cell r="C721" t="str">
            <v>Alat Bantu Eksplorasi</v>
          </cell>
          <cell r="D721">
            <v>0</v>
          </cell>
          <cell r="E721">
            <v>0</v>
          </cell>
          <cell r="J721">
            <v>0</v>
          </cell>
        </row>
        <row r="722">
          <cell r="B722" t="str">
            <v>1.3.02.14.01</v>
          </cell>
          <cell r="C722" t="str">
            <v>Alat Bantu Eksplorasi</v>
          </cell>
          <cell r="F722">
            <v>0</v>
          </cell>
          <cell r="G722">
            <v>0</v>
          </cell>
          <cell r="H722">
            <v>0</v>
          </cell>
          <cell r="I722">
            <v>0</v>
          </cell>
          <cell r="J722">
            <v>0</v>
          </cell>
        </row>
        <row r="723">
          <cell r="B723" t="str">
            <v>1.3.02.14.02</v>
          </cell>
          <cell r="C723" t="str">
            <v>Alat Bantu Produksi</v>
          </cell>
          <cell r="F723">
            <v>0</v>
          </cell>
          <cell r="G723">
            <v>0</v>
          </cell>
          <cell r="H723">
            <v>0</v>
          </cell>
          <cell r="I723">
            <v>0</v>
          </cell>
          <cell r="J723">
            <v>0</v>
          </cell>
        </row>
        <row r="724">
          <cell r="B724" t="str">
            <v>1.3.02.15</v>
          </cell>
          <cell r="C724" t="str">
            <v>Alat Keselamatan Kerja</v>
          </cell>
          <cell r="D724">
            <v>537254000</v>
          </cell>
          <cell r="E724">
            <v>781684838</v>
          </cell>
          <cell r="J724">
            <v>779754838</v>
          </cell>
        </row>
        <row r="725">
          <cell r="B725" t="str">
            <v>1.3.02.15.01</v>
          </cell>
          <cell r="C725" t="str">
            <v>Alat Deteksi</v>
          </cell>
          <cell r="D725">
            <v>1400000</v>
          </cell>
          <cell r="E725">
            <v>1400000</v>
          </cell>
          <cell r="F725">
            <v>0</v>
          </cell>
          <cell r="G725">
            <v>0</v>
          </cell>
          <cell r="H725">
            <v>0</v>
          </cell>
          <cell r="I725">
            <v>0</v>
          </cell>
          <cell r="J725">
            <v>1400000</v>
          </cell>
        </row>
        <row r="726">
          <cell r="B726" t="str">
            <v>1.3.02.15.02</v>
          </cell>
          <cell r="C726" t="str">
            <v>Alat Pelindung</v>
          </cell>
          <cell r="D726">
            <v>2100000</v>
          </cell>
          <cell r="E726">
            <v>90640000</v>
          </cell>
          <cell r="F726">
            <v>0</v>
          </cell>
          <cell r="G726">
            <v>0</v>
          </cell>
          <cell r="H726">
            <v>0</v>
          </cell>
          <cell r="I726">
            <v>0</v>
          </cell>
          <cell r="J726">
            <v>90640000</v>
          </cell>
        </row>
        <row r="727">
          <cell r="B727" t="str">
            <v>1.3.02.15.03</v>
          </cell>
          <cell r="C727" t="str">
            <v>Alat sar</v>
          </cell>
          <cell r="D727">
            <v>261434000</v>
          </cell>
          <cell r="E727">
            <v>311292558</v>
          </cell>
          <cell r="F727">
            <v>0</v>
          </cell>
          <cell r="G727">
            <v>1930000</v>
          </cell>
          <cell r="H727">
            <v>0</v>
          </cell>
          <cell r="I727">
            <v>0</v>
          </cell>
          <cell r="J727">
            <v>309362558</v>
          </cell>
        </row>
        <row r="728">
          <cell r="B728" t="str">
            <v>1.3.02.15.04</v>
          </cell>
          <cell r="C728" t="str">
            <v>Alat Kerja Penerbangan</v>
          </cell>
          <cell r="D728">
            <v>272320000</v>
          </cell>
          <cell r="E728">
            <v>378352280</v>
          </cell>
          <cell r="F728">
            <v>0</v>
          </cell>
          <cell r="G728">
            <v>0</v>
          </cell>
          <cell r="H728">
            <v>0</v>
          </cell>
          <cell r="I728">
            <v>0</v>
          </cell>
          <cell r="J728">
            <v>378352280</v>
          </cell>
        </row>
        <row r="729">
          <cell r="B729" t="str">
            <v>1.3.02.16</v>
          </cell>
          <cell r="C729" t="str">
            <v>Alat Peraga</v>
          </cell>
          <cell r="D729">
            <v>6600000</v>
          </cell>
          <cell r="E729">
            <v>6600000</v>
          </cell>
          <cell r="J729">
            <v>6553945.5599999996</v>
          </cell>
        </row>
        <row r="730">
          <cell r="B730" t="str">
            <v>1.3.02.16.01</v>
          </cell>
          <cell r="C730" t="str">
            <v>Alat Peraga Pelatihan dan Percontohan</v>
          </cell>
          <cell r="D730">
            <v>6600000</v>
          </cell>
          <cell r="E730">
            <v>6600000</v>
          </cell>
          <cell r="F730">
            <v>0</v>
          </cell>
          <cell r="G730">
            <v>46054.44</v>
          </cell>
          <cell r="H730">
            <v>0</v>
          </cell>
          <cell r="I730">
            <v>0</v>
          </cell>
          <cell r="J730">
            <v>6553945.5599999996</v>
          </cell>
        </row>
        <row r="731">
          <cell r="B731" t="str">
            <v>1.3.02.17</v>
          </cell>
          <cell r="C731" t="str">
            <v>Peralatan Proses/Produksi</v>
          </cell>
          <cell r="D731">
            <v>750000</v>
          </cell>
          <cell r="E731">
            <v>750000</v>
          </cell>
          <cell r="J731">
            <v>750000</v>
          </cell>
        </row>
        <row r="732">
          <cell r="B732" t="str">
            <v>1.3.02.17.01</v>
          </cell>
          <cell r="C732" t="str">
            <v>Unit Peralatan Proses/Produksi</v>
          </cell>
          <cell r="D732">
            <v>750000</v>
          </cell>
          <cell r="E732">
            <v>750000</v>
          </cell>
          <cell r="F732">
            <v>0</v>
          </cell>
          <cell r="G732">
            <v>0</v>
          </cell>
          <cell r="H732">
            <v>0</v>
          </cell>
          <cell r="I732">
            <v>0</v>
          </cell>
          <cell r="J732">
            <v>750000</v>
          </cell>
        </row>
        <row r="733">
          <cell r="B733" t="str">
            <v>1.3.02.18</v>
          </cell>
          <cell r="C733" t="str">
            <v>Rambu-rambu</v>
          </cell>
          <cell r="D733">
            <v>6465558025</v>
          </cell>
          <cell r="E733">
            <v>6921130525</v>
          </cell>
          <cell r="J733">
            <v>6921130525</v>
          </cell>
        </row>
        <row r="734">
          <cell r="B734" t="str">
            <v>1.3.02.18.01</v>
          </cell>
          <cell r="C734" t="str">
            <v>Rambu-rambu Lalu Lintas Darat</v>
          </cell>
          <cell r="D734">
            <v>6465558025</v>
          </cell>
          <cell r="E734">
            <v>6921130525</v>
          </cell>
          <cell r="F734">
            <v>0</v>
          </cell>
          <cell r="G734">
            <v>0</v>
          </cell>
          <cell r="H734">
            <v>0</v>
          </cell>
          <cell r="I734">
            <v>0</v>
          </cell>
          <cell r="J734">
            <v>6921130525</v>
          </cell>
        </row>
        <row r="735">
          <cell r="B735" t="str">
            <v>1.3.02.18.02</v>
          </cell>
          <cell r="C735" t="str">
            <v>Rambu-rambu Lalu Lintas Udara</v>
          </cell>
          <cell r="F735">
            <v>0</v>
          </cell>
          <cell r="G735">
            <v>0</v>
          </cell>
          <cell r="H735">
            <v>0</v>
          </cell>
          <cell r="I735">
            <v>0</v>
          </cell>
          <cell r="J735">
            <v>0</v>
          </cell>
        </row>
        <row r="736">
          <cell r="B736" t="str">
            <v>1.3.02.18.03</v>
          </cell>
          <cell r="C736" t="str">
            <v>Rambu-rambu Lalu Lintas Laut</v>
          </cell>
          <cell r="F736">
            <v>0</v>
          </cell>
          <cell r="G736">
            <v>0</v>
          </cell>
          <cell r="H736">
            <v>0</v>
          </cell>
          <cell r="I736">
            <v>0</v>
          </cell>
          <cell r="J736">
            <v>0</v>
          </cell>
        </row>
        <row r="737">
          <cell r="B737" t="str">
            <v>1.3.02.19</v>
          </cell>
          <cell r="C737" t="str">
            <v>Peralatan Olahraga</v>
          </cell>
          <cell r="D737">
            <v>6736179310.670392</v>
          </cell>
          <cell r="E737">
            <v>6909330238.8099995</v>
          </cell>
          <cell r="J737">
            <v>6792551328.4099989</v>
          </cell>
        </row>
        <row r="738">
          <cell r="B738" t="str">
            <v>1.3.02.19.01</v>
          </cell>
          <cell r="C738" t="str">
            <v>Peralatan Olahraga</v>
          </cell>
          <cell r="D738">
            <v>6736179310.670392</v>
          </cell>
          <cell r="E738">
            <v>6909330238.8099995</v>
          </cell>
          <cell r="F738">
            <v>0</v>
          </cell>
          <cell r="G738">
            <v>116778910.40000047</v>
          </cell>
          <cell r="H738">
            <v>0</v>
          </cell>
          <cell r="I738">
            <v>0</v>
          </cell>
          <cell r="J738">
            <v>6792551328.4099989</v>
          </cell>
        </row>
        <row r="740">
          <cell r="B740" t="str">
            <v>1.3.03</v>
          </cell>
          <cell r="C740" t="str">
            <v>Gedung dan Bangunan</v>
          </cell>
          <cell r="D740">
            <v>1603368262932.6902</v>
          </cell>
          <cell r="E740">
            <v>1708347251859.6899</v>
          </cell>
          <cell r="J740">
            <v>1676434067802.6899</v>
          </cell>
        </row>
        <row r="741">
          <cell r="B741" t="str">
            <v>1.3.03.01</v>
          </cell>
          <cell r="C741" t="str">
            <v>Bangunan Gedung</v>
          </cell>
          <cell r="D741">
            <v>1559392428655.6902</v>
          </cell>
          <cell r="E741">
            <v>1653111837719.6899</v>
          </cell>
          <cell r="J741">
            <v>1621462613662.6899</v>
          </cell>
        </row>
        <row r="742">
          <cell r="B742" t="str">
            <v>1.3.03.01.01</v>
          </cell>
          <cell r="C742" t="str">
            <v>Bangunan Gedung Tempat Kerja</v>
          </cell>
          <cell r="D742">
            <v>1493494809389.3901</v>
          </cell>
          <cell r="E742">
            <v>1587015018453.3899</v>
          </cell>
          <cell r="F742">
            <v>1496635017</v>
          </cell>
          <cell r="G742">
            <v>33145859074</v>
          </cell>
          <cell r="H742">
            <v>0</v>
          </cell>
          <cell r="I742">
            <v>0</v>
          </cell>
          <cell r="J742">
            <v>1555365794396.3899</v>
          </cell>
        </row>
        <row r="743">
          <cell r="B743" t="str">
            <v>1.3.03.01.02</v>
          </cell>
          <cell r="C743" t="str">
            <v>Bangunan Gedung Tempat Tinggal</v>
          </cell>
          <cell r="D743">
            <v>65897619266.300003</v>
          </cell>
          <cell r="E743">
            <v>66096819266.300003</v>
          </cell>
          <cell r="F743">
            <v>0</v>
          </cell>
          <cell r="G743">
            <v>0</v>
          </cell>
          <cell r="H743">
            <v>0</v>
          </cell>
          <cell r="I743">
            <v>0</v>
          </cell>
          <cell r="J743">
            <v>66096819266.300003</v>
          </cell>
        </row>
        <row r="744">
          <cell r="B744" t="str">
            <v>1.3.03.02</v>
          </cell>
          <cell r="C744" t="str">
            <v>Monumen</v>
          </cell>
          <cell r="D744">
            <v>4087009100</v>
          </cell>
          <cell r="E744">
            <v>4087009100</v>
          </cell>
          <cell r="J744">
            <v>4087009100</v>
          </cell>
        </row>
        <row r="745">
          <cell r="B745" t="str">
            <v>1.3.03.02.01</v>
          </cell>
          <cell r="C745" t="str">
            <v>Candi/Tugu Peringatan/Prasasti</v>
          </cell>
          <cell r="D745">
            <v>4087009100</v>
          </cell>
          <cell r="E745">
            <v>4087009100</v>
          </cell>
          <cell r="F745">
            <v>0</v>
          </cell>
          <cell r="G745">
            <v>0</v>
          </cell>
          <cell r="H745">
            <v>0</v>
          </cell>
          <cell r="I745">
            <v>0</v>
          </cell>
          <cell r="J745">
            <v>4087009100</v>
          </cell>
        </row>
        <row r="746">
          <cell r="B746" t="str">
            <v>1.3.03.03</v>
          </cell>
          <cell r="C746" t="str">
            <v>Bangunan Menara</v>
          </cell>
          <cell r="D746">
            <v>258930000</v>
          </cell>
          <cell r="E746">
            <v>258930000</v>
          </cell>
          <cell r="J746">
            <v>258930000</v>
          </cell>
        </row>
        <row r="747">
          <cell r="B747" t="str">
            <v>1.3.03.03.01</v>
          </cell>
          <cell r="C747" t="str">
            <v>Bangunan Menara Perambuan</v>
          </cell>
          <cell r="D747">
            <v>258930000</v>
          </cell>
          <cell r="E747">
            <v>258930000</v>
          </cell>
          <cell r="F747">
            <v>0</v>
          </cell>
          <cell r="G747">
            <v>0</v>
          </cell>
          <cell r="H747">
            <v>0</v>
          </cell>
          <cell r="I747">
            <v>0</v>
          </cell>
          <cell r="J747">
            <v>258930000</v>
          </cell>
        </row>
        <row r="748">
          <cell r="B748" t="str">
            <v>1.3.03.04</v>
          </cell>
          <cell r="C748" t="str">
            <v>Tugu Titik Kontrol/Pasti</v>
          </cell>
          <cell r="D748">
            <v>39629895177</v>
          </cell>
          <cell r="E748">
            <v>50889475040</v>
          </cell>
          <cell r="J748">
            <v>50625515040</v>
          </cell>
        </row>
        <row r="749">
          <cell r="B749" t="str">
            <v>1.3.03.04.01</v>
          </cell>
          <cell r="C749" t="str">
            <v>Tugu/Tanda Batas</v>
          </cell>
          <cell r="D749">
            <v>39629895177</v>
          </cell>
          <cell r="E749">
            <v>50889475040</v>
          </cell>
          <cell r="F749">
            <v>0</v>
          </cell>
          <cell r="G749">
            <v>263960000</v>
          </cell>
          <cell r="H749">
            <v>0</v>
          </cell>
          <cell r="I749">
            <v>0</v>
          </cell>
          <cell r="J749">
            <v>50625515040</v>
          </cell>
        </row>
        <row r="751">
          <cell r="B751" t="str">
            <v>1.3.04</v>
          </cell>
          <cell r="C751" t="str">
            <v>Jalan, Jaringan, dan Irigasi</v>
          </cell>
          <cell r="D751">
            <v>1709235261237.7402</v>
          </cell>
          <cell r="E751">
            <v>1773799960107.74</v>
          </cell>
          <cell r="J751">
            <v>1774592097457.1399</v>
          </cell>
        </row>
        <row r="752">
          <cell r="B752" t="str">
            <v>1.3.04.01</v>
          </cell>
          <cell r="C752" t="str">
            <v>Jalan dan Jembatan</v>
          </cell>
          <cell r="D752">
            <v>1009056649022.9801</v>
          </cell>
          <cell r="E752">
            <v>1046133462042.98</v>
          </cell>
          <cell r="J752">
            <v>1046763410642.98</v>
          </cell>
        </row>
        <row r="753">
          <cell r="B753" t="str">
            <v>1.3.04.01.01</v>
          </cell>
          <cell r="C753" t="str">
            <v>Jalan</v>
          </cell>
          <cell r="D753">
            <v>863613136043.32007</v>
          </cell>
          <cell r="E753">
            <v>886007247063.31995</v>
          </cell>
          <cell r="F753">
            <v>130000000</v>
          </cell>
          <cell r="G753">
            <v>160562000</v>
          </cell>
          <cell r="H753">
            <v>0</v>
          </cell>
          <cell r="I753">
            <v>0</v>
          </cell>
          <cell r="J753">
            <v>885976685063.31995</v>
          </cell>
        </row>
        <row r="754">
          <cell r="B754" t="str">
            <v>1.3.04.01.02</v>
          </cell>
          <cell r="C754" t="str">
            <v>Jembatan</v>
          </cell>
          <cell r="D754">
            <v>145443512979.66</v>
          </cell>
          <cell r="E754">
            <v>160126214979.66</v>
          </cell>
          <cell r="F754">
            <v>740000000</v>
          </cell>
          <cell r="G754">
            <v>79489400</v>
          </cell>
          <cell r="H754">
            <v>0</v>
          </cell>
          <cell r="I754">
            <v>0</v>
          </cell>
          <cell r="J754">
            <v>160786725579.66</v>
          </cell>
        </row>
        <row r="755">
          <cell r="B755" t="str">
            <v>1.3.04.02</v>
          </cell>
          <cell r="C755" t="str">
            <v>Bangunan Air</v>
          </cell>
          <cell r="D755">
            <v>506470726811.54004</v>
          </cell>
          <cell r="E755">
            <v>513835580211.54004</v>
          </cell>
          <cell r="J755">
            <v>514484584100.74005</v>
          </cell>
        </row>
        <row r="756">
          <cell r="B756" t="str">
            <v>1.3.04.02.01</v>
          </cell>
          <cell r="C756" t="str">
            <v>Bangunan Air Irigasi</v>
          </cell>
          <cell r="D756">
            <v>338173601205.14001</v>
          </cell>
          <cell r="E756">
            <v>344522885905.14001</v>
          </cell>
          <cell r="F756">
            <v>500000000</v>
          </cell>
          <cell r="G756">
            <v>136651110.80000001</v>
          </cell>
          <cell r="H756">
            <v>0</v>
          </cell>
          <cell r="I756">
            <v>0</v>
          </cell>
          <cell r="J756">
            <v>344886234794.34003</v>
          </cell>
        </row>
        <row r="757">
          <cell r="B757" t="str">
            <v>1.3.04.02.02</v>
          </cell>
          <cell r="C757" t="str">
            <v>Bangunan Pengairan Pasang Surut</v>
          </cell>
          <cell r="D757">
            <v>7118142213</v>
          </cell>
          <cell r="E757">
            <v>7118142213</v>
          </cell>
          <cell r="F757">
            <v>0</v>
          </cell>
          <cell r="G757">
            <v>0</v>
          </cell>
          <cell r="H757">
            <v>0</v>
          </cell>
          <cell r="I757">
            <v>0</v>
          </cell>
          <cell r="J757">
            <v>7118142213</v>
          </cell>
        </row>
        <row r="758">
          <cell r="B758" t="str">
            <v>1.3.04.02.03</v>
          </cell>
          <cell r="C758" t="str">
            <v>Bangunan Pengembangan Rawa dan Polder</v>
          </cell>
          <cell r="D758">
            <v>4756440603</v>
          </cell>
          <cell r="E758">
            <v>4756440603</v>
          </cell>
          <cell r="F758">
            <v>0</v>
          </cell>
          <cell r="G758">
            <v>0</v>
          </cell>
          <cell r="H758">
            <v>0</v>
          </cell>
          <cell r="I758">
            <v>0</v>
          </cell>
          <cell r="J758">
            <v>4756440603</v>
          </cell>
        </row>
        <row r="759">
          <cell r="B759" t="str">
            <v>1.3.04.02.04</v>
          </cell>
          <cell r="C759" t="str">
            <v>Bangunan Pengaman Sungai/Pantai dan Penanggulangan Bencana Alam</v>
          </cell>
          <cell r="D759">
            <v>85611573534</v>
          </cell>
          <cell r="E759">
            <v>86627142234</v>
          </cell>
          <cell r="F759">
            <v>302050000</v>
          </cell>
          <cell r="G759">
            <v>0</v>
          </cell>
          <cell r="H759">
            <v>0</v>
          </cell>
          <cell r="I759">
            <v>0</v>
          </cell>
          <cell r="J759">
            <v>86929192234</v>
          </cell>
        </row>
        <row r="760">
          <cell r="B760" t="str">
            <v>1.3.04.02.05</v>
          </cell>
          <cell r="C760" t="str">
            <v>Bangunan Pengembangan Sumber Air dan Air Tanah</v>
          </cell>
          <cell r="D760">
            <v>2579423000.4000001</v>
          </cell>
          <cell r="E760">
            <v>2579423000.4000001</v>
          </cell>
          <cell r="F760">
            <v>0</v>
          </cell>
          <cell r="G760">
            <v>0</v>
          </cell>
          <cell r="H760">
            <v>0</v>
          </cell>
          <cell r="I760">
            <v>0</v>
          </cell>
          <cell r="J760">
            <v>2579423000.4000001</v>
          </cell>
        </row>
        <row r="761">
          <cell r="B761" t="str">
            <v>1.3.04.02.06</v>
          </cell>
          <cell r="C761" t="str">
            <v>Bangunan Air Bersih/Air Baku</v>
          </cell>
          <cell r="D761">
            <v>65519642006</v>
          </cell>
          <cell r="E761">
            <v>65519642006</v>
          </cell>
          <cell r="F761">
            <v>0</v>
          </cell>
          <cell r="G761">
            <v>16395000</v>
          </cell>
          <cell r="H761">
            <v>0</v>
          </cell>
          <cell r="I761">
            <v>0</v>
          </cell>
          <cell r="J761">
            <v>65503247006</v>
          </cell>
        </row>
        <row r="762">
          <cell r="B762" t="str">
            <v>1.3.04.02.07</v>
          </cell>
          <cell r="C762" t="str">
            <v>Bangunan Air Kotor</v>
          </cell>
          <cell r="D762">
            <v>2711904250</v>
          </cell>
          <cell r="E762">
            <v>2711904250</v>
          </cell>
          <cell r="F762">
            <v>0</v>
          </cell>
          <cell r="G762">
            <v>0</v>
          </cell>
          <cell r="H762">
            <v>0</v>
          </cell>
          <cell r="I762">
            <v>0</v>
          </cell>
          <cell r="J762">
            <v>2711904250</v>
          </cell>
        </row>
        <row r="763">
          <cell r="B763" t="str">
            <v>1.3.04.03</v>
          </cell>
          <cell r="C763" t="str">
            <v>Instalasi</v>
          </cell>
          <cell r="D763">
            <v>103152146732.8</v>
          </cell>
          <cell r="E763">
            <v>110248586707.8</v>
          </cell>
          <cell r="J763">
            <v>110109425608</v>
          </cell>
        </row>
        <row r="764">
          <cell r="B764" t="str">
            <v>1.3.04.03.01</v>
          </cell>
          <cell r="C764" t="str">
            <v>Instalasi Air Bersih/Air Baku</v>
          </cell>
          <cell r="D764">
            <v>63524495847</v>
          </cell>
          <cell r="E764">
            <v>65102835847</v>
          </cell>
          <cell r="F764">
            <v>0</v>
          </cell>
          <cell r="G764">
            <v>65237300</v>
          </cell>
          <cell r="H764">
            <v>0</v>
          </cell>
          <cell r="I764">
            <v>0</v>
          </cell>
          <cell r="J764">
            <v>65037598547</v>
          </cell>
        </row>
        <row r="765">
          <cell r="B765" t="str">
            <v>1.3.04.03.02</v>
          </cell>
          <cell r="C765" t="str">
            <v>Instalasi Air Kotor</v>
          </cell>
          <cell r="D765">
            <v>217852449</v>
          </cell>
          <cell r="E765">
            <v>217852449</v>
          </cell>
          <cell r="F765">
            <v>0</v>
          </cell>
          <cell r="G765">
            <v>0</v>
          </cell>
          <cell r="H765">
            <v>0</v>
          </cell>
          <cell r="I765">
            <v>0</v>
          </cell>
          <cell r="J765">
            <v>217852449</v>
          </cell>
        </row>
        <row r="766">
          <cell r="B766" t="str">
            <v>1.3.04.03.03</v>
          </cell>
          <cell r="C766" t="str">
            <v>Instalasi Pengolahan Sampah</v>
          </cell>
          <cell r="D766">
            <v>2079165200</v>
          </cell>
          <cell r="E766">
            <v>2249165200</v>
          </cell>
          <cell r="F766">
            <v>0</v>
          </cell>
          <cell r="G766">
            <v>0</v>
          </cell>
          <cell r="H766">
            <v>0</v>
          </cell>
          <cell r="I766">
            <v>0</v>
          </cell>
          <cell r="J766">
            <v>2249165200</v>
          </cell>
        </row>
        <row r="767">
          <cell r="B767" t="str">
            <v>1.3.04.03.04</v>
          </cell>
          <cell r="C767" t="str">
            <v>Instalasi Pengolahan Bahan Bangunan</v>
          </cell>
          <cell r="D767">
            <v>30000000</v>
          </cell>
          <cell r="E767">
            <v>30000000</v>
          </cell>
          <cell r="F767">
            <v>0</v>
          </cell>
          <cell r="G767">
            <v>0</v>
          </cell>
          <cell r="H767">
            <v>0</v>
          </cell>
          <cell r="I767">
            <v>0</v>
          </cell>
          <cell r="J767">
            <v>30000000</v>
          </cell>
        </row>
        <row r="768">
          <cell r="B768" t="str">
            <v>1.3.04.03.05</v>
          </cell>
          <cell r="C768" t="str">
            <v>Instalasi Pembangkit Listrik</v>
          </cell>
          <cell r="D768">
            <v>32682723537</v>
          </cell>
          <cell r="E768">
            <v>32682723537</v>
          </cell>
          <cell r="F768">
            <v>0</v>
          </cell>
          <cell r="G768">
            <v>17455000</v>
          </cell>
          <cell r="H768">
            <v>0</v>
          </cell>
          <cell r="I768">
            <v>0</v>
          </cell>
          <cell r="J768">
            <v>32665268537</v>
          </cell>
        </row>
        <row r="769">
          <cell r="B769" t="str">
            <v>1.3.04.03.06</v>
          </cell>
          <cell r="C769" t="str">
            <v>Instalasi Gardu Listrik</v>
          </cell>
          <cell r="D769">
            <v>4103309699.8000002</v>
          </cell>
          <cell r="E769">
            <v>4103309699.8000002</v>
          </cell>
          <cell r="F769">
            <v>0</v>
          </cell>
          <cell r="G769">
            <v>56468799.800000004</v>
          </cell>
          <cell r="H769">
            <v>0</v>
          </cell>
          <cell r="I769">
            <v>0</v>
          </cell>
          <cell r="J769">
            <v>4046840900</v>
          </cell>
        </row>
        <row r="770">
          <cell r="B770" t="str">
            <v>1.3.04.03.07</v>
          </cell>
          <cell r="C770" t="str">
            <v>Instalasi Pertahanan</v>
          </cell>
          <cell r="F770">
            <v>0</v>
          </cell>
          <cell r="G770">
            <v>0</v>
          </cell>
          <cell r="H770">
            <v>0</v>
          </cell>
          <cell r="I770">
            <v>0</v>
          </cell>
          <cell r="J770">
            <v>0</v>
          </cell>
        </row>
        <row r="771">
          <cell r="B771" t="str">
            <v>1.3.04.03.08</v>
          </cell>
          <cell r="C771" t="str">
            <v>Instalasi Gas</v>
          </cell>
          <cell r="D771">
            <v>514600000</v>
          </cell>
          <cell r="E771">
            <v>514600000</v>
          </cell>
          <cell r="F771">
            <v>0</v>
          </cell>
          <cell r="G771">
            <v>0</v>
          </cell>
          <cell r="H771">
            <v>0</v>
          </cell>
          <cell r="I771">
            <v>0</v>
          </cell>
          <cell r="J771">
            <v>514600000</v>
          </cell>
        </row>
        <row r="772">
          <cell r="B772" t="str">
            <v>1.3.04.03.09</v>
          </cell>
          <cell r="C772" t="str">
            <v>Instalasi Pengaman</v>
          </cell>
          <cell r="F772">
            <v>0</v>
          </cell>
          <cell r="G772">
            <v>0</v>
          </cell>
          <cell r="H772">
            <v>0</v>
          </cell>
          <cell r="I772">
            <v>0</v>
          </cell>
          <cell r="J772">
            <v>0</v>
          </cell>
        </row>
        <row r="773">
          <cell r="B773" t="str">
            <v>1.3.04.03.10</v>
          </cell>
          <cell r="C773" t="str">
            <v>Instalasi Lain</v>
          </cell>
          <cell r="E773">
            <v>5348099975</v>
          </cell>
          <cell r="F773">
            <v>0</v>
          </cell>
          <cell r="G773">
            <v>0</v>
          </cell>
          <cell r="H773">
            <v>0</v>
          </cell>
          <cell r="I773">
            <v>0</v>
          </cell>
          <cell r="J773">
            <v>5348099975</v>
          </cell>
        </row>
        <row r="774">
          <cell r="B774" t="str">
            <v>1.3.04.04</v>
          </cell>
          <cell r="C774" t="str">
            <v>Jaringan</v>
          </cell>
          <cell r="D774">
            <v>90555738670.42012</v>
          </cell>
          <cell r="E774">
            <v>103582331145.42</v>
          </cell>
          <cell r="J774">
            <v>103234677105.42</v>
          </cell>
        </row>
        <row r="775">
          <cell r="B775" t="str">
            <v>1.3.04.04.01</v>
          </cell>
          <cell r="C775" t="str">
            <v>Jaringan Air Minum</v>
          </cell>
          <cell r="D775">
            <v>71959284336</v>
          </cell>
          <cell r="E775">
            <v>84786271811</v>
          </cell>
          <cell r="F775">
            <v>0</v>
          </cell>
          <cell r="G775">
            <v>41919000</v>
          </cell>
          <cell r="H775">
            <v>0</v>
          </cell>
          <cell r="I775">
            <v>0</v>
          </cell>
          <cell r="J775">
            <v>84744352811</v>
          </cell>
        </row>
        <row r="776">
          <cell r="B776" t="str">
            <v>1.3.04.04.02</v>
          </cell>
          <cell r="C776" t="str">
            <v>Jaringan Listrik</v>
          </cell>
          <cell r="D776">
            <v>16366652182.149998</v>
          </cell>
          <cell r="E776">
            <v>16566257182.15</v>
          </cell>
          <cell r="F776">
            <v>0</v>
          </cell>
          <cell r="G776">
            <v>281098160</v>
          </cell>
          <cell r="H776">
            <v>0</v>
          </cell>
          <cell r="I776">
            <v>0</v>
          </cell>
          <cell r="J776">
            <v>16285159022.15</v>
          </cell>
        </row>
        <row r="777">
          <cell r="B777" t="str">
            <v>1.3.04.04.03</v>
          </cell>
          <cell r="C777" t="str">
            <v>Jaringan Telepon</v>
          </cell>
          <cell r="D777">
            <v>170390000</v>
          </cell>
          <cell r="E777">
            <v>170390000</v>
          </cell>
          <cell r="F777">
            <v>0</v>
          </cell>
          <cell r="G777">
            <v>20390000</v>
          </cell>
          <cell r="H777">
            <v>0</v>
          </cell>
          <cell r="I777">
            <v>0</v>
          </cell>
          <cell r="J777">
            <v>150000000</v>
          </cell>
        </row>
        <row r="778">
          <cell r="B778" t="str">
            <v>1.3.04.04.04</v>
          </cell>
          <cell r="C778" t="str">
            <v>Jaringan Gas</v>
          </cell>
          <cell r="D778">
            <v>2059412152.2701201</v>
          </cell>
          <cell r="E778">
            <v>2059412152.27</v>
          </cell>
          <cell r="F778">
            <v>0</v>
          </cell>
          <cell r="G778">
            <v>4246880</v>
          </cell>
          <cell r="H778">
            <v>0</v>
          </cell>
          <cell r="I778">
            <v>0</v>
          </cell>
          <cell r="J778">
            <v>2055165272.27</v>
          </cell>
        </row>
        <row r="780">
          <cell r="B780" t="str">
            <v>1.3.05</v>
          </cell>
          <cell r="C780" t="str">
            <v>Aset Tetap Lainnya</v>
          </cell>
          <cell r="D780">
            <v>76854866530.240036</v>
          </cell>
          <cell r="E780">
            <v>84080563571.243835</v>
          </cell>
          <cell r="J780">
            <v>84527852591.333832</v>
          </cell>
        </row>
        <row r="781">
          <cell r="B781" t="str">
            <v>1.3.05.01</v>
          </cell>
          <cell r="C781" t="str">
            <v>Bahan Perpustakaan</v>
          </cell>
          <cell r="D781">
            <v>72724040212.520523</v>
          </cell>
          <cell r="E781">
            <v>79937700413.524323</v>
          </cell>
          <cell r="J781">
            <v>79936871433.614319</v>
          </cell>
        </row>
        <row r="782">
          <cell r="B782" t="str">
            <v>1.3.05.01.01</v>
          </cell>
          <cell r="C782" t="str">
            <v>Bahan Perpustakaan Tercetak</v>
          </cell>
          <cell r="D782">
            <v>71533895277.28775</v>
          </cell>
          <cell r="E782">
            <v>78628022018.28775</v>
          </cell>
          <cell r="F782">
            <v>0</v>
          </cell>
          <cell r="G782">
            <v>828979.91</v>
          </cell>
          <cell r="H782">
            <v>0</v>
          </cell>
          <cell r="I782">
            <v>0</v>
          </cell>
          <cell r="J782">
            <v>78627193038.377747</v>
          </cell>
        </row>
        <row r="783">
          <cell r="B783" t="str">
            <v>1.3.05.01.02</v>
          </cell>
          <cell r="C783" t="str">
            <v>Bahan Perpustakaan Terekam dan Bentuk Mikro</v>
          </cell>
          <cell r="D783">
            <v>371808572.02620119</v>
          </cell>
          <cell r="E783">
            <v>491342032.02999997</v>
          </cell>
          <cell r="F783">
            <v>0</v>
          </cell>
          <cell r="G783">
            <v>0</v>
          </cell>
          <cell r="H783">
            <v>0</v>
          </cell>
          <cell r="I783">
            <v>0</v>
          </cell>
          <cell r="J783">
            <v>491342032.02999997</v>
          </cell>
        </row>
        <row r="784">
          <cell r="B784" t="str">
            <v>1.3.05.01.03</v>
          </cell>
          <cell r="C784" t="str">
            <v>Kartografi, Naskah dan Lukisan</v>
          </cell>
          <cell r="D784">
            <v>133249492.19659999</v>
          </cell>
          <cell r="E784">
            <v>133249492.19659999</v>
          </cell>
          <cell r="F784">
            <v>0</v>
          </cell>
          <cell r="G784">
            <v>0</v>
          </cell>
          <cell r="H784">
            <v>0</v>
          </cell>
          <cell r="I784">
            <v>0</v>
          </cell>
          <cell r="J784">
            <v>133249492.19659999</v>
          </cell>
        </row>
        <row r="785">
          <cell r="B785" t="str">
            <v>1.3.05.01.04</v>
          </cell>
          <cell r="C785" t="str">
            <v>Musik</v>
          </cell>
          <cell r="D785">
            <v>16700000</v>
          </cell>
          <cell r="E785">
            <v>16700000</v>
          </cell>
          <cell r="F785">
            <v>0</v>
          </cell>
          <cell r="G785">
            <v>0</v>
          </cell>
          <cell r="H785">
            <v>0</v>
          </cell>
          <cell r="I785">
            <v>0</v>
          </cell>
          <cell r="J785">
            <v>16700000</v>
          </cell>
        </row>
        <row r="786">
          <cell r="B786" t="str">
            <v>1.3.05.01.05</v>
          </cell>
          <cell r="C786" t="str">
            <v>Karya Grafika (Graphic Material)</v>
          </cell>
          <cell r="D786">
            <v>44957112.539999999</v>
          </cell>
          <cell r="E786">
            <v>44957112.539999999</v>
          </cell>
          <cell r="F786">
            <v>0</v>
          </cell>
          <cell r="G786">
            <v>0</v>
          </cell>
          <cell r="H786">
            <v>0</v>
          </cell>
          <cell r="I786">
            <v>0</v>
          </cell>
          <cell r="J786">
            <v>44957112.539999999</v>
          </cell>
        </row>
        <row r="787">
          <cell r="B787" t="str">
            <v>1.3.05.01.06</v>
          </cell>
          <cell r="C787" t="str">
            <v>Three Dimensional Artifacts and Realita</v>
          </cell>
          <cell r="D787">
            <v>516834758.46999079</v>
          </cell>
          <cell r="E787">
            <v>516834758.46999079</v>
          </cell>
          <cell r="F787">
            <v>0</v>
          </cell>
          <cell r="G787">
            <v>0</v>
          </cell>
          <cell r="H787">
            <v>0</v>
          </cell>
          <cell r="I787">
            <v>0</v>
          </cell>
          <cell r="J787">
            <v>516834758.46999079</v>
          </cell>
        </row>
        <row r="788">
          <cell r="B788" t="str">
            <v>1.3.05.01.07</v>
          </cell>
          <cell r="C788" t="str">
            <v>Tarscalt</v>
          </cell>
          <cell r="D788">
            <v>106595000</v>
          </cell>
          <cell r="E788">
            <v>106595000</v>
          </cell>
          <cell r="F788">
            <v>0</v>
          </cell>
          <cell r="G788">
            <v>0</v>
          </cell>
          <cell r="H788">
            <v>0</v>
          </cell>
          <cell r="I788">
            <v>0</v>
          </cell>
          <cell r="J788">
            <v>106595000</v>
          </cell>
        </row>
        <row r="789">
          <cell r="B789" t="str">
            <v>1.3.05.02</v>
          </cell>
          <cell r="C789" t="str">
            <v>Barang Bercorak Kesenian/Kebudayaan/Olahraga</v>
          </cell>
          <cell r="D789">
            <v>3257843184.1185007</v>
          </cell>
          <cell r="E789">
            <v>3257843184.1185007</v>
          </cell>
          <cell r="J789">
            <v>3257843184.1185007</v>
          </cell>
        </row>
        <row r="790">
          <cell r="B790" t="str">
            <v>1.3.05.02.01</v>
          </cell>
          <cell r="C790" t="str">
            <v>Barang Bercorak Kesenian</v>
          </cell>
          <cell r="D790">
            <v>3071711633.1185007</v>
          </cell>
          <cell r="E790">
            <v>3071711633.1185007</v>
          </cell>
          <cell r="F790">
            <v>0</v>
          </cell>
          <cell r="G790">
            <v>0</v>
          </cell>
          <cell r="H790">
            <v>0</v>
          </cell>
          <cell r="I790">
            <v>0</v>
          </cell>
          <cell r="J790">
            <v>3071711633.1185007</v>
          </cell>
        </row>
        <row r="791">
          <cell r="B791" t="str">
            <v>1.3.05.02.02</v>
          </cell>
          <cell r="C791" t="str">
            <v>Alat Bercorak Kebudayaan</v>
          </cell>
          <cell r="D791">
            <v>168311551</v>
          </cell>
          <cell r="E791">
            <v>168311551</v>
          </cell>
          <cell r="F791">
            <v>0</v>
          </cell>
          <cell r="G791">
            <v>0</v>
          </cell>
          <cell r="H791">
            <v>0</v>
          </cell>
          <cell r="I791">
            <v>0</v>
          </cell>
          <cell r="J791">
            <v>168311551</v>
          </cell>
        </row>
        <row r="792">
          <cell r="B792" t="str">
            <v>1.3.05.02.03</v>
          </cell>
          <cell r="C792" t="str">
            <v>Tanda Penghargaan</v>
          </cell>
          <cell r="D792">
            <v>17820000</v>
          </cell>
          <cell r="E792">
            <v>17820000</v>
          </cell>
          <cell r="F792">
            <v>0</v>
          </cell>
          <cell r="G792">
            <v>0</v>
          </cell>
          <cell r="H792">
            <v>0</v>
          </cell>
          <cell r="I792">
            <v>0</v>
          </cell>
          <cell r="J792">
            <v>17820000</v>
          </cell>
        </row>
        <row r="793">
          <cell r="B793" t="str">
            <v>1.3.05.03</v>
          </cell>
          <cell r="C793" t="str">
            <v>Hewan</v>
          </cell>
          <cell r="D793">
            <v>101500000.001</v>
          </cell>
          <cell r="E793">
            <v>101500000.001</v>
          </cell>
          <cell r="J793">
            <v>101500000.001</v>
          </cell>
        </row>
        <row r="794">
          <cell r="B794" t="str">
            <v>1.3.05.03.01</v>
          </cell>
          <cell r="C794" t="str">
            <v>Hewan Piaraan</v>
          </cell>
          <cell r="D794">
            <v>2000000.0009999988</v>
          </cell>
          <cell r="E794">
            <v>2000000.0009999988</v>
          </cell>
          <cell r="F794">
            <v>0</v>
          </cell>
          <cell r="G794">
            <v>0</v>
          </cell>
          <cell r="H794">
            <v>0</v>
          </cell>
          <cell r="I794">
            <v>0</v>
          </cell>
          <cell r="J794">
            <v>2000000.0009999988</v>
          </cell>
        </row>
        <row r="795">
          <cell r="B795" t="str">
            <v>1.3.05.03.02</v>
          </cell>
          <cell r="C795" t="str">
            <v>Ternak</v>
          </cell>
          <cell r="D795">
            <v>99500000</v>
          </cell>
          <cell r="E795">
            <v>99500000</v>
          </cell>
          <cell r="F795">
            <v>0</v>
          </cell>
          <cell r="G795">
            <v>0</v>
          </cell>
          <cell r="H795">
            <v>0</v>
          </cell>
          <cell r="I795">
            <v>0</v>
          </cell>
          <cell r="J795">
            <v>99500000</v>
          </cell>
        </row>
        <row r="796">
          <cell r="B796" t="str">
            <v>1.3.05.03.03</v>
          </cell>
          <cell r="C796" t="str">
            <v>Hewan Lainnya</v>
          </cell>
          <cell r="F796">
            <v>0</v>
          </cell>
          <cell r="G796">
            <v>0</v>
          </cell>
          <cell r="H796">
            <v>0</v>
          </cell>
          <cell r="I796">
            <v>0</v>
          </cell>
          <cell r="J796">
            <v>0</v>
          </cell>
        </row>
        <row r="797">
          <cell r="B797" t="str">
            <v>1.3.05.04</v>
          </cell>
          <cell r="C797" t="str">
            <v>Biota Perairan</v>
          </cell>
          <cell r="D797">
            <v>13800000</v>
          </cell>
          <cell r="E797">
            <v>13800000</v>
          </cell>
          <cell r="J797">
            <v>13800000</v>
          </cell>
        </row>
        <row r="798">
          <cell r="B798" t="str">
            <v>1.3.05.04.01</v>
          </cell>
          <cell r="C798" t="str">
            <v>Ikan Bersirip (Pisces/Ikan Bersirip)</v>
          </cell>
          <cell r="F798">
            <v>0</v>
          </cell>
          <cell r="G798">
            <v>0</v>
          </cell>
          <cell r="H798">
            <v>0</v>
          </cell>
          <cell r="I798">
            <v>0</v>
          </cell>
          <cell r="J798">
            <v>0</v>
          </cell>
        </row>
        <row r="799">
          <cell r="B799" t="str">
            <v>1.3.05.04.02</v>
          </cell>
          <cell r="C799" t="str">
            <v>Crustacea (Udang, Rajungan, Kepiting, dan Sebangsanya)</v>
          </cell>
          <cell r="F799">
            <v>0</v>
          </cell>
          <cell r="G799">
            <v>0</v>
          </cell>
          <cell r="H799">
            <v>0</v>
          </cell>
          <cell r="I799">
            <v>0</v>
          </cell>
          <cell r="J799">
            <v>0</v>
          </cell>
        </row>
        <row r="800">
          <cell r="B800" t="str">
            <v>1.3.05.04.03</v>
          </cell>
          <cell r="C800" t="str">
            <v>Mollusca (Kerang, Tiram, Cumi-Cumi, Gurita, Siput, dan Sebangsanya)</v>
          </cell>
          <cell r="F800">
            <v>0</v>
          </cell>
          <cell r="G800">
            <v>0</v>
          </cell>
          <cell r="H800">
            <v>0</v>
          </cell>
          <cell r="I800">
            <v>0</v>
          </cell>
          <cell r="J800">
            <v>0</v>
          </cell>
        </row>
        <row r="801">
          <cell r="B801" t="str">
            <v>1.3.05.04.04</v>
          </cell>
          <cell r="C801" t="str">
            <v>Coelenterata (Ubur-Ubur dan Sebangsanya)</v>
          </cell>
          <cell r="F801">
            <v>0</v>
          </cell>
          <cell r="G801">
            <v>0</v>
          </cell>
          <cell r="H801">
            <v>0</v>
          </cell>
          <cell r="I801">
            <v>0</v>
          </cell>
          <cell r="J801">
            <v>0</v>
          </cell>
        </row>
        <row r="802">
          <cell r="B802" t="str">
            <v>1.3.05.04.05</v>
          </cell>
          <cell r="C802" t="str">
            <v>Echinodermata (Tripang, Bulu Babi dan Sebangsanya)</v>
          </cell>
          <cell r="F802">
            <v>0</v>
          </cell>
          <cell r="G802">
            <v>0</v>
          </cell>
          <cell r="H802">
            <v>0</v>
          </cell>
          <cell r="I802">
            <v>0</v>
          </cell>
          <cell r="J802">
            <v>0</v>
          </cell>
        </row>
        <row r="803">
          <cell r="B803" t="str">
            <v>1.3.05.04.06</v>
          </cell>
          <cell r="C803" t="str">
            <v>Amphibia (Kodok dan Sebangsanya)</v>
          </cell>
          <cell r="F803">
            <v>0</v>
          </cell>
          <cell r="G803">
            <v>0</v>
          </cell>
          <cell r="H803">
            <v>0</v>
          </cell>
          <cell r="I803">
            <v>0</v>
          </cell>
          <cell r="J803">
            <v>0</v>
          </cell>
        </row>
        <row r="804">
          <cell r="B804" t="str">
            <v>1.3.05.04.07</v>
          </cell>
          <cell r="C804" t="str">
            <v>Reptilia (Buaya, Penyu, Kura-Kura, Biawak, Ular Air, dan Sebangsanya)</v>
          </cell>
          <cell r="D804">
            <v>13800000</v>
          </cell>
          <cell r="E804">
            <v>13800000</v>
          </cell>
          <cell r="F804">
            <v>0</v>
          </cell>
          <cell r="G804">
            <v>0</v>
          </cell>
          <cell r="H804">
            <v>0</v>
          </cell>
          <cell r="I804">
            <v>0</v>
          </cell>
          <cell r="J804">
            <v>13800000</v>
          </cell>
        </row>
        <row r="805">
          <cell r="B805" t="str">
            <v>1.3.05.04.08</v>
          </cell>
          <cell r="C805" t="str">
            <v>Mammalia (Paus, Lumba-Lumba, Pesut, Duyung, dan Sebangsanya)</v>
          </cell>
          <cell r="F805">
            <v>0</v>
          </cell>
          <cell r="G805">
            <v>0</v>
          </cell>
          <cell r="H805">
            <v>0</v>
          </cell>
          <cell r="I805">
            <v>0</v>
          </cell>
          <cell r="J805">
            <v>0</v>
          </cell>
        </row>
        <row r="806">
          <cell r="B806" t="str">
            <v>1.3.05.04.09</v>
          </cell>
          <cell r="C806" t="str">
            <v>Algae (Rumput Laut dan Tumbuh-Tumbuhan Lain yang Hidup di dalam Air)</v>
          </cell>
          <cell r="F806">
            <v>0</v>
          </cell>
          <cell r="G806">
            <v>0</v>
          </cell>
          <cell r="H806">
            <v>0</v>
          </cell>
          <cell r="I806">
            <v>0</v>
          </cell>
          <cell r="J806">
            <v>0</v>
          </cell>
        </row>
        <row r="807">
          <cell r="B807" t="str">
            <v>1.3.05.04.10</v>
          </cell>
          <cell r="C807" t="str">
            <v>Biota Perairan Lainnya</v>
          </cell>
          <cell r="F807">
            <v>0</v>
          </cell>
          <cell r="G807">
            <v>0</v>
          </cell>
          <cell r="H807">
            <v>0</v>
          </cell>
          <cell r="I807">
            <v>0</v>
          </cell>
          <cell r="J807">
            <v>0</v>
          </cell>
        </row>
        <row r="808">
          <cell r="B808" t="str">
            <v>1.3.05.05</v>
          </cell>
          <cell r="C808" t="str">
            <v>Tanaman</v>
          </cell>
          <cell r="D808">
            <v>423095000</v>
          </cell>
          <cell r="E808">
            <v>423095000</v>
          </cell>
          <cell r="J808">
            <v>423095000</v>
          </cell>
        </row>
        <row r="809">
          <cell r="B809" t="str">
            <v>1.3.05.05.01</v>
          </cell>
          <cell r="C809" t="str">
            <v>Tanaman</v>
          </cell>
          <cell r="D809">
            <v>423095000</v>
          </cell>
          <cell r="E809">
            <v>423095000</v>
          </cell>
          <cell r="F809">
            <v>0</v>
          </cell>
          <cell r="G809">
            <v>0</v>
          </cell>
          <cell r="H809">
            <v>0</v>
          </cell>
          <cell r="I809">
            <v>0</v>
          </cell>
          <cell r="J809">
            <v>423095000</v>
          </cell>
        </row>
        <row r="810">
          <cell r="B810" t="str">
            <v>1.3.05.06</v>
          </cell>
          <cell r="C810" t="str">
            <v>Barang Koleksi Non Budaya</v>
          </cell>
          <cell r="D810">
            <v>177550000</v>
          </cell>
          <cell r="E810">
            <v>189586840</v>
          </cell>
          <cell r="J810">
            <v>189586840</v>
          </cell>
        </row>
        <row r="811">
          <cell r="B811" t="str">
            <v>1.3.05.06.01</v>
          </cell>
          <cell r="C811" t="str">
            <v>Barang Koleksi Non Budaya</v>
          </cell>
          <cell r="D811">
            <v>177550000</v>
          </cell>
          <cell r="E811">
            <v>189586840</v>
          </cell>
          <cell r="F811">
            <v>0</v>
          </cell>
          <cell r="G811">
            <v>0</v>
          </cell>
          <cell r="H811">
            <v>0</v>
          </cell>
          <cell r="I811">
            <v>0</v>
          </cell>
          <cell r="J811">
            <v>189586840</v>
          </cell>
        </row>
        <row r="812">
          <cell r="B812" t="str">
            <v>1.3.05.07</v>
          </cell>
          <cell r="C812" t="str">
            <v>Aset Tetap Dalam Renovasi</v>
          </cell>
          <cell r="D812">
            <v>157038133.59999999</v>
          </cell>
          <cell r="E812">
            <v>157038133.59999999</v>
          </cell>
          <cell r="J812">
            <v>605156133.60000002</v>
          </cell>
        </row>
        <row r="813">
          <cell r="B813" t="str">
            <v>1.3.05.07.01</v>
          </cell>
          <cell r="C813" t="str">
            <v>Aset Tetap Dalam Renovasi</v>
          </cell>
          <cell r="D813">
            <v>157038133.59999999</v>
          </cell>
          <cell r="E813">
            <v>157038133.59999999</v>
          </cell>
          <cell r="F813">
            <v>498650000</v>
          </cell>
          <cell r="G813">
            <v>50532000</v>
          </cell>
          <cell r="H813">
            <v>0</v>
          </cell>
          <cell r="I813">
            <v>0</v>
          </cell>
          <cell r="J813">
            <v>605156133.60000002</v>
          </cell>
        </row>
        <row r="815">
          <cell r="B815" t="str">
            <v>1.3.06</v>
          </cell>
          <cell r="C815" t="str">
            <v>Konstruksi Dalam Pengerjaan</v>
          </cell>
          <cell r="D815">
            <v>24116772488</v>
          </cell>
          <cell r="E815">
            <v>20262811461.000004</v>
          </cell>
          <cell r="J815">
            <v>20228678461.000004</v>
          </cell>
        </row>
        <row r="816">
          <cell r="B816" t="str">
            <v>1.3.06.01</v>
          </cell>
          <cell r="C816" t="str">
            <v>Konstruksi Dalam Pengerjaan Tanah</v>
          </cell>
          <cell r="D816">
            <v>0</v>
          </cell>
          <cell r="E816">
            <v>0</v>
          </cell>
          <cell r="J816">
            <v>0</v>
          </cell>
        </row>
        <row r="817">
          <cell r="B817" t="str">
            <v>1.3.06.01.01</v>
          </cell>
          <cell r="C817" t="str">
            <v>Konstruksi Dalam Pengerjaan Tanah</v>
          </cell>
          <cell r="F817">
            <v>0</v>
          </cell>
          <cell r="G817">
            <v>0</v>
          </cell>
          <cell r="H817">
            <v>0</v>
          </cell>
          <cell r="I817">
            <v>0</v>
          </cell>
          <cell r="J817">
            <v>0</v>
          </cell>
        </row>
        <row r="818">
          <cell r="B818" t="str">
            <v>1.3.06.02</v>
          </cell>
          <cell r="C818" t="str">
            <v>Konstruksi Dalam Pengerjaan Peralatan dan Mesin</v>
          </cell>
          <cell r="D818">
            <v>0</v>
          </cell>
          <cell r="E818">
            <v>0</v>
          </cell>
          <cell r="J818">
            <v>0</v>
          </cell>
        </row>
        <row r="819">
          <cell r="B819" t="str">
            <v>1.3.06.02.01</v>
          </cell>
          <cell r="C819" t="str">
            <v>Konstruksi Dalam Pengerjaan Alat Besar</v>
          </cell>
          <cell r="F819">
            <v>0</v>
          </cell>
          <cell r="G819">
            <v>0</v>
          </cell>
          <cell r="H819">
            <v>0</v>
          </cell>
          <cell r="I819">
            <v>0</v>
          </cell>
          <cell r="J819">
            <v>0</v>
          </cell>
        </row>
        <row r="820">
          <cell r="B820" t="str">
            <v>1.3.06.02.02</v>
          </cell>
          <cell r="C820" t="str">
            <v>Konstruksi Dalam Pengerjaan Alat Angkutan</v>
          </cell>
          <cell r="F820">
            <v>0</v>
          </cell>
          <cell r="G820">
            <v>0</v>
          </cell>
          <cell r="H820">
            <v>0</v>
          </cell>
          <cell r="I820">
            <v>0</v>
          </cell>
          <cell r="J820">
            <v>0</v>
          </cell>
        </row>
        <row r="821">
          <cell r="B821" t="str">
            <v>1.3.06.02.03</v>
          </cell>
          <cell r="C821" t="str">
            <v>Konstruksi Dalam Pengerjaan Alat Bengkel dan Alat Ukur</v>
          </cell>
          <cell r="F821">
            <v>0</v>
          </cell>
          <cell r="G821">
            <v>0</v>
          </cell>
          <cell r="H821">
            <v>0</v>
          </cell>
          <cell r="I821">
            <v>0</v>
          </cell>
          <cell r="J821">
            <v>0</v>
          </cell>
        </row>
        <row r="822">
          <cell r="B822" t="str">
            <v>1.3.06.02.04</v>
          </cell>
          <cell r="C822" t="str">
            <v>Konstruksi Dalam Pengerjaan Alat Pertanian</v>
          </cell>
          <cell r="F822">
            <v>0</v>
          </cell>
          <cell r="G822">
            <v>0</v>
          </cell>
          <cell r="H822">
            <v>0</v>
          </cell>
          <cell r="I822">
            <v>0</v>
          </cell>
          <cell r="J822">
            <v>0</v>
          </cell>
        </row>
        <row r="823">
          <cell r="B823" t="str">
            <v>1.3.06.02.05</v>
          </cell>
          <cell r="C823" t="str">
            <v>Konstruksi Dalam Pengerjaan Alat Kantor dan Rumah Tangga</v>
          </cell>
          <cell r="F823">
            <v>0</v>
          </cell>
          <cell r="G823">
            <v>0</v>
          </cell>
          <cell r="H823">
            <v>0</v>
          </cell>
          <cell r="I823">
            <v>0</v>
          </cell>
          <cell r="J823">
            <v>0</v>
          </cell>
        </row>
        <row r="824">
          <cell r="B824" t="str">
            <v>1.3.06.02.06</v>
          </cell>
          <cell r="C824" t="str">
            <v>Konstruksi Dalam Pengerjaan Alat Studio, Komunikasi, dan Pemancar</v>
          </cell>
          <cell r="F824">
            <v>0</v>
          </cell>
          <cell r="G824">
            <v>0</v>
          </cell>
          <cell r="H824">
            <v>0</v>
          </cell>
          <cell r="I824">
            <v>0</v>
          </cell>
          <cell r="J824">
            <v>0</v>
          </cell>
        </row>
        <row r="825">
          <cell r="B825" t="str">
            <v>1.3.06.02.07</v>
          </cell>
          <cell r="C825" t="str">
            <v>Konstruksi Dalam Pengerjaan Alat Kedokteran dan Kesehatan</v>
          </cell>
          <cell r="F825">
            <v>0</v>
          </cell>
          <cell r="G825">
            <v>0</v>
          </cell>
          <cell r="H825">
            <v>0</v>
          </cell>
          <cell r="I825">
            <v>0</v>
          </cell>
          <cell r="J825">
            <v>0</v>
          </cell>
        </row>
        <row r="826">
          <cell r="B826" t="str">
            <v>1.3.06.02.08</v>
          </cell>
          <cell r="C826" t="str">
            <v>Konstruksi Dalam Pengerjaan Alat Laboratorium</v>
          </cell>
          <cell r="F826">
            <v>0</v>
          </cell>
          <cell r="G826">
            <v>0</v>
          </cell>
          <cell r="H826">
            <v>0</v>
          </cell>
          <cell r="I826">
            <v>0</v>
          </cell>
          <cell r="J826">
            <v>0</v>
          </cell>
        </row>
        <row r="827">
          <cell r="B827" t="str">
            <v>1.3.06.02.10</v>
          </cell>
          <cell r="C827" t="str">
            <v>Konstruksi Dalam Pengerjaan Komputer</v>
          </cell>
          <cell r="F827">
            <v>0</v>
          </cell>
          <cell r="G827">
            <v>0</v>
          </cell>
          <cell r="H827">
            <v>0</v>
          </cell>
          <cell r="I827">
            <v>0</v>
          </cell>
          <cell r="J827">
            <v>0</v>
          </cell>
        </row>
        <row r="828">
          <cell r="B828" t="str">
            <v>1.3.06.02.11</v>
          </cell>
          <cell r="C828" t="str">
            <v>Konstruksi Dalam Pengerjaan Alat Eksplorasi</v>
          </cell>
          <cell r="F828">
            <v>0</v>
          </cell>
          <cell r="G828">
            <v>0</v>
          </cell>
          <cell r="H828">
            <v>0</v>
          </cell>
          <cell r="I828">
            <v>0</v>
          </cell>
          <cell r="J828">
            <v>0</v>
          </cell>
        </row>
        <row r="829">
          <cell r="B829" t="str">
            <v>1.3.06.02.12</v>
          </cell>
          <cell r="C829" t="str">
            <v>Konstruksi Dalam Pengerjaan Alat Pengeboran</v>
          </cell>
          <cell r="F829">
            <v>0</v>
          </cell>
          <cell r="G829">
            <v>0</v>
          </cell>
          <cell r="H829">
            <v>0</v>
          </cell>
          <cell r="I829">
            <v>0</v>
          </cell>
          <cell r="J829">
            <v>0</v>
          </cell>
        </row>
        <row r="830">
          <cell r="B830" t="str">
            <v>1.3.06.02.13</v>
          </cell>
          <cell r="C830" t="str">
            <v>Konstruksi Dalam Pengerjaan Alat Produksi, Pengolahan, dan Pemurnian</v>
          </cell>
          <cell r="F830">
            <v>0</v>
          </cell>
          <cell r="G830">
            <v>0</v>
          </cell>
          <cell r="H830">
            <v>0</v>
          </cell>
          <cell r="I830">
            <v>0</v>
          </cell>
          <cell r="J830">
            <v>0</v>
          </cell>
        </row>
        <row r="831">
          <cell r="B831" t="str">
            <v>1.3.06.02.14</v>
          </cell>
          <cell r="C831" t="str">
            <v>Konstruksi Dalam Pengerjaan Alat Bantu Eksplorasi</v>
          </cell>
          <cell r="F831">
            <v>0</v>
          </cell>
          <cell r="G831">
            <v>0</v>
          </cell>
          <cell r="H831">
            <v>0</v>
          </cell>
          <cell r="I831">
            <v>0</v>
          </cell>
          <cell r="J831">
            <v>0</v>
          </cell>
        </row>
        <row r="832">
          <cell r="B832" t="str">
            <v>1.3.06.02.15</v>
          </cell>
          <cell r="C832" t="str">
            <v>Konstruksi Dalam Pengerjaan Alat Keselamatan Kerja</v>
          </cell>
          <cell r="F832">
            <v>0</v>
          </cell>
          <cell r="G832">
            <v>0</v>
          </cell>
          <cell r="H832">
            <v>0</v>
          </cell>
          <cell r="I832">
            <v>0</v>
          </cell>
          <cell r="J832">
            <v>0</v>
          </cell>
        </row>
        <row r="833">
          <cell r="B833" t="str">
            <v>1.3.06.02.16</v>
          </cell>
          <cell r="C833" t="str">
            <v>Konstruksi Dalam Pengerjaan Alat Peraga</v>
          </cell>
          <cell r="F833">
            <v>0</v>
          </cell>
          <cell r="G833">
            <v>0</v>
          </cell>
          <cell r="H833">
            <v>0</v>
          </cell>
          <cell r="I833">
            <v>0</v>
          </cell>
          <cell r="J833">
            <v>0</v>
          </cell>
        </row>
        <row r="834">
          <cell r="B834" t="str">
            <v>1.3.06.02.17</v>
          </cell>
          <cell r="C834" t="str">
            <v>Konstruksi Dalam Pengerjaan Peralatan Proses/Produksi</v>
          </cell>
          <cell r="F834">
            <v>0</v>
          </cell>
          <cell r="G834">
            <v>0</v>
          </cell>
          <cell r="H834">
            <v>0</v>
          </cell>
          <cell r="I834">
            <v>0</v>
          </cell>
          <cell r="J834">
            <v>0</v>
          </cell>
        </row>
        <row r="835">
          <cell r="B835" t="str">
            <v>1.3.06.02.18</v>
          </cell>
          <cell r="C835" t="str">
            <v>Konstruksi Dalam Pengerjaan Rambu-rambu</v>
          </cell>
          <cell r="F835">
            <v>0</v>
          </cell>
          <cell r="G835">
            <v>0</v>
          </cell>
          <cell r="H835">
            <v>0</v>
          </cell>
          <cell r="I835">
            <v>0</v>
          </cell>
          <cell r="J835">
            <v>0</v>
          </cell>
        </row>
        <row r="836">
          <cell r="B836" t="str">
            <v>1.3.06.02.19</v>
          </cell>
          <cell r="C836" t="str">
            <v>Konstruksi Dalam Pengerjaan Peralatan Olahraga</v>
          </cell>
          <cell r="F836">
            <v>0</v>
          </cell>
          <cell r="G836">
            <v>0</v>
          </cell>
          <cell r="H836">
            <v>0</v>
          </cell>
          <cell r="I836">
            <v>0</v>
          </cell>
          <cell r="J836">
            <v>0</v>
          </cell>
        </row>
        <row r="837">
          <cell r="B837" t="str">
            <v>1.3.06.03</v>
          </cell>
          <cell r="C837" t="str">
            <v>Konstruksi Dalam Pengerjaan Gedung dan Bangunan</v>
          </cell>
          <cell r="D837">
            <v>9141347620</v>
          </cell>
          <cell r="E837">
            <v>6329329929</v>
          </cell>
          <cell r="J837">
            <v>6295196929</v>
          </cell>
        </row>
        <row r="838">
          <cell r="B838" t="str">
            <v>1.3.06.03.01</v>
          </cell>
          <cell r="C838" t="str">
            <v>Konstruksi Dalam Pengerjaan Bangunan Gedung</v>
          </cell>
          <cell r="D838">
            <v>9141347620</v>
          </cell>
          <cell r="E838">
            <v>6329329929</v>
          </cell>
          <cell r="F838">
            <v>0</v>
          </cell>
          <cell r="G838">
            <v>34133000</v>
          </cell>
          <cell r="H838">
            <v>0</v>
          </cell>
          <cell r="I838">
            <v>0</v>
          </cell>
          <cell r="J838">
            <v>6295196929</v>
          </cell>
        </row>
        <row r="839">
          <cell r="B839" t="str">
            <v>1.3.06.03.02</v>
          </cell>
          <cell r="C839" t="str">
            <v>Konstruksi Dalam Pengerjaan Monumen</v>
          </cell>
          <cell r="F839">
            <v>0</v>
          </cell>
          <cell r="G839">
            <v>0</v>
          </cell>
          <cell r="H839">
            <v>0</v>
          </cell>
          <cell r="I839">
            <v>0</v>
          </cell>
          <cell r="J839">
            <v>0</v>
          </cell>
        </row>
        <row r="840">
          <cell r="B840" t="str">
            <v>1.3.06.03.03</v>
          </cell>
          <cell r="C840" t="str">
            <v>Konstruksi Dalam Pengerjaan Bangunan Menara</v>
          </cell>
          <cell r="F840">
            <v>0</v>
          </cell>
          <cell r="G840">
            <v>0</v>
          </cell>
          <cell r="H840">
            <v>0</v>
          </cell>
          <cell r="I840">
            <v>0</v>
          </cell>
          <cell r="J840">
            <v>0</v>
          </cell>
        </row>
        <row r="841">
          <cell r="B841" t="str">
            <v>1.3.06.03.04</v>
          </cell>
          <cell r="C841" t="str">
            <v>Konstruksi Dalam Pengerjaan Tugu Titik Kontrol/Pasti</v>
          </cell>
          <cell r="F841">
            <v>0</v>
          </cell>
          <cell r="G841">
            <v>0</v>
          </cell>
          <cell r="H841">
            <v>0</v>
          </cell>
          <cell r="I841">
            <v>0</v>
          </cell>
          <cell r="J841">
            <v>0</v>
          </cell>
        </row>
        <row r="842">
          <cell r="B842" t="str">
            <v>1.3.06.04</v>
          </cell>
          <cell r="C842" t="str">
            <v>Konstruksi Dalam Pengerjaan Jalan, Jaringan, dan Irigasi</v>
          </cell>
          <cell r="D842">
            <v>14975424868</v>
          </cell>
          <cell r="E842">
            <v>13933481532.000004</v>
          </cell>
          <cell r="J842">
            <v>13933481532.000004</v>
          </cell>
        </row>
        <row r="843">
          <cell r="B843" t="str">
            <v>1.3.06.04.01</v>
          </cell>
          <cell r="C843" t="str">
            <v>Konstruksi Dalam Pengerjaan Jalan dan Jembatan</v>
          </cell>
          <cell r="D843">
            <v>9100547400</v>
          </cell>
          <cell r="E843">
            <v>9626325984.0000038</v>
          </cell>
          <cell r="F843">
            <v>0</v>
          </cell>
          <cell r="G843">
            <v>0</v>
          </cell>
          <cell r="H843">
            <v>0</v>
          </cell>
          <cell r="I843">
            <v>0</v>
          </cell>
          <cell r="J843">
            <v>9626325984.0000038</v>
          </cell>
        </row>
        <row r="844">
          <cell r="B844" t="str">
            <v>1.3.06.04.02</v>
          </cell>
          <cell r="C844" t="str">
            <v>Konstruksi Dalam Pengerjaan Bangunan Air</v>
          </cell>
          <cell r="D844">
            <v>5874877468</v>
          </cell>
          <cell r="E844">
            <v>4307155548</v>
          </cell>
          <cell r="F844">
            <v>0</v>
          </cell>
          <cell r="G844">
            <v>0</v>
          </cell>
          <cell r="H844">
            <v>0</v>
          </cell>
          <cell r="I844">
            <v>0</v>
          </cell>
          <cell r="J844">
            <v>4307155548</v>
          </cell>
        </row>
        <row r="845">
          <cell r="B845" t="str">
            <v>1.3.06.04.03</v>
          </cell>
          <cell r="C845" t="str">
            <v>Konstruksi Dalam Pengerjaan Instalasi</v>
          </cell>
          <cell r="F845">
            <v>0</v>
          </cell>
          <cell r="G845">
            <v>0</v>
          </cell>
          <cell r="H845">
            <v>0</v>
          </cell>
          <cell r="I845">
            <v>0</v>
          </cell>
          <cell r="J845">
            <v>0</v>
          </cell>
        </row>
        <row r="846">
          <cell r="B846" t="str">
            <v>1.3.06.04.04</v>
          </cell>
          <cell r="C846" t="str">
            <v>Konstruksi Dalam Pengerjaan Jaringan</v>
          </cell>
          <cell r="F846">
            <v>0</v>
          </cell>
          <cell r="G846">
            <v>0</v>
          </cell>
          <cell r="H846">
            <v>0</v>
          </cell>
          <cell r="I846">
            <v>0</v>
          </cell>
          <cell r="J846">
            <v>0</v>
          </cell>
        </row>
        <row r="847">
          <cell r="B847" t="str">
            <v>1.3.06.05</v>
          </cell>
          <cell r="C847" t="str">
            <v>Konstruksi Dalam Pengerjaan Aset Tetap Lainnya</v>
          </cell>
          <cell r="D847">
            <v>0</v>
          </cell>
          <cell r="E847">
            <v>0</v>
          </cell>
          <cell r="J847">
            <v>0</v>
          </cell>
        </row>
        <row r="848">
          <cell r="B848" t="str">
            <v>1.3.06.05.01</v>
          </cell>
          <cell r="C848" t="str">
            <v>Konstruksi Dalam Pengerjaan Bahan Perpustakaan</v>
          </cell>
          <cell r="F848">
            <v>0</v>
          </cell>
          <cell r="G848">
            <v>0</v>
          </cell>
          <cell r="H848">
            <v>0</v>
          </cell>
          <cell r="I848">
            <v>0</v>
          </cell>
          <cell r="J848">
            <v>0</v>
          </cell>
        </row>
        <row r="849">
          <cell r="B849" t="str">
            <v>1.3.06.05.02</v>
          </cell>
          <cell r="C849" t="str">
            <v>Konstruksi Dalam Pengerjaan Barang Bercorak Kesenian/Kebudayaan/Olahraga</v>
          </cell>
          <cell r="F849">
            <v>0</v>
          </cell>
          <cell r="G849">
            <v>0</v>
          </cell>
          <cell r="H849">
            <v>0</v>
          </cell>
          <cell r="I849">
            <v>0</v>
          </cell>
          <cell r="J849">
            <v>0</v>
          </cell>
        </row>
        <row r="850">
          <cell r="B850" t="str">
            <v>1.3.06.05.03</v>
          </cell>
          <cell r="C850" t="str">
            <v>Konstruksi Dalam Pengerjaan Hewan</v>
          </cell>
          <cell r="F850">
            <v>0</v>
          </cell>
          <cell r="G850">
            <v>0</v>
          </cell>
          <cell r="H850">
            <v>0</v>
          </cell>
          <cell r="I850">
            <v>0</v>
          </cell>
          <cell r="J850">
            <v>0</v>
          </cell>
        </row>
        <row r="851">
          <cell r="B851" t="str">
            <v>1.3.06.05.04</v>
          </cell>
          <cell r="C851" t="str">
            <v>Konstruksi Dalam Pengerjaan Biota Perairan</v>
          </cell>
          <cell r="F851">
            <v>0</v>
          </cell>
          <cell r="G851">
            <v>0</v>
          </cell>
          <cell r="H851">
            <v>0</v>
          </cell>
          <cell r="I851">
            <v>0</v>
          </cell>
          <cell r="J851">
            <v>0</v>
          </cell>
        </row>
        <row r="852">
          <cell r="B852" t="str">
            <v>1.3.06.05.05</v>
          </cell>
          <cell r="C852" t="str">
            <v>Konstruksi Dalam Pengerjaan Tanaman</v>
          </cell>
          <cell r="F852">
            <v>0</v>
          </cell>
          <cell r="G852">
            <v>0</v>
          </cell>
          <cell r="H852">
            <v>0</v>
          </cell>
          <cell r="I852">
            <v>0</v>
          </cell>
          <cell r="J852">
            <v>0</v>
          </cell>
        </row>
        <row r="853">
          <cell r="B853" t="str">
            <v>1.3.06.05.06</v>
          </cell>
          <cell r="C853" t="str">
            <v>Konstruksi Dalam Pengerjaan Barang Koleksi Non Budaya</v>
          </cell>
          <cell r="F853">
            <v>0</v>
          </cell>
          <cell r="G853">
            <v>0</v>
          </cell>
          <cell r="H853">
            <v>0</v>
          </cell>
          <cell r="I853">
            <v>0</v>
          </cell>
          <cell r="J853">
            <v>0</v>
          </cell>
        </row>
        <row r="854">
          <cell r="B854" t="str">
            <v>1.3.06.05.07</v>
          </cell>
          <cell r="C854" t="str">
            <v>Konstruksi Dalam Pengerjaan Aset Tetap Dalam Renovasi</v>
          </cell>
          <cell r="F854">
            <v>0</v>
          </cell>
          <cell r="G854">
            <v>0</v>
          </cell>
          <cell r="H854">
            <v>0</v>
          </cell>
          <cell r="I854">
            <v>0</v>
          </cell>
          <cell r="J854">
            <v>0</v>
          </cell>
        </row>
        <row r="856">
          <cell r="B856" t="str">
            <v>1.3.07</v>
          </cell>
          <cell r="C856" t="str">
            <v>Akumulasi Penyusutan</v>
          </cell>
          <cell r="D856">
            <v>-1948538833844.325</v>
          </cell>
          <cell r="E856">
            <v>-2172867919578.02</v>
          </cell>
          <cell r="J856">
            <v>-2164615153402.2065</v>
          </cell>
        </row>
        <row r="857">
          <cell r="B857" t="str">
            <v>1.3.07.01</v>
          </cell>
          <cell r="C857" t="str">
            <v>Akumulasi Penyusutan Peralatan dan Mesin</v>
          </cell>
          <cell r="D857">
            <v>-569223395588.05505</v>
          </cell>
          <cell r="E857">
            <v>-636021868554.97998</v>
          </cell>
          <cell r="J857">
            <v>-628421065262.8739</v>
          </cell>
        </row>
        <row r="858">
          <cell r="B858" t="str">
            <v>1.3.07.01.01</v>
          </cell>
          <cell r="C858" t="str">
            <v>Akumulasi Penyusutan Alat Besar</v>
          </cell>
          <cell r="D858">
            <v>-6951188008</v>
          </cell>
          <cell r="E858">
            <v>-8188850899.3299999</v>
          </cell>
          <cell r="F858">
            <v>5637203.432</v>
          </cell>
          <cell r="G858">
            <v>18293266.66</v>
          </cell>
          <cell r="H858">
            <v>0</v>
          </cell>
          <cell r="I858">
            <v>0</v>
          </cell>
          <cell r="J858">
            <v>-8201506962.5579996</v>
          </cell>
        </row>
        <row r="859">
          <cell r="B859" t="str">
            <v>1.3.07.01.02</v>
          </cell>
          <cell r="C859" t="str">
            <v>Akumulasi Penyusutan Alat Angkutan</v>
          </cell>
          <cell r="D859">
            <v>-151382446779.125</v>
          </cell>
          <cell r="E859">
            <v>-160131674794.95004</v>
          </cell>
          <cell r="F859">
            <v>300000</v>
          </cell>
          <cell r="G859">
            <v>0</v>
          </cell>
          <cell r="H859">
            <v>0</v>
          </cell>
          <cell r="I859">
            <v>0</v>
          </cell>
          <cell r="J859">
            <v>-160131374794.95004</v>
          </cell>
        </row>
        <row r="860">
          <cell r="B860" t="str">
            <v>1.3.07.01.03</v>
          </cell>
          <cell r="C860" t="str">
            <v>Akumulasi Penyusutan Alat Bengkel dan Alat Ukur</v>
          </cell>
          <cell r="D860">
            <v>-4914759982.5100002</v>
          </cell>
          <cell r="E860">
            <v>-5214906743.1100006</v>
          </cell>
          <cell r="F860">
            <v>5608840</v>
          </cell>
          <cell r="G860">
            <v>0</v>
          </cell>
          <cell r="H860">
            <v>0</v>
          </cell>
          <cell r="I860">
            <v>0</v>
          </cell>
          <cell r="J860">
            <v>-5209297903.1100006</v>
          </cell>
        </row>
        <row r="861">
          <cell r="B861" t="str">
            <v>1.3.07.01.04</v>
          </cell>
          <cell r="C861" t="str">
            <v>Akumulasi Penyusutan Alat Pertanian</v>
          </cell>
          <cell r="D861">
            <v>-8826459032.4799995</v>
          </cell>
          <cell r="E861">
            <v>-9423965344.75</v>
          </cell>
          <cell r="F861">
            <v>5501377</v>
          </cell>
          <cell r="G861">
            <v>0</v>
          </cell>
          <cell r="H861">
            <v>0</v>
          </cell>
          <cell r="I861">
            <v>0</v>
          </cell>
          <cell r="J861">
            <v>-9418463967.75</v>
          </cell>
        </row>
        <row r="862">
          <cell r="B862" t="str">
            <v>1.3.07.01.05</v>
          </cell>
          <cell r="C862" t="str">
            <v>Akumulasi Penyusutan Alat Kantor dan Rumah Tangga</v>
          </cell>
          <cell r="D862">
            <v>-119100393572.65001</v>
          </cell>
          <cell r="E862">
            <v>-131198199504.01999</v>
          </cell>
          <cell r="F862">
            <v>6930719556.0893059</v>
          </cell>
          <cell r="G862">
            <v>0</v>
          </cell>
          <cell r="H862">
            <v>0</v>
          </cell>
          <cell r="I862">
            <v>0</v>
          </cell>
          <cell r="J862">
            <v>-124267479947.93068</v>
          </cell>
        </row>
        <row r="863">
          <cell r="B863" t="str">
            <v>1.3.07.01.06</v>
          </cell>
          <cell r="C863" t="str">
            <v>Akumulasi Penyusutan Alat Studio, Komunikasi, dan Pemancar</v>
          </cell>
          <cell r="D863">
            <v>-10027383857.049999</v>
          </cell>
          <cell r="E863">
            <v>-11127474080.280001</v>
          </cell>
          <cell r="F863">
            <v>7867592.5</v>
          </cell>
          <cell r="G863">
            <v>0</v>
          </cell>
          <cell r="H863">
            <v>0</v>
          </cell>
          <cell r="I863">
            <v>0</v>
          </cell>
          <cell r="J863">
            <v>-11119606487.780001</v>
          </cell>
        </row>
        <row r="864">
          <cell r="B864" t="str">
            <v>1.3.07.01.07</v>
          </cell>
          <cell r="C864" t="str">
            <v>Akumulasi Penyusutan Alat Kedokteran dan Kesehatan</v>
          </cell>
          <cell r="D864">
            <v>-136990500569.97</v>
          </cell>
          <cell r="E864">
            <v>-166437431288.13</v>
          </cell>
          <cell r="F864">
            <v>926266.66666999995</v>
          </cell>
          <cell r="G864">
            <v>0</v>
          </cell>
          <cell r="H864">
            <v>0</v>
          </cell>
          <cell r="I864">
            <v>0</v>
          </cell>
          <cell r="J864">
            <v>-166436505021.46335</v>
          </cell>
        </row>
        <row r="865">
          <cell r="B865" t="str">
            <v>1.3.07.01.08</v>
          </cell>
          <cell r="C865" t="str">
            <v>Akumulasi Penyusutan Alat Laboratorium</v>
          </cell>
          <cell r="D865">
            <v>-32113810741.360004</v>
          </cell>
          <cell r="E865">
            <v>-34611735123.040001</v>
          </cell>
          <cell r="F865">
            <v>522549040.30000001</v>
          </cell>
          <cell r="G865">
            <v>0</v>
          </cell>
          <cell r="H865">
            <v>0</v>
          </cell>
          <cell r="I865">
            <v>0</v>
          </cell>
          <cell r="J865">
            <v>-34089186082.740002</v>
          </cell>
        </row>
        <row r="866">
          <cell r="B866" t="str">
            <v>1.3.07.01.09</v>
          </cell>
          <cell r="C866" t="str">
            <v>Akumulasi Penyusutan Alat Persenjataan</v>
          </cell>
          <cell r="D866">
            <v>-1039911537</v>
          </cell>
          <cell r="E866">
            <v>-1310400615.8200002</v>
          </cell>
          <cell r="F866">
            <v>0</v>
          </cell>
          <cell r="G866">
            <v>0</v>
          </cell>
          <cell r="H866">
            <v>0</v>
          </cell>
          <cell r="I866">
            <v>0</v>
          </cell>
          <cell r="J866">
            <v>-1310400615.8200002</v>
          </cell>
        </row>
        <row r="867">
          <cell r="B867" t="str">
            <v>1.3.07.01.10</v>
          </cell>
          <cell r="C867" t="str">
            <v>Akumulasi Penyusutan Komputer</v>
          </cell>
          <cell r="D867">
            <v>-85367517636.230011</v>
          </cell>
          <cell r="E867">
            <v>-95180164939.389999</v>
          </cell>
          <cell r="F867">
            <v>32320979.111056667</v>
          </cell>
          <cell r="G867">
            <v>11043755</v>
          </cell>
          <cell r="H867">
            <v>0</v>
          </cell>
          <cell r="I867">
            <v>0</v>
          </cell>
          <cell r="J867">
            <v>-95158887715.278946</v>
          </cell>
        </row>
        <row r="868">
          <cell r="B868" t="str">
            <v>1.3.07.01.11</v>
          </cell>
          <cell r="C868" t="str">
            <v>Akumulasi Penyusutan Alat Eksplorasi</v>
          </cell>
          <cell r="D868">
            <v>0</v>
          </cell>
          <cell r="E868">
            <v>0</v>
          </cell>
          <cell r="F868">
            <v>0</v>
          </cell>
          <cell r="G868">
            <v>0</v>
          </cell>
          <cell r="H868">
            <v>0</v>
          </cell>
          <cell r="I868">
            <v>0</v>
          </cell>
          <cell r="J868">
            <v>0</v>
          </cell>
        </row>
        <row r="869">
          <cell r="B869" t="str">
            <v>1.3.07.01.12</v>
          </cell>
          <cell r="C869" t="str">
            <v>Akumulasi Penyusutan Alat Pengeboran</v>
          </cell>
          <cell r="D869">
            <v>-29000000</v>
          </cell>
          <cell r="E869">
            <v>-29000000</v>
          </cell>
          <cell r="F869">
            <v>0</v>
          </cell>
          <cell r="G869">
            <v>0</v>
          </cell>
          <cell r="H869">
            <v>0</v>
          </cell>
          <cell r="I869">
            <v>0</v>
          </cell>
          <cell r="J869">
            <v>-29000000</v>
          </cell>
        </row>
        <row r="870">
          <cell r="B870" t="str">
            <v>1.3.07.01.13</v>
          </cell>
          <cell r="C870" t="str">
            <v>Akumulasi Penyusutan Alat Produksi, Pengolahan, dan Pemurnian</v>
          </cell>
          <cell r="F870">
            <v>0</v>
          </cell>
          <cell r="G870">
            <v>0</v>
          </cell>
          <cell r="H870">
            <v>0</v>
          </cell>
          <cell r="I870">
            <v>0</v>
          </cell>
          <cell r="J870">
            <v>0</v>
          </cell>
        </row>
        <row r="871">
          <cell r="B871" t="str">
            <v>1.3.07.01.14</v>
          </cell>
          <cell r="C871" t="str">
            <v>Akumulasi Penyusutan Alat Bantu Eksplorasi</v>
          </cell>
          <cell r="F871">
            <v>0</v>
          </cell>
          <cell r="G871">
            <v>0</v>
          </cell>
          <cell r="H871">
            <v>0</v>
          </cell>
          <cell r="I871">
            <v>0</v>
          </cell>
          <cell r="J871">
            <v>0</v>
          </cell>
        </row>
        <row r="872">
          <cell r="B872" t="str">
            <v>1.3.07.01.15</v>
          </cell>
          <cell r="C872" t="str">
            <v>Akumulasi Penyusutan Alat Keselamatan Kerja</v>
          </cell>
          <cell r="D872">
            <v>-230028982</v>
          </cell>
          <cell r="E872">
            <v>-369152001.58000004</v>
          </cell>
          <cell r="F872">
            <v>1930000</v>
          </cell>
          <cell r="G872">
            <v>0</v>
          </cell>
          <cell r="H872">
            <v>0</v>
          </cell>
          <cell r="I872">
            <v>0</v>
          </cell>
          <cell r="J872">
            <v>-367222001.58000004</v>
          </cell>
        </row>
        <row r="873">
          <cell r="B873" t="str">
            <v>1.3.07.01.16</v>
          </cell>
          <cell r="C873" t="str">
            <v>Akumulasi Penyusutan Alat Peraga</v>
          </cell>
          <cell r="D873">
            <v>-3286440</v>
          </cell>
          <cell r="E873">
            <v>-4097916</v>
          </cell>
          <cell r="F873">
            <v>548.26713999999993</v>
          </cell>
          <cell r="G873">
            <v>0</v>
          </cell>
          <cell r="H873">
            <v>0</v>
          </cell>
          <cell r="I873">
            <v>0</v>
          </cell>
          <cell r="J873">
            <v>-4097367.7328599999</v>
          </cell>
        </row>
        <row r="874">
          <cell r="B874" t="str">
            <v>1.3.07.01.17</v>
          </cell>
          <cell r="C874" t="str">
            <v>Akumulasi Penyusutan Peralatan Proses/Produksi</v>
          </cell>
          <cell r="D874">
            <v>-373440</v>
          </cell>
          <cell r="E874">
            <v>-465648</v>
          </cell>
          <cell r="F874">
            <v>0</v>
          </cell>
          <cell r="G874">
            <v>0</v>
          </cell>
          <cell r="H874">
            <v>0</v>
          </cell>
          <cell r="I874">
            <v>0</v>
          </cell>
          <cell r="J874">
            <v>-465648</v>
          </cell>
        </row>
        <row r="875">
          <cell r="B875" t="str">
            <v>1.3.07.01.18</v>
          </cell>
          <cell r="C875" t="str">
            <v>Akumulasi Penyusutan Rambu-Rambu</v>
          </cell>
          <cell r="D875">
            <v>-5609423966</v>
          </cell>
          <cell r="E875">
            <v>-6045561644.2200003</v>
          </cell>
          <cell r="F875">
            <v>0</v>
          </cell>
          <cell r="G875">
            <v>0</v>
          </cell>
          <cell r="H875">
            <v>0</v>
          </cell>
          <cell r="I875">
            <v>0</v>
          </cell>
          <cell r="J875">
            <v>-6045561644.2200003</v>
          </cell>
        </row>
        <row r="876">
          <cell r="B876" t="str">
            <v>1.3.07.01.19</v>
          </cell>
          <cell r="C876" t="str">
            <v>Akumulasi Penyusutan Peralatan Olahraga</v>
          </cell>
          <cell r="D876">
            <v>-6636911043.6800003</v>
          </cell>
          <cell r="E876">
            <v>-6748788012.3600006</v>
          </cell>
          <cell r="F876">
            <v>116778910.40000047</v>
          </cell>
          <cell r="G876">
            <v>0</v>
          </cell>
          <cell r="H876">
            <v>0</v>
          </cell>
          <cell r="I876">
            <v>0</v>
          </cell>
          <cell r="J876">
            <v>-6632009101.96</v>
          </cell>
        </row>
        <row r="877">
          <cell r="B877" t="str">
            <v>1.3.07.02</v>
          </cell>
          <cell r="C877" t="str">
            <v>Akumulasi Penyusutan Gedung dan Bangunan</v>
          </cell>
          <cell r="D877">
            <v>-457681548466.26996</v>
          </cell>
          <cell r="E877">
            <v>-490330389845.03003</v>
          </cell>
          <cell r="J877">
            <v>-490080844184.47333</v>
          </cell>
        </row>
        <row r="878">
          <cell r="B878" t="str">
            <v>1.3.07.02.01</v>
          </cell>
          <cell r="C878" t="str">
            <v>Akumulasi Penyusutan Bangunan Gedung</v>
          </cell>
          <cell r="D878">
            <v>-454121733106.26996</v>
          </cell>
          <cell r="E878">
            <v>-485768117018.29004</v>
          </cell>
          <cell r="F878">
            <v>247172003.25669003</v>
          </cell>
          <cell r="G878">
            <v>2494391.7000000002</v>
          </cell>
          <cell r="H878">
            <v>0</v>
          </cell>
          <cell r="I878">
            <v>0</v>
          </cell>
          <cell r="J878">
            <v>-485523439406.73334</v>
          </cell>
        </row>
        <row r="879">
          <cell r="B879" t="str">
            <v>1.3.07.02.02</v>
          </cell>
          <cell r="C879" t="str">
            <v>Akumulasi Penyusutan Monumen</v>
          </cell>
          <cell r="D879">
            <v>-894431284</v>
          </cell>
          <cell r="E879">
            <v>-976064296</v>
          </cell>
          <cell r="F879">
            <v>0</v>
          </cell>
          <cell r="G879">
            <v>0</v>
          </cell>
          <cell r="H879">
            <v>0</v>
          </cell>
          <cell r="I879">
            <v>0</v>
          </cell>
          <cell r="J879">
            <v>-976064296</v>
          </cell>
        </row>
        <row r="880">
          <cell r="B880" t="str">
            <v>1.3.07.02.03</v>
          </cell>
          <cell r="C880" t="str">
            <v>Akumulasi Penyusutan Bangunan Menara</v>
          </cell>
          <cell r="D880">
            <v>-37782784</v>
          </cell>
          <cell r="E880">
            <v>-44243860</v>
          </cell>
          <cell r="F880">
            <v>0</v>
          </cell>
          <cell r="G880">
            <v>0</v>
          </cell>
          <cell r="H880">
            <v>0</v>
          </cell>
          <cell r="I880">
            <v>0</v>
          </cell>
          <cell r="J880">
            <v>-44243860</v>
          </cell>
        </row>
        <row r="881">
          <cell r="B881" t="str">
            <v>1.3.07.02.04</v>
          </cell>
          <cell r="C881" t="str">
            <v>Akumulasi Penyusutan Tugu Tanda Batas</v>
          </cell>
          <cell r="D881">
            <v>-2627601292</v>
          </cell>
          <cell r="E881">
            <v>-3541964670.7399998</v>
          </cell>
          <cell r="F881">
            <v>4868049</v>
          </cell>
          <cell r="G881">
            <v>0</v>
          </cell>
          <cell r="H881">
            <v>0</v>
          </cell>
          <cell r="I881">
            <v>0</v>
          </cell>
          <cell r="J881">
            <v>-3537096621.7399998</v>
          </cell>
        </row>
        <row r="882">
          <cell r="B882" t="str">
            <v>1.3.07.03</v>
          </cell>
          <cell r="C882" t="str">
            <v>Akumulasi Penyusutan Jalan, Jaringan, dan Irigasi</v>
          </cell>
          <cell r="D882">
            <v>-921633889790</v>
          </cell>
          <cell r="E882">
            <v>-1046515661178.01</v>
          </cell>
          <cell r="J882">
            <v>-1046113243954.8594</v>
          </cell>
        </row>
        <row r="883">
          <cell r="B883" t="str">
            <v>1.3.07.03.01</v>
          </cell>
          <cell r="C883" t="str">
            <v>Akumulasi Penyusutan Jalan dan Jembatan</v>
          </cell>
          <cell r="D883">
            <v>-697434050861</v>
          </cell>
          <cell r="E883">
            <v>-768813910420.90002</v>
          </cell>
          <cell r="F883">
            <v>34309516.951629989</v>
          </cell>
          <cell r="G883">
            <v>2316666.6666799998</v>
          </cell>
          <cell r="H883">
            <v>0</v>
          </cell>
          <cell r="I883">
            <v>0</v>
          </cell>
          <cell r="J883">
            <v>-768781917570.61499</v>
          </cell>
        </row>
        <row r="884">
          <cell r="B884" t="str">
            <v>1.3.07.03.02</v>
          </cell>
          <cell r="C884" t="str">
            <v>Akumulasi Penyusutan Bangunan Air</v>
          </cell>
          <cell r="D884">
            <v>-157793790006</v>
          </cell>
          <cell r="E884">
            <v>-185888326198.72998</v>
          </cell>
          <cell r="F884">
            <v>92586939</v>
          </cell>
          <cell r="G884">
            <v>2583750</v>
          </cell>
          <cell r="H884">
            <v>0</v>
          </cell>
          <cell r="I884">
            <v>0</v>
          </cell>
          <cell r="J884">
            <v>-185798323009.72998</v>
          </cell>
        </row>
        <row r="885">
          <cell r="B885" t="str">
            <v>1.3.07.03.03</v>
          </cell>
          <cell r="C885" t="str">
            <v>Akumulasi Penyusutan Instalasi</v>
          </cell>
          <cell r="D885">
            <v>-25633284788</v>
          </cell>
          <cell r="E885">
            <v>-41743917739.940002</v>
          </cell>
          <cell r="F885">
            <v>131749039.67632</v>
          </cell>
          <cell r="G885">
            <v>0</v>
          </cell>
          <cell r="H885">
            <v>0</v>
          </cell>
          <cell r="I885">
            <v>0</v>
          </cell>
          <cell r="J885">
            <v>-41612168700.26368</v>
          </cell>
        </row>
        <row r="886">
          <cell r="B886" t="str">
            <v>1.3.07.03.04</v>
          </cell>
          <cell r="C886" t="str">
            <v>Akumulasi Penyusutan Jaringan</v>
          </cell>
          <cell r="D886">
            <v>-40772764135</v>
          </cell>
          <cell r="E886">
            <v>-50069506818.440002</v>
          </cell>
          <cell r="F886">
            <v>148672144.18932</v>
          </cell>
          <cell r="G886">
            <v>0</v>
          </cell>
          <cell r="H886">
            <v>0</v>
          </cell>
          <cell r="I886">
            <v>0</v>
          </cell>
          <cell r="J886">
            <v>-49920834674.250679</v>
          </cell>
        </row>
        <row r="887">
          <cell r="B887" t="str">
            <v>1.3.07.04</v>
          </cell>
          <cell r="C887" t="str">
            <v>Akumulasi Penyusutan Aset Tetap Lainnya</v>
          </cell>
          <cell r="D887">
            <v>0</v>
          </cell>
          <cell r="E887">
            <v>0</v>
          </cell>
          <cell r="J887">
            <v>0</v>
          </cell>
        </row>
        <row r="888">
          <cell r="B888" t="str">
            <v>1.3.07.04.01</v>
          </cell>
          <cell r="C888" t="str">
            <v>Akumulasi Penyusutan Barang Bercorak Kesenian/Kebudayaan/Olahraga</v>
          </cell>
          <cell r="F888">
            <v>0</v>
          </cell>
          <cell r="G888">
            <v>0</v>
          </cell>
          <cell r="H888">
            <v>0</v>
          </cell>
          <cell r="I888">
            <v>0</v>
          </cell>
          <cell r="J888">
            <v>0</v>
          </cell>
        </row>
        <row r="889">
          <cell r="B889" t="str">
            <v>1.3.07.04.02</v>
          </cell>
          <cell r="C889" t="str">
            <v>Akumulasi Penyusutan Aset Tetap Dalam Renovasi</v>
          </cell>
          <cell r="F889">
            <v>0</v>
          </cell>
          <cell r="G889">
            <v>0</v>
          </cell>
          <cell r="H889">
            <v>0</v>
          </cell>
          <cell r="I889">
            <v>0</v>
          </cell>
          <cell r="J889">
            <v>0</v>
          </cell>
        </row>
        <row r="891">
          <cell r="B891" t="str">
            <v>1.3.08</v>
          </cell>
          <cell r="C891" t="str">
            <v>Aset Konsesi Jasa</v>
          </cell>
          <cell r="D891">
            <v>0</v>
          </cell>
          <cell r="E891">
            <v>0</v>
          </cell>
          <cell r="J891">
            <v>0</v>
          </cell>
        </row>
        <row r="892">
          <cell r="B892" t="str">
            <v>1.3.08.01</v>
          </cell>
          <cell r="C892" t="str">
            <v>Aset Konsesi Jasa yang Disediakan Pemberi Konsesi</v>
          </cell>
          <cell r="D892">
            <v>0</v>
          </cell>
          <cell r="E892">
            <v>0</v>
          </cell>
          <cell r="J892">
            <v>0</v>
          </cell>
        </row>
        <row r="893">
          <cell r="B893" t="str">
            <v>1.3.08.01.01</v>
          </cell>
          <cell r="C893" t="str">
            <v>Aset Konsesi Jasa yang Disediakan Pemberi Konsesi-Aset Konsesi Jasa Tanah</v>
          </cell>
          <cell r="F893">
            <v>0</v>
          </cell>
          <cell r="G893">
            <v>0</v>
          </cell>
          <cell r="H893">
            <v>0</v>
          </cell>
          <cell r="I893">
            <v>0</v>
          </cell>
          <cell r="J893">
            <v>0</v>
          </cell>
        </row>
        <row r="894">
          <cell r="B894" t="str">
            <v>1.3.08.01.02</v>
          </cell>
          <cell r="C894" t="str">
            <v>Aset Konsesi Jasa yang Disediakan Pemberi Konsesi-Aset Konsesi Jasa Peralatan dan Mesin</v>
          </cell>
          <cell r="F894">
            <v>0</v>
          </cell>
          <cell r="G894">
            <v>0</v>
          </cell>
          <cell r="H894">
            <v>0</v>
          </cell>
          <cell r="I894">
            <v>0</v>
          </cell>
          <cell r="J894">
            <v>0</v>
          </cell>
        </row>
        <row r="895">
          <cell r="B895" t="str">
            <v>1.3.08.01.03</v>
          </cell>
          <cell r="C895" t="str">
            <v>Aset Konsesi Jasa yang Disediakan Pemberi Konsesi-Aset Konsesi Jasa Gedung dan Bangunan</v>
          </cell>
          <cell r="F895">
            <v>0</v>
          </cell>
          <cell r="G895">
            <v>0</v>
          </cell>
          <cell r="H895">
            <v>0</v>
          </cell>
          <cell r="I895">
            <v>0</v>
          </cell>
          <cell r="J895">
            <v>0</v>
          </cell>
        </row>
        <row r="896">
          <cell r="B896" t="str">
            <v>1.3.08.01.04</v>
          </cell>
          <cell r="C896" t="str">
            <v>Aset Konsesi Jasa yang Disediakan Pemberi Konsesi-Aset Konsesi Jasa Jalan, Jaringan, dan Irigasi</v>
          </cell>
          <cell r="F896">
            <v>0</v>
          </cell>
          <cell r="G896">
            <v>0</v>
          </cell>
          <cell r="H896">
            <v>0</v>
          </cell>
          <cell r="I896">
            <v>0</v>
          </cell>
          <cell r="J896">
            <v>0</v>
          </cell>
        </row>
        <row r="897">
          <cell r="B897" t="str">
            <v>1.3.08.01.05</v>
          </cell>
          <cell r="C897" t="str">
            <v>Aset Konsesi Jasa yang Disediakan Pemberi Konsesi-Aset Tetap Lainnya</v>
          </cell>
          <cell r="F897">
            <v>0</v>
          </cell>
          <cell r="G897">
            <v>0</v>
          </cell>
          <cell r="H897">
            <v>0</v>
          </cell>
          <cell r="I897">
            <v>0</v>
          </cell>
          <cell r="J897">
            <v>0</v>
          </cell>
        </row>
        <row r="898">
          <cell r="B898" t="str">
            <v>1.3.08.02</v>
          </cell>
          <cell r="C898" t="str">
            <v>Aset Konsesi Jasa yang Bersumber dari Milik Mitra</v>
          </cell>
          <cell r="D898">
            <v>0</v>
          </cell>
          <cell r="E898">
            <v>0</v>
          </cell>
          <cell r="J898">
            <v>0</v>
          </cell>
        </row>
        <row r="899">
          <cell r="B899" t="str">
            <v>1.3.08.02.01</v>
          </cell>
          <cell r="C899" t="str">
            <v>Aset Konsesi Jasa yang Bersumber dari Milik Mitra yang Tidak Dapat Disusutkan</v>
          </cell>
          <cell r="F899">
            <v>0</v>
          </cell>
          <cell r="G899">
            <v>0</v>
          </cell>
          <cell r="H899">
            <v>0</v>
          </cell>
          <cell r="I899">
            <v>0</v>
          </cell>
          <cell r="J899">
            <v>0</v>
          </cell>
        </row>
        <row r="900">
          <cell r="B900" t="str">
            <v>1.3.08.02.02</v>
          </cell>
          <cell r="C900" t="str">
            <v>Aset Konsesi Jasa yang Bersumber dari Milik Mitra yang Dapat Disusutkan</v>
          </cell>
          <cell r="F900">
            <v>0</v>
          </cell>
          <cell r="G900">
            <v>0</v>
          </cell>
          <cell r="H900">
            <v>0</v>
          </cell>
          <cell r="I900">
            <v>0</v>
          </cell>
          <cell r="J900">
            <v>0</v>
          </cell>
        </row>
        <row r="901">
          <cell r="B901" t="str">
            <v>1.3.08.03</v>
          </cell>
          <cell r="C901" t="str">
            <v>Konstruksi Dalam Pengerjaan Aset Konsesi Jasa yang Bersumber dari Milik Mitra</v>
          </cell>
          <cell r="D901">
            <v>0</v>
          </cell>
          <cell r="E901">
            <v>0</v>
          </cell>
          <cell r="J901">
            <v>0</v>
          </cell>
        </row>
        <row r="902">
          <cell r="B902" t="str">
            <v>1.3.08.03.01</v>
          </cell>
          <cell r="C902" t="str">
            <v>Konstruksi Dalam Pengerjaan Aset Konsesi Jasa yang Bersumber dari Milik Mitra-Aset Konsesi Jasa yang Bersumber dari Milik Mitra yang Tidak Dapat Disusutkan</v>
          </cell>
          <cell r="F902">
            <v>0</v>
          </cell>
          <cell r="G902">
            <v>0</v>
          </cell>
          <cell r="H902">
            <v>0</v>
          </cell>
          <cell r="I902">
            <v>0</v>
          </cell>
          <cell r="J902">
            <v>0</v>
          </cell>
        </row>
        <row r="903">
          <cell r="B903" t="str">
            <v>1.3.08.03.02</v>
          </cell>
          <cell r="C903" t="str">
            <v>Konstruksi Dalam Pengerjaan Aset Konsesi Jasa yang Bersumber dari Milik Mitra-Aset Konsesi Jasa yang Bersumber dari Milik Mitra yang Dapat Disusutkan</v>
          </cell>
          <cell r="F903">
            <v>0</v>
          </cell>
          <cell r="G903">
            <v>0</v>
          </cell>
          <cell r="H903">
            <v>0</v>
          </cell>
          <cell r="I903">
            <v>0</v>
          </cell>
          <cell r="J903">
            <v>0</v>
          </cell>
        </row>
        <row r="905">
          <cell r="B905" t="str">
            <v>1.3.09</v>
          </cell>
          <cell r="C905" t="str">
            <v>Akumulasi Penyusutan Aset Konsesi Jasa</v>
          </cell>
          <cell r="D905">
            <v>0</v>
          </cell>
          <cell r="E905">
            <v>0</v>
          </cell>
          <cell r="J905">
            <v>0</v>
          </cell>
        </row>
        <row r="906">
          <cell r="B906" t="str">
            <v>1.3.09.01</v>
          </cell>
          <cell r="C906" t="str">
            <v>Akumulasi Penyusutan Aset Konsesi Jasa yang Disediakan Pemberi Konsesi</v>
          </cell>
          <cell r="D906">
            <v>0</v>
          </cell>
          <cell r="E906">
            <v>0</v>
          </cell>
          <cell r="J906">
            <v>0</v>
          </cell>
        </row>
        <row r="907">
          <cell r="B907" t="str">
            <v>1.3.09.01.01</v>
          </cell>
          <cell r="C907" t="str">
            <v>Akumulasi Penyusutan Aset Konsesi Jasa yang Disediakan Pemberi Konsesi-Aset Konsesi Jasa Peralatan dan Mesin</v>
          </cell>
          <cell r="F907">
            <v>0</v>
          </cell>
          <cell r="G907">
            <v>0</v>
          </cell>
          <cell r="H907">
            <v>0</v>
          </cell>
          <cell r="I907">
            <v>0</v>
          </cell>
          <cell r="J907">
            <v>0</v>
          </cell>
        </row>
        <row r="908">
          <cell r="B908" t="str">
            <v>1.3.09.01.02</v>
          </cell>
          <cell r="C908" t="str">
            <v>Akumulasi Penyusutan Aset Konsesi Jasa yang Disediakan Pemberi Konsesi-Aset Konsesi Jasa Gedung dan Bangunan</v>
          </cell>
          <cell r="F908">
            <v>0</v>
          </cell>
          <cell r="G908">
            <v>0</v>
          </cell>
          <cell r="H908">
            <v>0</v>
          </cell>
          <cell r="I908">
            <v>0</v>
          </cell>
          <cell r="J908">
            <v>0</v>
          </cell>
        </row>
        <row r="909">
          <cell r="B909" t="str">
            <v>1.3.09.01.03</v>
          </cell>
          <cell r="C909" t="str">
            <v>Akumulasi Penyusutan Aset Konsesi Jasa yang Disediakan Pemberi Konsesi-Aset Konsesi Jasa Jalan, Jaringan, dan Irigasi</v>
          </cell>
          <cell r="F909">
            <v>0</v>
          </cell>
          <cell r="G909">
            <v>0</v>
          </cell>
          <cell r="H909">
            <v>0</v>
          </cell>
          <cell r="I909">
            <v>0</v>
          </cell>
          <cell r="J909">
            <v>0</v>
          </cell>
        </row>
        <row r="910">
          <cell r="B910" t="str">
            <v>1.3.09.01.04</v>
          </cell>
          <cell r="C910" t="str">
            <v>Akumulasi Penyusutan Aset Konsesi Jasa yang Disediakan Pemberi Konsesi-Aset Tetap Lainnya</v>
          </cell>
          <cell r="F910">
            <v>0</v>
          </cell>
          <cell r="G910">
            <v>0</v>
          </cell>
          <cell r="H910">
            <v>0</v>
          </cell>
          <cell r="I910">
            <v>0</v>
          </cell>
          <cell r="J910">
            <v>0</v>
          </cell>
        </row>
        <row r="911">
          <cell r="B911" t="str">
            <v>1.3.09.02</v>
          </cell>
          <cell r="C911" t="str">
            <v>Akumulasi Penyusutan Aset Konsesi Jasa yang Bersumber dari Milik Mitra</v>
          </cell>
          <cell r="D911">
            <v>0</v>
          </cell>
          <cell r="E911">
            <v>0</v>
          </cell>
          <cell r="J911">
            <v>0</v>
          </cell>
        </row>
        <row r="912">
          <cell r="B912" t="str">
            <v>1.3.09.02.01</v>
          </cell>
          <cell r="C912" t="str">
            <v>Akumulasi Penyusutan Aset Konsesi Jasa yang Bersumber dari Milik Mitra</v>
          </cell>
          <cell r="F912">
            <v>0</v>
          </cell>
          <cell r="G912">
            <v>0</v>
          </cell>
          <cell r="H912">
            <v>0</v>
          </cell>
          <cell r="I912">
            <v>0</v>
          </cell>
          <cell r="J912">
            <v>0</v>
          </cell>
        </row>
        <row r="914">
          <cell r="B914" t="str">
            <v>1.4</v>
          </cell>
          <cell r="C914" t="str">
            <v>DANA CADANGAN</v>
          </cell>
          <cell r="D914">
            <v>0</v>
          </cell>
          <cell r="E914">
            <v>0</v>
          </cell>
          <cell r="J914">
            <v>0</v>
          </cell>
        </row>
        <row r="915">
          <cell r="B915" t="str">
            <v>1.4.01</v>
          </cell>
          <cell r="C915" t="str">
            <v>Dana Cadangan</v>
          </cell>
          <cell r="D915">
            <v>0</v>
          </cell>
          <cell r="E915">
            <v>0</v>
          </cell>
          <cell r="J915">
            <v>0</v>
          </cell>
        </row>
        <row r="916">
          <cell r="B916" t="str">
            <v>1.4.01.01</v>
          </cell>
          <cell r="C916" t="str">
            <v>Dana Cadangan</v>
          </cell>
          <cell r="D916">
            <v>0</v>
          </cell>
          <cell r="E916">
            <v>0</v>
          </cell>
          <cell r="J916">
            <v>0</v>
          </cell>
        </row>
        <row r="917">
          <cell r="B917" t="str">
            <v>1.4.01.01.01</v>
          </cell>
          <cell r="C917" t="str">
            <v>Dana Cadangan</v>
          </cell>
          <cell r="F917">
            <v>0</v>
          </cell>
          <cell r="G917">
            <v>0</v>
          </cell>
          <cell r="H917">
            <v>0</v>
          </cell>
          <cell r="I917">
            <v>0</v>
          </cell>
          <cell r="J917">
            <v>0</v>
          </cell>
        </row>
        <row r="919">
          <cell r="B919" t="str">
            <v>1.4.02</v>
          </cell>
          <cell r="C919" t="str">
            <v>Dana Cadangan untuk Pembayaran Pokok Obligasi</v>
          </cell>
          <cell r="D919">
            <v>0</v>
          </cell>
          <cell r="E919">
            <v>0</v>
          </cell>
          <cell r="J919">
            <v>0</v>
          </cell>
        </row>
        <row r="920">
          <cell r="B920" t="str">
            <v>1.4.02.01</v>
          </cell>
          <cell r="C920" t="str">
            <v>Dana Cadangan untuk Pembayaran Pokok Obligasi</v>
          </cell>
          <cell r="D920">
            <v>0</v>
          </cell>
          <cell r="E920">
            <v>0</v>
          </cell>
          <cell r="J920">
            <v>0</v>
          </cell>
        </row>
        <row r="921">
          <cell r="B921" t="str">
            <v>1.4.02.01.01</v>
          </cell>
          <cell r="C921" t="str">
            <v>Dana Cadangan untuk Pembayaran Pokok Obligasi</v>
          </cell>
          <cell r="F921">
            <v>0</v>
          </cell>
          <cell r="G921">
            <v>0</v>
          </cell>
          <cell r="H921">
            <v>0</v>
          </cell>
          <cell r="I921">
            <v>0</v>
          </cell>
          <cell r="J921">
            <v>0</v>
          </cell>
        </row>
        <row r="923">
          <cell r="B923" t="str">
            <v>1.4.03</v>
          </cell>
          <cell r="C923" t="str">
            <v>Dana Cadangan untuk Pembayaran Pokok Sukuk</v>
          </cell>
          <cell r="D923">
            <v>0</v>
          </cell>
          <cell r="E923">
            <v>0</v>
          </cell>
          <cell r="J923">
            <v>0</v>
          </cell>
        </row>
        <row r="924">
          <cell r="B924" t="str">
            <v>1.4.03.01</v>
          </cell>
          <cell r="C924" t="str">
            <v>Dana Cadangan untuk Pembayaran Pokok Sukuk</v>
          </cell>
          <cell r="D924">
            <v>0</v>
          </cell>
          <cell r="E924">
            <v>0</v>
          </cell>
          <cell r="J924">
            <v>0</v>
          </cell>
        </row>
        <row r="925">
          <cell r="B925" t="str">
            <v>1.4.03.01.01</v>
          </cell>
          <cell r="C925" t="str">
            <v>Dana Cadangan untuk Pembayaran Pokok Sukuk</v>
          </cell>
          <cell r="F925">
            <v>0</v>
          </cell>
          <cell r="G925">
            <v>0</v>
          </cell>
          <cell r="H925">
            <v>0</v>
          </cell>
          <cell r="I925">
            <v>0</v>
          </cell>
          <cell r="J925">
            <v>0</v>
          </cell>
        </row>
        <row r="927">
          <cell r="B927" t="str">
            <v>1.5</v>
          </cell>
          <cell r="C927" t="str">
            <v>ASET LAINNYA</v>
          </cell>
          <cell r="D927">
            <v>45010919617.549995</v>
          </cell>
          <cell r="E927">
            <v>38303909604.559998</v>
          </cell>
          <cell r="J927">
            <v>42404253909.599998</v>
          </cell>
        </row>
        <row r="928">
          <cell r="B928" t="str">
            <v>1.5.01</v>
          </cell>
          <cell r="C928" t="str">
            <v>Tagihan Jangka Panjang</v>
          </cell>
          <cell r="D928">
            <v>11956477968.07</v>
          </cell>
          <cell r="E928">
            <v>11760090182.889999</v>
          </cell>
          <cell r="J928">
            <v>15865434487.93</v>
          </cell>
        </row>
        <row r="929">
          <cell r="B929" t="str">
            <v>1.5.01.01</v>
          </cell>
          <cell r="C929" t="str">
            <v>Tagihan Penjualan Angsuran</v>
          </cell>
          <cell r="D929">
            <v>1248150480</v>
          </cell>
          <cell r="E929">
            <v>484313210</v>
          </cell>
          <cell r="J929">
            <v>484313210</v>
          </cell>
        </row>
        <row r="930">
          <cell r="B930" t="str">
            <v>1.5.01.01.01</v>
          </cell>
          <cell r="C930" t="str">
            <v>Tagihan Angsuran Penjualan Rumah Negara Golongan III</v>
          </cell>
          <cell r="D930">
            <v>1248150480</v>
          </cell>
          <cell r="E930">
            <v>484313210</v>
          </cell>
          <cell r="F930">
            <v>0</v>
          </cell>
          <cell r="G930">
            <v>0</v>
          </cell>
          <cell r="H930">
            <v>0</v>
          </cell>
          <cell r="I930">
            <v>0</v>
          </cell>
          <cell r="J930">
            <v>484313210</v>
          </cell>
        </row>
        <row r="931">
          <cell r="B931" t="str">
            <v>1.5.01.01.02</v>
          </cell>
          <cell r="C931" t="str">
            <v>Tagihan Angsuran Penjualan Kendaraan Perorangan Dinas</v>
          </cell>
          <cell r="F931">
            <v>0</v>
          </cell>
          <cell r="G931">
            <v>0</v>
          </cell>
          <cell r="H931">
            <v>0</v>
          </cell>
          <cell r="I931">
            <v>0</v>
          </cell>
          <cell r="J931">
            <v>0</v>
          </cell>
        </row>
        <row r="932">
          <cell r="B932" t="str">
            <v>1.5.01.02</v>
          </cell>
          <cell r="C932" t="str">
            <v>Tuntutan Ganti Kerugian Daerah</v>
          </cell>
          <cell r="D932">
            <v>10708327488.07</v>
          </cell>
          <cell r="E932">
            <v>11275776972.889999</v>
          </cell>
          <cell r="J932">
            <v>15381121277.93</v>
          </cell>
        </row>
        <row r="933">
          <cell r="B933" t="str">
            <v>1.5.01.02.01</v>
          </cell>
          <cell r="C933" t="str">
            <v>Tuntutan Ganti Kerugian Daerah Terhadap Bendahara</v>
          </cell>
          <cell r="D933">
            <v>9455052266.8899994</v>
          </cell>
          <cell r="E933">
            <v>11275776972.889999</v>
          </cell>
          <cell r="F933">
            <v>5000000</v>
          </cell>
          <cell r="G933">
            <v>5000000</v>
          </cell>
          <cell r="H933">
            <v>0</v>
          </cell>
          <cell r="I933">
            <v>0</v>
          </cell>
          <cell r="J933">
            <v>11275776972.889999</v>
          </cell>
        </row>
        <row r="934">
          <cell r="B934" t="str">
            <v>1.5.01.02.02</v>
          </cell>
          <cell r="C934" t="str">
            <v>Tuntutan Ganti Kerugian Daerah Terhadap Pegawai Negeri Bukan Bendahara atau Pejabat Lain</v>
          </cell>
          <cell r="D934">
            <v>1253275221.1799998</v>
          </cell>
          <cell r="F934">
            <v>4105344305.04</v>
          </cell>
          <cell r="G934">
            <v>0</v>
          </cell>
          <cell r="H934">
            <v>0</v>
          </cell>
          <cell r="I934">
            <v>0</v>
          </cell>
          <cell r="J934">
            <v>4105344305.04</v>
          </cell>
        </row>
        <row r="936">
          <cell r="B936" t="str">
            <v>1.5.02</v>
          </cell>
          <cell r="C936" t="str">
            <v>Kemitraan dengan Pihak Ketiga</v>
          </cell>
          <cell r="D936">
            <v>0</v>
          </cell>
          <cell r="E936">
            <v>0</v>
          </cell>
          <cell r="J936">
            <v>0</v>
          </cell>
        </row>
        <row r="937">
          <cell r="B937" t="str">
            <v>1.5.02.01</v>
          </cell>
          <cell r="C937" t="str">
            <v>Kemitraan dengan Pihak Ketiga</v>
          </cell>
          <cell r="D937">
            <v>0</v>
          </cell>
          <cell r="E937">
            <v>0</v>
          </cell>
          <cell r="J937">
            <v>0</v>
          </cell>
        </row>
        <row r="938">
          <cell r="B938" t="str">
            <v>1.5.02.01.01</v>
          </cell>
          <cell r="C938" t="str">
            <v>Kemitraan dengan Pihak Ketiga</v>
          </cell>
          <cell r="F938">
            <v>0</v>
          </cell>
          <cell r="G938">
            <v>0</v>
          </cell>
          <cell r="H938">
            <v>0</v>
          </cell>
          <cell r="I938">
            <v>0</v>
          </cell>
          <cell r="J938">
            <v>0</v>
          </cell>
        </row>
        <row r="940">
          <cell r="B940" t="str">
            <v>1.5.03</v>
          </cell>
          <cell r="C940" t="str">
            <v>Aset Tidak Berwujud</v>
          </cell>
          <cell r="D940">
            <v>1088585000</v>
          </cell>
          <cell r="E940">
            <v>1088585000</v>
          </cell>
          <cell r="J940">
            <v>1088585000</v>
          </cell>
        </row>
        <row r="941">
          <cell r="B941" t="str">
            <v>1.5.03.01</v>
          </cell>
          <cell r="C941" t="str">
            <v>Aset Tidak Berwujud</v>
          </cell>
          <cell r="D941">
            <v>1088585000</v>
          </cell>
          <cell r="E941">
            <v>1088585000</v>
          </cell>
          <cell r="J941">
            <v>1088585000</v>
          </cell>
        </row>
        <row r="942">
          <cell r="B942" t="str">
            <v>1.5.03.01.01</v>
          </cell>
          <cell r="C942" t="str">
            <v>Aset Tidak Berwujud</v>
          </cell>
          <cell r="D942">
            <v>1088585000</v>
          </cell>
          <cell r="E942">
            <v>1088585000</v>
          </cell>
          <cell r="F942">
            <v>0</v>
          </cell>
          <cell r="G942">
            <v>0</v>
          </cell>
          <cell r="H942">
            <v>0</v>
          </cell>
          <cell r="I942">
            <v>0</v>
          </cell>
          <cell r="J942">
            <v>1088585000</v>
          </cell>
        </row>
        <row r="943">
          <cell r="B943" t="str">
            <v>1.5.03.02</v>
          </cell>
          <cell r="C943" t="str">
            <v>Aset Konsesi Jasa Aset Tidak Berwujud</v>
          </cell>
          <cell r="D943">
            <v>0</v>
          </cell>
          <cell r="E943">
            <v>0</v>
          </cell>
          <cell r="J943">
            <v>0</v>
          </cell>
        </row>
        <row r="944">
          <cell r="B944" t="str">
            <v>1.5.03.02.01</v>
          </cell>
          <cell r="C944" t="str">
            <v>Aset Konsesi Jasa Aset Tidak Berwujud yang Disediakan Pemberi Konsesi</v>
          </cell>
          <cell r="F944">
            <v>0</v>
          </cell>
          <cell r="G944">
            <v>0</v>
          </cell>
          <cell r="H944">
            <v>0</v>
          </cell>
          <cell r="I944">
            <v>0</v>
          </cell>
          <cell r="J944">
            <v>0</v>
          </cell>
        </row>
        <row r="945">
          <cell r="B945" t="str">
            <v>1.5.03.02.02</v>
          </cell>
          <cell r="C945" t="str">
            <v>Aset Konsesi Jasa Aset Tidak Berwujud yang Disediakan Mitra</v>
          </cell>
          <cell r="F945">
            <v>0</v>
          </cell>
          <cell r="G945">
            <v>0</v>
          </cell>
          <cell r="H945">
            <v>0</v>
          </cell>
          <cell r="I945">
            <v>0</v>
          </cell>
          <cell r="J945">
            <v>0</v>
          </cell>
        </row>
        <row r="947">
          <cell r="B947" t="str">
            <v>1.5.04</v>
          </cell>
          <cell r="C947" t="str">
            <v>Aset Lain-lain</v>
          </cell>
          <cell r="D947">
            <v>32115265906.490002</v>
          </cell>
          <cell r="E947">
            <v>26159188380</v>
          </cell>
          <cell r="J947">
            <v>26154188380</v>
          </cell>
        </row>
        <row r="948">
          <cell r="B948" t="str">
            <v>1.5.04.01</v>
          </cell>
          <cell r="C948" t="str">
            <v>Aset Lain-lain</v>
          </cell>
          <cell r="D948">
            <v>32115265906.490002</v>
          </cell>
          <cell r="E948">
            <v>26159188380</v>
          </cell>
          <cell r="J948">
            <v>26154188380</v>
          </cell>
        </row>
        <row r="949">
          <cell r="B949" t="str">
            <v>1.5.04.01.01</v>
          </cell>
          <cell r="C949" t="str">
            <v>Aset Lain-lain</v>
          </cell>
          <cell r="D949">
            <v>32115265906.490002</v>
          </cell>
          <cell r="E949">
            <v>26159188380</v>
          </cell>
          <cell r="F949">
            <v>0</v>
          </cell>
          <cell r="G949">
            <v>5000000</v>
          </cell>
          <cell r="H949">
            <v>0</v>
          </cell>
          <cell r="I949">
            <v>0</v>
          </cell>
          <cell r="J949">
            <v>26154188380</v>
          </cell>
        </row>
        <row r="951">
          <cell r="B951" t="str">
            <v>1.5.05</v>
          </cell>
          <cell r="C951" t="str">
            <v>Akumulasi Amortisasi Aset Tidak Berwujud</v>
          </cell>
          <cell r="D951">
            <v>-650419257.00999999</v>
          </cell>
          <cell r="E951">
            <v>-703953958.33000004</v>
          </cell>
          <cell r="J951">
            <v>-703953958.33000004</v>
          </cell>
        </row>
        <row r="952">
          <cell r="B952" t="str">
            <v>1.5.05.01</v>
          </cell>
          <cell r="C952" t="str">
            <v>Akumulasi Amortisasi Aset Tidak Berwujud</v>
          </cell>
          <cell r="D952">
            <v>-650419257.00999999</v>
          </cell>
          <cell r="E952">
            <v>-703953958.33000004</v>
          </cell>
          <cell r="J952">
            <v>-703953958.33000004</v>
          </cell>
        </row>
        <row r="953">
          <cell r="B953" t="str">
            <v>1.5.05.01.01</v>
          </cell>
          <cell r="C953" t="str">
            <v>Akumulasi Amortisasi Aset Tidak Berwujud</v>
          </cell>
          <cell r="D953">
            <v>-650419257.00999999</v>
          </cell>
          <cell r="E953">
            <v>-703953958.33000004</v>
          </cell>
          <cell r="F953">
            <v>0</v>
          </cell>
          <cell r="G953">
            <v>0</v>
          </cell>
          <cell r="H953">
            <v>0</v>
          </cell>
          <cell r="I953">
            <v>0</v>
          </cell>
          <cell r="J953">
            <v>-703953958.33000004</v>
          </cell>
        </row>
        <row r="955">
          <cell r="B955" t="str">
            <v>1.5.06</v>
          </cell>
          <cell r="C955" t="str">
            <v>Akumulasi Penyusutan Aset Lainnya</v>
          </cell>
          <cell r="D955">
            <v>0</v>
          </cell>
          <cell r="E955">
            <v>0</v>
          </cell>
          <cell r="J955">
            <v>0</v>
          </cell>
        </row>
        <row r="956">
          <cell r="B956" t="str">
            <v>1.5.06.01</v>
          </cell>
          <cell r="C956" t="str">
            <v>Akumulasi Penyusutan Aset Lainnya</v>
          </cell>
          <cell r="D956">
            <v>0</v>
          </cell>
          <cell r="E956">
            <v>0</v>
          </cell>
          <cell r="J956">
            <v>0</v>
          </cell>
        </row>
        <row r="957">
          <cell r="B957" t="str">
            <v>1.5.06.01.01</v>
          </cell>
          <cell r="C957" t="str">
            <v>Akumulasi Penyusutan Kemitraan dengan Pihak Ketiga</v>
          </cell>
          <cell r="F957">
            <v>0</v>
          </cell>
          <cell r="G957">
            <v>0</v>
          </cell>
          <cell r="H957">
            <v>0</v>
          </cell>
          <cell r="I957">
            <v>0</v>
          </cell>
          <cell r="J957">
            <v>0</v>
          </cell>
        </row>
        <row r="958">
          <cell r="B958" t="str">
            <v>1.5.06.01.02</v>
          </cell>
          <cell r="C958" t="str">
            <v>Akumulasi Penyusutan Aset Lain-Lain</v>
          </cell>
          <cell r="F958">
            <v>0</v>
          </cell>
          <cell r="G958">
            <v>0</v>
          </cell>
          <cell r="H958">
            <v>0</v>
          </cell>
          <cell r="I958">
            <v>0</v>
          </cell>
          <cell r="J958">
            <v>0</v>
          </cell>
        </row>
        <row r="960">
          <cell r="B960" t="str">
            <v>1.5.07</v>
          </cell>
          <cell r="C960" t="str">
            <v>Kas yang Dibatasi Penggunaannya</v>
          </cell>
          <cell r="D960">
            <v>0</v>
          </cell>
          <cell r="E960">
            <v>0</v>
          </cell>
          <cell r="J960">
            <v>0</v>
          </cell>
        </row>
        <row r="961">
          <cell r="B961" t="str">
            <v>1.5.07.01</v>
          </cell>
          <cell r="C961" t="str">
            <v>Uang Jaminan dan/atau Titipan Uang Muka</v>
          </cell>
          <cell r="D961">
            <v>0</v>
          </cell>
          <cell r="E961">
            <v>0</v>
          </cell>
          <cell r="J961">
            <v>0</v>
          </cell>
        </row>
        <row r="962">
          <cell r="B962" t="str">
            <v>1.5.07.01.01</v>
          </cell>
          <cell r="C962" t="str">
            <v>Uang Jaminan Pekerjaan</v>
          </cell>
          <cell r="F962">
            <v>0</v>
          </cell>
          <cell r="G962">
            <v>0</v>
          </cell>
          <cell r="H962">
            <v>0</v>
          </cell>
          <cell r="I962">
            <v>0</v>
          </cell>
          <cell r="J962">
            <v>0</v>
          </cell>
        </row>
        <row r="963">
          <cell r="B963" t="str">
            <v>1.5.07.01.02</v>
          </cell>
          <cell r="C963" t="str">
            <v>Uang Jaminan Pemeliharaan</v>
          </cell>
          <cell r="F963">
            <v>0</v>
          </cell>
          <cell r="G963">
            <v>0</v>
          </cell>
          <cell r="H963">
            <v>0</v>
          </cell>
          <cell r="I963">
            <v>0</v>
          </cell>
          <cell r="J963">
            <v>0</v>
          </cell>
        </row>
        <row r="964">
          <cell r="B964" t="str">
            <v>1.5.07.01.03</v>
          </cell>
          <cell r="C964" t="str">
            <v>Uang Jaminan Bongkar Reklame</v>
          </cell>
          <cell r="F964">
            <v>0</v>
          </cell>
          <cell r="G964">
            <v>0</v>
          </cell>
          <cell r="H964">
            <v>0</v>
          </cell>
          <cell r="I964">
            <v>0</v>
          </cell>
          <cell r="J964">
            <v>0</v>
          </cell>
        </row>
        <row r="965">
          <cell r="B965" t="str">
            <v>1.5.07.01.04</v>
          </cell>
          <cell r="C965" t="str">
            <v>Uang Penjaminan Pemulihan Fungsi Lingkungan Hidup</v>
          </cell>
          <cell r="F965">
            <v>0</v>
          </cell>
          <cell r="G965">
            <v>0</v>
          </cell>
          <cell r="H965">
            <v>0</v>
          </cell>
          <cell r="I965">
            <v>0</v>
          </cell>
          <cell r="J965">
            <v>0</v>
          </cell>
        </row>
        <row r="967">
          <cell r="B967" t="str">
            <v>1.5.08</v>
          </cell>
          <cell r="C967" t="str">
            <v>Dana Transfer Treasury Deposit Facility (TDF)</v>
          </cell>
          <cell r="D967">
            <v>501010000</v>
          </cell>
          <cell r="E967">
            <v>0</v>
          </cell>
          <cell r="J967">
            <v>0</v>
          </cell>
        </row>
        <row r="968">
          <cell r="B968" t="str">
            <v>1.5.08.01</v>
          </cell>
          <cell r="C968" t="str">
            <v>Dana Transfer Treasury Deposit Facility (TDF)</v>
          </cell>
          <cell r="D968">
            <v>501010000</v>
          </cell>
          <cell r="E968">
            <v>0</v>
          </cell>
          <cell r="J968">
            <v>0</v>
          </cell>
        </row>
        <row r="969">
          <cell r="B969" t="str">
            <v>1.5.08.01.01</v>
          </cell>
          <cell r="C969" t="str">
            <v>Dana Bagi Hasil Treasury Deposit Facility (TDF)</v>
          </cell>
          <cell r="F969">
            <v>0</v>
          </cell>
          <cell r="G969">
            <v>0</v>
          </cell>
          <cell r="H969">
            <v>0</v>
          </cell>
          <cell r="I969">
            <v>0</v>
          </cell>
          <cell r="J969">
            <v>0</v>
          </cell>
        </row>
        <row r="970">
          <cell r="B970" t="str">
            <v>1.5.08.01.02</v>
          </cell>
          <cell r="C970" t="str">
            <v>Dana Alokasi Umum Treasury Deposit Facility (TDF)</v>
          </cell>
          <cell r="D970">
            <v>501010000</v>
          </cell>
          <cell r="F970">
            <v>0</v>
          </cell>
          <cell r="G970">
            <v>0</v>
          </cell>
          <cell r="H970">
            <v>0</v>
          </cell>
          <cell r="I970">
            <v>0</v>
          </cell>
          <cell r="J970">
            <v>0</v>
          </cell>
        </row>
        <row r="972">
          <cell r="B972" t="str">
            <v>1.6</v>
          </cell>
          <cell r="C972" t="str">
            <v>PROPERTI INVESTASI</v>
          </cell>
          <cell r="D972">
            <v>81303020076.269989</v>
          </cell>
          <cell r="E972">
            <v>80165567282.269989</v>
          </cell>
          <cell r="J972">
            <v>80165567282.269989</v>
          </cell>
        </row>
        <row r="973">
          <cell r="B973" t="str">
            <v>1.6.01</v>
          </cell>
          <cell r="C973" t="str">
            <v>Properti Investasi Tanah</v>
          </cell>
          <cell r="D973">
            <v>35629954629.5</v>
          </cell>
          <cell r="E973">
            <v>35629954629.5</v>
          </cell>
          <cell r="J973">
            <v>35629954629.5</v>
          </cell>
        </row>
        <row r="974">
          <cell r="B974" t="str">
            <v>1.6.01.01</v>
          </cell>
          <cell r="C974" t="str">
            <v>Properti Investasi Tanah</v>
          </cell>
          <cell r="D974">
            <v>35629954629.5</v>
          </cell>
          <cell r="E974">
            <v>35629954629.5</v>
          </cell>
          <cell r="J974">
            <v>35629954629.5</v>
          </cell>
        </row>
        <row r="975">
          <cell r="B975" t="str">
            <v>1.6.01.01.01</v>
          </cell>
          <cell r="C975" t="str">
            <v>Properti Investasi Tanah</v>
          </cell>
          <cell r="D975">
            <v>35629954629.5</v>
          </cell>
          <cell r="E975">
            <v>35629954629.5</v>
          </cell>
          <cell r="F975">
            <v>0</v>
          </cell>
          <cell r="G975">
            <v>0</v>
          </cell>
          <cell r="H975">
            <v>0</v>
          </cell>
          <cell r="I975">
            <v>0</v>
          </cell>
          <cell r="J975">
            <v>35629954629.5</v>
          </cell>
        </row>
        <row r="977">
          <cell r="B977" t="str">
            <v>1.6.02</v>
          </cell>
          <cell r="C977" t="str">
            <v>Properti Investasi Gedung dan Bangunan</v>
          </cell>
          <cell r="D977">
            <v>57056158629.769997</v>
          </cell>
          <cell r="E977">
            <v>57056158629.769997</v>
          </cell>
          <cell r="J977">
            <v>57056158629.769997</v>
          </cell>
        </row>
        <row r="978">
          <cell r="B978" t="str">
            <v>1.6.02.01</v>
          </cell>
          <cell r="C978" t="str">
            <v>Properti Investasi Gedung dan Bangunan</v>
          </cell>
          <cell r="D978">
            <v>57056158629.769997</v>
          </cell>
          <cell r="E978">
            <v>57056158629.769997</v>
          </cell>
          <cell r="J978">
            <v>57056158629.769997</v>
          </cell>
        </row>
        <row r="979">
          <cell r="B979" t="str">
            <v>1.6.02.01.01</v>
          </cell>
          <cell r="C979" t="str">
            <v>Properti Investasi Bangunan Gedung</v>
          </cell>
          <cell r="D979">
            <v>57056158629.769997</v>
          </cell>
          <cell r="E979">
            <v>57056158629.769997</v>
          </cell>
          <cell r="F979">
            <v>0</v>
          </cell>
          <cell r="G979">
            <v>0</v>
          </cell>
          <cell r="H979">
            <v>0</v>
          </cell>
          <cell r="I979">
            <v>0</v>
          </cell>
          <cell r="J979">
            <v>57056158629.769997</v>
          </cell>
        </row>
        <row r="980">
          <cell r="B980" t="str">
            <v>1.6.02.01.02</v>
          </cell>
          <cell r="C980" t="str">
            <v>Properti Investasi Monumen</v>
          </cell>
          <cell r="F980">
            <v>0</v>
          </cell>
          <cell r="G980">
            <v>0</v>
          </cell>
          <cell r="H980">
            <v>0</v>
          </cell>
          <cell r="I980">
            <v>0</v>
          </cell>
          <cell r="J980">
            <v>0</v>
          </cell>
        </row>
        <row r="981">
          <cell r="B981" t="str">
            <v>1.6.02.01.03</v>
          </cell>
          <cell r="C981" t="str">
            <v>Properti Investasi Bangunan Menara</v>
          </cell>
          <cell r="F981">
            <v>0</v>
          </cell>
          <cell r="G981">
            <v>0</v>
          </cell>
          <cell r="H981">
            <v>0</v>
          </cell>
          <cell r="I981">
            <v>0</v>
          </cell>
          <cell r="J981">
            <v>0</v>
          </cell>
        </row>
        <row r="982">
          <cell r="B982" t="str">
            <v>1.6.02.01.04</v>
          </cell>
          <cell r="C982" t="str">
            <v>Properti Investasi Tugu Titik Kontrol/Pasti</v>
          </cell>
          <cell r="F982">
            <v>0</v>
          </cell>
          <cell r="G982">
            <v>0</v>
          </cell>
          <cell r="H982">
            <v>0</v>
          </cell>
          <cell r="I982">
            <v>0</v>
          </cell>
          <cell r="J982">
            <v>0</v>
          </cell>
        </row>
        <row r="984">
          <cell r="B984" t="str">
            <v>1.6.03</v>
          </cell>
          <cell r="C984" t="str">
            <v>Konstruksi Dalam Pengerjaan Properti Investasi</v>
          </cell>
          <cell r="D984">
            <v>0</v>
          </cell>
          <cell r="E984">
            <v>0</v>
          </cell>
          <cell r="J984">
            <v>0</v>
          </cell>
        </row>
        <row r="985">
          <cell r="B985" t="str">
            <v>1.6.03.01</v>
          </cell>
          <cell r="C985" t="str">
            <v>Konstruksi Dalam Pengerjaan Properti Investasi Gedung dan Bangunan</v>
          </cell>
          <cell r="D985">
            <v>0</v>
          </cell>
          <cell r="E985">
            <v>0</v>
          </cell>
          <cell r="J985">
            <v>0</v>
          </cell>
        </row>
        <row r="986">
          <cell r="B986" t="str">
            <v>1.6.03.01.01</v>
          </cell>
          <cell r="C986" t="str">
            <v>Konstruksi Dalam Pengerjaan Properti Investasi Gedung dan Bangunan</v>
          </cell>
          <cell r="F986">
            <v>0</v>
          </cell>
          <cell r="G986">
            <v>0</v>
          </cell>
          <cell r="H986">
            <v>0</v>
          </cell>
          <cell r="I986">
            <v>0</v>
          </cell>
          <cell r="J986">
            <v>0</v>
          </cell>
        </row>
        <row r="988">
          <cell r="B988" t="str">
            <v>1.6.04</v>
          </cell>
          <cell r="C988" t="str">
            <v>Akumulasi Penyusutan Properti Investasi</v>
          </cell>
          <cell r="D988">
            <v>-11383093183</v>
          </cell>
          <cell r="E988">
            <v>-12520545977</v>
          </cell>
          <cell r="J988">
            <v>-12520545977</v>
          </cell>
        </row>
        <row r="989">
          <cell r="B989" t="str">
            <v>1.6.04.01</v>
          </cell>
          <cell r="C989" t="str">
            <v>Akumulasi Penyusutan Properti Investasi Gedung dan Bangunan</v>
          </cell>
          <cell r="D989">
            <v>-11383093183</v>
          </cell>
          <cell r="E989">
            <v>-12520545977</v>
          </cell>
          <cell r="J989">
            <v>-12520545977</v>
          </cell>
        </row>
        <row r="990">
          <cell r="B990" t="str">
            <v>1.6.04.01.01</v>
          </cell>
          <cell r="C990" t="str">
            <v>Akumulasi Penyusutan Properti Investasi Bangunan Gedung</v>
          </cell>
          <cell r="D990">
            <v>-11383093183</v>
          </cell>
          <cell r="E990">
            <v>-12520545977</v>
          </cell>
          <cell r="F990">
            <v>0</v>
          </cell>
          <cell r="G990">
            <v>0</v>
          </cell>
          <cell r="H990">
            <v>0</v>
          </cell>
          <cell r="I990">
            <v>0</v>
          </cell>
          <cell r="J990">
            <v>-12520545977</v>
          </cell>
        </row>
        <row r="991">
          <cell r="B991" t="str">
            <v>1.6.04.01.02</v>
          </cell>
          <cell r="C991" t="str">
            <v>Akumulasi Penyusutan Properti Investasi Monumen</v>
          </cell>
          <cell r="F991">
            <v>0</v>
          </cell>
          <cell r="G991">
            <v>0</v>
          </cell>
          <cell r="H991">
            <v>0</v>
          </cell>
          <cell r="I991">
            <v>0</v>
          </cell>
          <cell r="J991">
            <v>0</v>
          </cell>
        </row>
        <row r="992">
          <cell r="B992" t="str">
            <v>1.6.04.01.03</v>
          </cell>
          <cell r="C992" t="str">
            <v>Akumulasi Penyusutan Properti Investasi Bangunan Menara</v>
          </cell>
          <cell r="F992">
            <v>0</v>
          </cell>
          <cell r="G992">
            <v>0</v>
          </cell>
          <cell r="H992">
            <v>0</v>
          </cell>
          <cell r="I992">
            <v>0</v>
          </cell>
          <cell r="J992">
            <v>0</v>
          </cell>
        </row>
        <row r="993">
          <cell r="B993" t="str">
            <v>1.6.04.01.04</v>
          </cell>
          <cell r="C993" t="str">
            <v>Akumulasi Penyusutan Properti Investasi Tugu Titik Kontrol/Pasti</v>
          </cell>
          <cell r="F993">
            <v>0</v>
          </cell>
          <cell r="G993">
            <v>0</v>
          </cell>
          <cell r="H993">
            <v>0</v>
          </cell>
          <cell r="I993">
            <v>0</v>
          </cell>
          <cell r="J993">
            <v>0</v>
          </cell>
        </row>
        <row r="994">
          <cell r="B994" t="str">
            <v>NERACA</v>
          </cell>
          <cell r="C994" t="str">
            <v>JUMLAH ASET</v>
          </cell>
          <cell r="D994" t="str">
            <v>2.987.207.439.181,28</v>
          </cell>
          <cell r="E994" t="str">
            <v>3.056.297.411.995,59</v>
          </cell>
          <cell r="J994" t="str">
            <v>3.031.483.875.759,72</v>
          </cell>
        </row>
        <row r="996">
          <cell r="B996" t="str">
            <v>2</v>
          </cell>
          <cell r="C996" t="str">
            <v>KEWAJIBAN</v>
          </cell>
          <cell r="D996">
            <v>31132811732.343998</v>
          </cell>
          <cell r="E996">
            <v>95610830953.059021</v>
          </cell>
          <cell r="J996">
            <v>29849586502.059029</v>
          </cell>
        </row>
        <row r="997">
          <cell r="B997" t="str">
            <v>2.1</v>
          </cell>
          <cell r="C997" t="str">
            <v>KEWAJIBAN JANGKA PENDEK</v>
          </cell>
          <cell r="D997">
            <v>31132811732.343998</v>
          </cell>
          <cell r="E997">
            <v>95610830953.059021</v>
          </cell>
          <cell r="J997">
            <v>29849586502.059029</v>
          </cell>
        </row>
        <row r="998">
          <cell r="B998" t="str">
            <v>2.1.01</v>
          </cell>
          <cell r="C998" t="str">
            <v>Utang Perhitungan Pihak Ketiga (PFK)</v>
          </cell>
          <cell r="D998">
            <v>295360940.40999997</v>
          </cell>
          <cell r="E998">
            <v>65949553764.392029</v>
          </cell>
          <cell r="J998">
            <v>188309313.3920269</v>
          </cell>
        </row>
        <row r="999">
          <cell r="B999" t="str">
            <v>2.1.01.01</v>
          </cell>
          <cell r="C999" t="str">
            <v>Utang Taspen</v>
          </cell>
          <cell r="D999">
            <v>0</v>
          </cell>
          <cell r="E999">
            <v>0</v>
          </cell>
          <cell r="J999">
            <v>0</v>
          </cell>
        </row>
        <row r="1000">
          <cell r="B1000" t="str">
            <v>2.1.01.01.01</v>
          </cell>
          <cell r="C1000" t="str">
            <v>Utang Taspen</v>
          </cell>
          <cell r="F1000">
            <v>0</v>
          </cell>
          <cell r="G1000">
            <v>0</v>
          </cell>
          <cell r="H1000">
            <v>0</v>
          </cell>
          <cell r="I1000">
            <v>0</v>
          </cell>
          <cell r="J1000">
            <v>0</v>
          </cell>
        </row>
        <row r="1001">
          <cell r="B1001" t="str">
            <v>2.1.01.02</v>
          </cell>
          <cell r="C1001" t="str">
            <v>Utang Iuran Jaminan Kesehatan</v>
          </cell>
          <cell r="D1001">
            <v>1824132</v>
          </cell>
          <cell r="E1001">
            <v>26271747.38999939</v>
          </cell>
          <cell r="J1001">
            <v>26271747.38999939</v>
          </cell>
        </row>
        <row r="1002">
          <cell r="B1002" t="str">
            <v>2.1.01.02.01</v>
          </cell>
          <cell r="C1002" t="str">
            <v>Utang Iuran Jaminan Kesehatan</v>
          </cell>
          <cell r="D1002">
            <v>1824132</v>
          </cell>
          <cell r="E1002">
            <v>26271747.38999939</v>
          </cell>
          <cell r="F1002">
            <v>0</v>
          </cell>
          <cell r="G1002">
            <v>0</v>
          </cell>
          <cell r="H1002">
            <v>0</v>
          </cell>
          <cell r="I1002">
            <v>0</v>
          </cell>
          <cell r="J1002">
            <v>26271747.38999939</v>
          </cell>
        </row>
        <row r="1003">
          <cell r="B1003" t="str">
            <v>2.1.01.03</v>
          </cell>
          <cell r="C1003" t="str">
            <v>Utang Iuran Jaminan Kecelakaan Kerja</v>
          </cell>
          <cell r="D1003">
            <v>0</v>
          </cell>
          <cell r="E1003">
            <v>0</v>
          </cell>
          <cell r="J1003">
            <v>0</v>
          </cell>
        </row>
        <row r="1004">
          <cell r="B1004" t="str">
            <v>2.1.01.03.01</v>
          </cell>
          <cell r="C1004" t="str">
            <v>Utang Iuran Jaminan Kecelakaan Kerja</v>
          </cell>
          <cell r="F1004">
            <v>0</v>
          </cell>
          <cell r="G1004">
            <v>0</v>
          </cell>
          <cell r="H1004">
            <v>0</v>
          </cell>
          <cell r="I1004">
            <v>0</v>
          </cell>
          <cell r="J1004">
            <v>0</v>
          </cell>
        </row>
        <row r="1005">
          <cell r="B1005" t="str">
            <v>2.1.01.04</v>
          </cell>
          <cell r="C1005" t="str">
            <v>Utang Iuran Jaminan Kematian</v>
          </cell>
          <cell r="D1005">
            <v>0</v>
          </cell>
          <cell r="E1005">
            <v>0</v>
          </cell>
          <cell r="J1005">
            <v>0</v>
          </cell>
        </row>
        <row r="1006">
          <cell r="B1006" t="str">
            <v>2.1.01.04.01</v>
          </cell>
          <cell r="C1006" t="str">
            <v>Utang Iuran Jaminan Kematian</v>
          </cell>
          <cell r="F1006">
            <v>0</v>
          </cell>
          <cell r="G1006">
            <v>0</v>
          </cell>
          <cell r="H1006">
            <v>0</v>
          </cell>
          <cell r="I1006">
            <v>0</v>
          </cell>
          <cell r="J1006">
            <v>0</v>
          </cell>
        </row>
        <row r="1007">
          <cell r="B1007" t="str">
            <v>2.1.01.05</v>
          </cell>
          <cell r="C1007" t="str">
            <v>Utang PPh Pusat</v>
          </cell>
          <cell r="D1007">
            <v>41310071</v>
          </cell>
          <cell r="E1007">
            <v>65704966987</v>
          </cell>
          <cell r="J1007">
            <v>19126178</v>
          </cell>
        </row>
        <row r="1008">
          <cell r="B1008" t="str">
            <v>2.1.01.05.01</v>
          </cell>
          <cell r="C1008" t="str">
            <v>Utang PPh 21</v>
          </cell>
          <cell r="D1008">
            <v>31106665</v>
          </cell>
          <cell r="E1008">
            <v>65702014857</v>
          </cell>
          <cell r="F1008">
            <v>65700218454</v>
          </cell>
          <cell r="G1008">
            <v>1822550</v>
          </cell>
          <cell r="H1008">
            <v>0</v>
          </cell>
          <cell r="I1008">
            <v>0</v>
          </cell>
          <cell r="J1008">
            <v>3618953</v>
          </cell>
        </row>
        <row r="1009">
          <cell r="B1009" t="str">
            <v>2.1.01.05.02</v>
          </cell>
          <cell r="C1009" t="str">
            <v>Utang PPh 22</v>
          </cell>
          <cell r="D1009">
            <v>3081984</v>
          </cell>
          <cell r="E1009">
            <v>2862040</v>
          </cell>
          <cell r="F1009">
            <v>0</v>
          </cell>
          <cell r="G1009">
            <v>29730</v>
          </cell>
          <cell r="H1009">
            <v>0</v>
          </cell>
          <cell r="I1009">
            <v>0</v>
          </cell>
          <cell r="J1009">
            <v>2891770</v>
          </cell>
        </row>
        <row r="1010">
          <cell r="B1010" t="str">
            <v>2.1.01.05.03</v>
          </cell>
          <cell r="C1010" t="str">
            <v>Utang PPh 23</v>
          </cell>
          <cell r="D1010">
            <v>3211511</v>
          </cell>
          <cell r="E1010">
            <v>90090</v>
          </cell>
          <cell r="F1010">
            <v>0</v>
          </cell>
          <cell r="G1010">
            <v>12525365</v>
          </cell>
          <cell r="H1010">
            <v>0</v>
          </cell>
          <cell r="I1010">
            <v>0</v>
          </cell>
          <cell r="J1010">
            <v>12615455</v>
          </cell>
        </row>
        <row r="1011">
          <cell r="B1011" t="str">
            <v>2.1.01.05.04</v>
          </cell>
          <cell r="C1011" t="str">
            <v>Utang PPh 25</v>
          </cell>
          <cell r="D1011">
            <v>0</v>
          </cell>
          <cell r="E1011">
            <v>0</v>
          </cell>
          <cell r="F1011">
            <v>0</v>
          </cell>
          <cell r="G1011">
            <v>0</v>
          </cell>
          <cell r="H1011">
            <v>0</v>
          </cell>
          <cell r="I1011">
            <v>0</v>
          </cell>
          <cell r="J1011">
            <v>0</v>
          </cell>
        </row>
        <row r="1012">
          <cell r="B1012" t="str">
            <v>2.1.01.05.05</v>
          </cell>
          <cell r="C1012" t="str">
            <v>Utang PPh Pasal 4 ayat (2)</v>
          </cell>
          <cell r="D1012">
            <v>3909911</v>
          </cell>
          <cell r="E1012">
            <v>0</v>
          </cell>
          <cell r="F1012">
            <v>0</v>
          </cell>
          <cell r="G1012">
            <v>0</v>
          </cell>
          <cell r="H1012">
            <v>0</v>
          </cell>
          <cell r="I1012">
            <v>0</v>
          </cell>
          <cell r="J1012">
            <v>0</v>
          </cell>
        </row>
        <row r="1013">
          <cell r="B1013" t="str">
            <v>2.1.01.05.06</v>
          </cell>
          <cell r="C1013" t="str">
            <v>Utang PPh Pasal 15</v>
          </cell>
          <cell r="F1013">
            <v>0</v>
          </cell>
          <cell r="G1013">
            <v>0</v>
          </cell>
          <cell r="H1013">
            <v>0</v>
          </cell>
          <cell r="I1013">
            <v>0</v>
          </cell>
          <cell r="J1013">
            <v>0</v>
          </cell>
        </row>
        <row r="1014">
          <cell r="B1014" t="str">
            <v>2.1.01.05.07</v>
          </cell>
          <cell r="C1014" t="str">
            <v>Utang PPh Pasal 26</v>
          </cell>
          <cell r="F1014">
            <v>0</v>
          </cell>
          <cell r="G1014">
            <v>0</v>
          </cell>
          <cell r="H1014">
            <v>0</v>
          </cell>
          <cell r="I1014">
            <v>0</v>
          </cell>
          <cell r="J1014">
            <v>0</v>
          </cell>
        </row>
        <row r="1015">
          <cell r="B1015" t="str">
            <v>2.1.01.06</v>
          </cell>
          <cell r="C1015" t="str">
            <v>Utang PPN Pusat</v>
          </cell>
          <cell r="D1015">
            <v>251617710.41</v>
          </cell>
          <cell r="E1015">
            <v>216828836</v>
          </cell>
          <cell r="J1015">
            <v>141425194</v>
          </cell>
        </row>
        <row r="1016">
          <cell r="B1016" t="str">
            <v>2.1.01.06.01</v>
          </cell>
          <cell r="C1016" t="str">
            <v>Utang PPN Pusat</v>
          </cell>
          <cell r="D1016">
            <v>251617710.41</v>
          </cell>
          <cell r="E1016">
            <v>216828836</v>
          </cell>
          <cell r="F1016">
            <v>210078213</v>
          </cell>
          <cell r="G1016">
            <v>134674571</v>
          </cell>
          <cell r="H1016">
            <v>0</v>
          </cell>
          <cell r="I1016">
            <v>0</v>
          </cell>
          <cell r="J1016">
            <v>141425194</v>
          </cell>
        </row>
        <row r="1017">
          <cell r="B1017" t="str">
            <v>2.1.01.07</v>
          </cell>
          <cell r="C1017" t="str">
            <v>Utang Taperum</v>
          </cell>
          <cell r="D1017">
            <v>0</v>
          </cell>
          <cell r="E1017">
            <v>0</v>
          </cell>
          <cell r="J1017">
            <v>0</v>
          </cell>
        </row>
        <row r="1018">
          <cell r="B1018" t="str">
            <v>2.1.01.07.01</v>
          </cell>
          <cell r="C1018" t="str">
            <v>Utang Taperum</v>
          </cell>
          <cell r="F1018">
            <v>0</v>
          </cell>
          <cell r="G1018">
            <v>0</v>
          </cell>
          <cell r="H1018">
            <v>0</v>
          </cell>
          <cell r="I1018">
            <v>0</v>
          </cell>
          <cell r="J1018">
            <v>0</v>
          </cell>
        </row>
        <row r="1019">
          <cell r="B1019" t="str">
            <v>2.1.01.08</v>
          </cell>
          <cell r="C1019" t="str">
            <v>Utang Iuran Wajib Pegawai</v>
          </cell>
          <cell r="D1019">
            <v>609027</v>
          </cell>
          <cell r="E1019">
            <v>1486194.0020275116</v>
          </cell>
          <cell r="J1019">
            <v>1486194.0020275116</v>
          </cell>
        </row>
        <row r="1020">
          <cell r="B1020" t="str">
            <v>2.1.01.08.01</v>
          </cell>
          <cell r="C1020" t="str">
            <v>Utang Iuran Wajib Pegawai</v>
          </cell>
          <cell r="D1020">
            <v>609027</v>
          </cell>
          <cell r="E1020">
            <v>1486194.0020275116</v>
          </cell>
          <cell r="F1020">
            <v>0</v>
          </cell>
          <cell r="G1020">
            <v>0</v>
          </cell>
          <cell r="H1020">
            <v>0</v>
          </cell>
          <cell r="I1020">
            <v>0</v>
          </cell>
          <cell r="J1020">
            <v>1486194.0020275116</v>
          </cell>
        </row>
        <row r="1022">
          <cell r="B1022" t="str">
            <v>2.1.02</v>
          </cell>
          <cell r="C1022" t="str">
            <v>Utang Bunga</v>
          </cell>
          <cell r="D1022">
            <v>0</v>
          </cell>
          <cell r="E1022">
            <v>0</v>
          </cell>
          <cell r="J1022">
            <v>0</v>
          </cell>
        </row>
        <row r="1023">
          <cell r="B1023" t="str">
            <v>2.1.02.01</v>
          </cell>
          <cell r="C1023" t="str">
            <v>Utang Bunga kepada Pemerintah Pusat</v>
          </cell>
          <cell r="D1023">
            <v>0</v>
          </cell>
          <cell r="E1023">
            <v>0</v>
          </cell>
          <cell r="J1023">
            <v>0</v>
          </cell>
        </row>
        <row r="1024">
          <cell r="B1024" t="str">
            <v>2.1.02.01.01</v>
          </cell>
          <cell r="C1024" t="str">
            <v>Utang Bunga Penerusan Pinjaman Dalam Negeri-Jangka Menengah</v>
          </cell>
          <cell r="F1024">
            <v>0</v>
          </cell>
          <cell r="G1024">
            <v>0</v>
          </cell>
          <cell r="H1024">
            <v>0</v>
          </cell>
          <cell r="I1024">
            <v>0</v>
          </cell>
          <cell r="J1024">
            <v>0</v>
          </cell>
        </row>
        <row r="1025">
          <cell r="B1025" t="str">
            <v>2.1.02.01.02</v>
          </cell>
          <cell r="C1025" t="str">
            <v>Utang Bunga Penerusan Pinjaman Dalam Negeri-Jangka Panjang</v>
          </cell>
          <cell r="F1025">
            <v>0</v>
          </cell>
          <cell r="G1025">
            <v>0</v>
          </cell>
          <cell r="H1025">
            <v>0</v>
          </cell>
          <cell r="I1025">
            <v>0</v>
          </cell>
          <cell r="J1025">
            <v>0</v>
          </cell>
        </row>
        <row r="1026">
          <cell r="B1026" t="str">
            <v>2.1.02.01.03</v>
          </cell>
          <cell r="C1026" t="str">
            <v>Utang Bunga Penerusan Pinjaman Luar Negeri Negeri-Jangka Menengah</v>
          </cell>
          <cell r="F1026">
            <v>0</v>
          </cell>
          <cell r="G1026">
            <v>0</v>
          </cell>
          <cell r="H1026">
            <v>0</v>
          </cell>
          <cell r="I1026">
            <v>0</v>
          </cell>
          <cell r="J1026">
            <v>0</v>
          </cell>
        </row>
        <row r="1027">
          <cell r="B1027" t="str">
            <v>2.1.02.01.04</v>
          </cell>
          <cell r="C1027" t="str">
            <v>Utang Bunga Penerusan Pinjaman Luar Negeri Negeri-Jangka Panjang</v>
          </cell>
          <cell r="F1027">
            <v>0</v>
          </cell>
          <cell r="G1027">
            <v>0</v>
          </cell>
          <cell r="H1027">
            <v>0</v>
          </cell>
          <cell r="I1027">
            <v>0</v>
          </cell>
          <cell r="J1027">
            <v>0</v>
          </cell>
        </row>
        <row r="1028">
          <cell r="B1028" t="str">
            <v>2.1.02.01.05</v>
          </cell>
          <cell r="C1028" t="str">
            <v>Utang Bunga Sumber Lainnya sesuai Ketentuan Peraturan Perundang-Undangan-Jangka Menengah</v>
          </cell>
          <cell r="F1028">
            <v>0</v>
          </cell>
          <cell r="G1028">
            <v>0</v>
          </cell>
          <cell r="H1028">
            <v>0</v>
          </cell>
          <cell r="I1028">
            <v>0</v>
          </cell>
          <cell r="J1028">
            <v>0</v>
          </cell>
        </row>
        <row r="1029">
          <cell r="B1029" t="str">
            <v>2.1.02.01.06</v>
          </cell>
          <cell r="C1029" t="str">
            <v>Utang Bunga Sumber Lainnya sesuai Ketentuan Peraturan Perundang-Undangan-Jangka Panjang</v>
          </cell>
          <cell r="F1029">
            <v>0</v>
          </cell>
          <cell r="G1029">
            <v>0</v>
          </cell>
          <cell r="H1029">
            <v>0</v>
          </cell>
          <cell r="I1029">
            <v>0</v>
          </cell>
          <cell r="J1029">
            <v>0</v>
          </cell>
        </row>
        <row r="1030">
          <cell r="B1030" t="str">
            <v>2.1.02.02</v>
          </cell>
          <cell r="C1030" t="str">
            <v>Utang Bunga kepada Pemerintah Daerah Lain</v>
          </cell>
          <cell r="D1030">
            <v>0</v>
          </cell>
          <cell r="E1030">
            <v>0</v>
          </cell>
          <cell r="J1030">
            <v>0</v>
          </cell>
        </row>
        <row r="1031">
          <cell r="B1031" t="str">
            <v>2.1.02.02.01</v>
          </cell>
          <cell r="C1031" t="str">
            <v>Utang Bunga kepada Pemerintah Daerah Lain-Jangka Pendek</v>
          </cell>
          <cell r="F1031">
            <v>0</v>
          </cell>
          <cell r="G1031">
            <v>0</v>
          </cell>
          <cell r="H1031">
            <v>0</v>
          </cell>
          <cell r="I1031">
            <v>0</v>
          </cell>
          <cell r="J1031">
            <v>0</v>
          </cell>
        </row>
        <row r="1032">
          <cell r="B1032" t="str">
            <v>2.1.02.03</v>
          </cell>
          <cell r="C1032" t="str">
            <v>Utang Bunga kepada Lembaga Keuangan Bank (LKB)</v>
          </cell>
          <cell r="D1032">
            <v>0</v>
          </cell>
          <cell r="E1032">
            <v>0</v>
          </cell>
          <cell r="J1032">
            <v>0</v>
          </cell>
        </row>
        <row r="1033">
          <cell r="B1033" t="str">
            <v>2.1.02.03.01</v>
          </cell>
          <cell r="C1033" t="str">
            <v>Utang Bunga kepada Lembaga Keuangan Bank (LKB)-BUMN-Jangka Pendek</v>
          </cell>
          <cell r="F1033">
            <v>0</v>
          </cell>
          <cell r="G1033">
            <v>0</v>
          </cell>
          <cell r="H1033">
            <v>0</v>
          </cell>
          <cell r="I1033">
            <v>0</v>
          </cell>
          <cell r="J1033">
            <v>0</v>
          </cell>
        </row>
        <row r="1034">
          <cell r="B1034" t="str">
            <v>2.1.02.03.02</v>
          </cell>
          <cell r="C1034" t="str">
            <v>Utang Bunga kepada Lembaga Keuangan Bank (LKB)-BUMN-Jangka Menengah</v>
          </cell>
          <cell r="F1034">
            <v>0</v>
          </cell>
          <cell r="G1034">
            <v>0</v>
          </cell>
          <cell r="H1034">
            <v>0</v>
          </cell>
          <cell r="I1034">
            <v>0</v>
          </cell>
          <cell r="J1034">
            <v>0</v>
          </cell>
        </row>
        <row r="1035">
          <cell r="B1035" t="str">
            <v>2.1.02.03.03</v>
          </cell>
          <cell r="C1035" t="str">
            <v>Utang Bunga kepada Lembaga Keuangan Bank (LKB)-BUMN-Jangka Panjang</v>
          </cell>
          <cell r="F1035">
            <v>0</v>
          </cell>
          <cell r="G1035">
            <v>0</v>
          </cell>
          <cell r="H1035">
            <v>0</v>
          </cell>
          <cell r="I1035">
            <v>0</v>
          </cell>
          <cell r="J1035">
            <v>0</v>
          </cell>
        </row>
        <row r="1036">
          <cell r="B1036" t="str">
            <v>2.1.02.03.04</v>
          </cell>
          <cell r="C1036" t="str">
            <v>Utang Bunga kepada Lembaga Keuangan Bank (LKB)-BUMD-Jangka Pendek</v>
          </cell>
          <cell r="F1036">
            <v>0</v>
          </cell>
          <cell r="G1036">
            <v>0</v>
          </cell>
          <cell r="H1036">
            <v>0</v>
          </cell>
          <cell r="I1036">
            <v>0</v>
          </cell>
          <cell r="J1036">
            <v>0</v>
          </cell>
        </row>
        <row r="1037">
          <cell r="B1037" t="str">
            <v>2.1.02.03.05</v>
          </cell>
          <cell r="C1037" t="str">
            <v>Utang Bunga kepada Lembaga Keuangan Bank (LKB)-BUMD-Jangka Menengah</v>
          </cell>
          <cell r="F1037">
            <v>0</v>
          </cell>
          <cell r="G1037">
            <v>0</v>
          </cell>
          <cell r="H1037">
            <v>0</v>
          </cell>
          <cell r="I1037">
            <v>0</v>
          </cell>
          <cell r="J1037">
            <v>0</v>
          </cell>
        </row>
        <row r="1038">
          <cell r="B1038" t="str">
            <v>2.1.02.03.06</v>
          </cell>
          <cell r="C1038" t="str">
            <v>Utang Bunga kepada Lembaga Keuangan Bank (LKB)-BUMD-Jangka Panjang</v>
          </cell>
          <cell r="F1038">
            <v>0</v>
          </cell>
          <cell r="G1038">
            <v>0</v>
          </cell>
          <cell r="H1038">
            <v>0</v>
          </cell>
          <cell r="I1038">
            <v>0</v>
          </cell>
          <cell r="J1038">
            <v>0</v>
          </cell>
        </row>
        <row r="1039">
          <cell r="B1039" t="str">
            <v>2.1.02.03.07</v>
          </cell>
          <cell r="C1039" t="str">
            <v>Utang Bunga kepada Lembaga Keuangan Bank-Swasta-Jangka Pendek</v>
          </cell>
          <cell r="F1039">
            <v>0</v>
          </cell>
          <cell r="G1039">
            <v>0</v>
          </cell>
          <cell r="H1039">
            <v>0</v>
          </cell>
          <cell r="I1039">
            <v>0</v>
          </cell>
          <cell r="J1039">
            <v>0</v>
          </cell>
        </row>
        <row r="1040">
          <cell r="B1040" t="str">
            <v>2.1.02.03.08</v>
          </cell>
          <cell r="C1040" t="str">
            <v>Utang Bunga kepada Lembaga Keuangan Bank-Swasta-Jangka Menengah</v>
          </cell>
          <cell r="F1040">
            <v>0</v>
          </cell>
          <cell r="G1040">
            <v>0</v>
          </cell>
          <cell r="H1040">
            <v>0</v>
          </cell>
          <cell r="I1040">
            <v>0</v>
          </cell>
          <cell r="J1040">
            <v>0</v>
          </cell>
        </row>
        <row r="1041">
          <cell r="B1041" t="str">
            <v>2.1.02.03.09</v>
          </cell>
          <cell r="C1041" t="str">
            <v>Utang Bunga kepada Lembaga Keuangan Bank (LKB)-Swasta-Jangka Panjang</v>
          </cell>
          <cell r="F1041">
            <v>0</v>
          </cell>
          <cell r="G1041">
            <v>0</v>
          </cell>
          <cell r="H1041">
            <v>0</v>
          </cell>
          <cell r="I1041">
            <v>0</v>
          </cell>
          <cell r="J1041">
            <v>0</v>
          </cell>
        </row>
        <row r="1042">
          <cell r="B1042" t="str">
            <v>2.1.02.04</v>
          </cell>
          <cell r="C1042" t="str">
            <v>Utang Bunga kepada Lembaga Keuangan Bukan Bank</v>
          </cell>
          <cell r="D1042">
            <v>0</v>
          </cell>
          <cell r="E1042">
            <v>0</v>
          </cell>
          <cell r="J1042">
            <v>0</v>
          </cell>
        </row>
        <row r="1043">
          <cell r="B1043" t="str">
            <v>2.1.02.04.01</v>
          </cell>
          <cell r="C1043" t="str">
            <v>Utang Bunga kepada Lembaga Keuangan Bukan Bank (LKBB)-BUMN-Jangka Pendek</v>
          </cell>
          <cell r="F1043">
            <v>0</v>
          </cell>
          <cell r="G1043">
            <v>0</v>
          </cell>
          <cell r="H1043">
            <v>0</v>
          </cell>
          <cell r="I1043">
            <v>0</v>
          </cell>
          <cell r="J1043">
            <v>0</v>
          </cell>
        </row>
        <row r="1044">
          <cell r="B1044" t="str">
            <v>2.1.02.04.02</v>
          </cell>
          <cell r="C1044" t="str">
            <v>Utang Bunga kepada Lembaga Keuangan Bukan Bank-BUMN-Jangka Menengah</v>
          </cell>
          <cell r="F1044">
            <v>0</v>
          </cell>
          <cell r="G1044">
            <v>0</v>
          </cell>
          <cell r="H1044">
            <v>0</v>
          </cell>
          <cell r="I1044">
            <v>0</v>
          </cell>
          <cell r="J1044">
            <v>0</v>
          </cell>
        </row>
        <row r="1045">
          <cell r="B1045" t="str">
            <v>2.1.02.04.03</v>
          </cell>
          <cell r="C1045" t="str">
            <v>Utang Bunga kepada Lembaga Keuangan Bukan Bank (LKBB)-BUMN-Jangka Panjang</v>
          </cell>
          <cell r="F1045">
            <v>0</v>
          </cell>
          <cell r="G1045">
            <v>0</v>
          </cell>
          <cell r="H1045">
            <v>0</v>
          </cell>
          <cell r="I1045">
            <v>0</v>
          </cell>
          <cell r="J1045">
            <v>0</v>
          </cell>
        </row>
        <row r="1046">
          <cell r="B1046" t="str">
            <v>2.1.02.04.04</v>
          </cell>
          <cell r="C1046" t="str">
            <v>Utang Bunga kepada Lembaga Keuangan Bukan Bank (LKBB)-BUMD-Jangka Pendek</v>
          </cell>
          <cell r="F1046">
            <v>0</v>
          </cell>
          <cell r="G1046">
            <v>0</v>
          </cell>
          <cell r="H1046">
            <v>0</v>
          </cell>
          <cell r="I1046">
            <v>0</v>
          </cell>
          <cell r="J1046">
            <v>0</v>
          </cell>
        </row>
        <row r="1047">
          <cell r="B1047" t="str">
            <v>2.1.02.04.05</v>
          </cell>
          <cell r="C1047" t="str">
            <v>Utang Bunga kepada Lembaga Keuangan Bukan Bank (LKBB)-BUMD-Jangka Menengah</v>
          </cell>
          <cell r="F1047">
            <v>0</v>
          </cell>
          <cell r="G1047">
            <v>0</v>
          </cell>
          <cell r="H1047">
            <v>0</v>
          </cell>
          <cell r="I1047">
            <v>0</v>
          </cell>
          <cell r="J1047">
            <v>0</v>
          </cell>
        </row>
        <row r="1048">
          <cell r="B1048" t="str">
            <v>2.1.02.04.06</v>
          </cell>
          <cell r="C1048" t="str">
            <v>Utang Bunga kepada Lembaga Keuangan Bukan Bank (LKBB)-BUMD-Jangka Panjang</v>
          </cell>
          <cell r="F1048">
            <v>0</v>
          </cell>
          <cell r="G1048">
            <v>0</v>
          </cell>
          <cell r="H1048">
            <v>0</v>
          </cell>
          <cell r="I1048">
            <v>0</v>
          </cell>
          <cell r="J1048">
            <v>0</v>
          </cell>
        </row>
        <row r="1049">
          <cell r="B1049" t="str">
            <v>2.1.02.04.07</v>
          </cell>
          <cell r="C1049" t="str">
            <v>Utang Bunga kepada Lembaga Keuangan Bukan Bank (LKBB)-Swasta-Jangka Pendek</v>
          </cell>
          <cell r="F1049">
            <v>0</v>
          </cell>
          <cell r="G1049">
            <v>0</v>
          </cell>
          <cell r="H1049">
            <v>0</v>
          </cell>
          <cell r="I1049">
            <v>0</v>
          </cell>
          <cell r="J1049">
            <v>0</v>
          </cell>
        </row>
        <row r="1050">
          <cell r="B1050" t="str">
            <v>2.1.02.04.08</v>
          </cell>
          <cell r="C1050" t="str">
            <v>Utang Bunga kepada Lembaga Keuangan Bukan Bank (LKBB)-Swasta-Jangka Menengah</v>
          </cell>
          <cell r="F1050">
            <v>0</v>
          </cell>
          <cell r="G1050">
            <v>0</v>
          </cell>
          <cell r="H1050">
            <v>0</v>
          </cell>
          <cell r="I1050">
            <v>0</v>
          </cell>
          <cell r="J1050">
            <v>0</v>
          </cell>
        </row>
        <row r="1051">
          <cell r="B1051" t="str">
            <v>2.1.02.04.09</v>
          </cell>
          <cell r="C1051" t="str">
            <v>Utang Bunga kepada Lembaga Keuangan Bukan Bank (LKBB)-Swasta-Jangka Panjang</v>
          </cell>
          <cell r="F1051">
            <v>0</v>
          </cell>
          <cell r="G1051">
            <v>0</v>
          </cell>
          <cell r="H1051">
            <v>0</v>
          </cell>
          <cell r="I1051">
            <v>0</v>
          </cell>
          <cell r="J1051">
            <v>0</v>
          </cell>
        </row>
        <row r="1052">
          <cell r="B1052" t="str">
            <v>2.1.02.05</v>
          </cell>
          <cell r="C1052" t="str">
            <v>Utang Bunga kepada Masyarakat</v>
          </cell>
          <cell r="D1052">
            <v>0</v>
          </cell>
          <cell r="E1052">
            <v>0</v>
          </cell>
          <cell r="J1052">
            <v>0</v>
          </cell>
        </row>
        <row r="1053">
          <cell r="B1053" t="str">
            <v>2.1.02.05.01</v>
          </cell>
          <cell r="C1053" t="str">
            <v>Utang Bunga Obligasi Daerah</v>
          </cell>
          <cell r="F1053">
            <v>0</v>
          </cell>
          <cell r="G1053">
            <v>0</v>
          </cell>
          <cell r="H1053">
            <v>0</v>
          </cell>
          <cell r="I1053">
            <v>0</v>
          </cell>
          <cell r="J1053">
            <v>0</v>
          </cell>
        </row>
        <row r="1054">
          <cell r="B1054" t="str">
            <v>2.1.02.06</v>
          </cell>
          <cell r="C1054" t="str">
            <v>Utang Bunga melalui BLUD</v>
          </cell>
          <cell r="D1054">
            <v>0</v>
          </cell>
          <cell r="E1054">
            <v>0</v>
          </cell>
          <cell r="J1054">
            <v>0</v>
          </cell>
        </row>
        <row r="1055">
          <cell r="B1055" t="str">
            <v>2.1.02.06.01</v>
          </cell>
          <cell r="C1055" t="str">
            <v>Utang Bunga melalui BLUD-Jangka Pendek</v>
          </cell>
          <cell r="F1055">
            <v>0</v>
          </cell>
          <cell r="G1055">
            <v>0</v>
          </cell>
          <cell r="H1055">
            <v>0</v>
          </cell>
          <cell r="I1055">
            <v>0</v>
          </cell>
          <cell r="J1055">
            <v>0</v>
          </cell>
        </row>
        <row r="1056">
          <cell r="B1056" t="str">
            <v>2.1.02.06.02</v>
          </cell>
          <cell r="C1056" t="str">
            <v>Utang Bunga melalui BLUD-Jangka Menengah</v>
          </cell>
          <cell r="F1056">
            <v>0</v>
          </cell>
          <cell r="G1056">
            <v>0</v>
          </cell>
          <cell r="H1056">
            <v>0</v>
          </cell>
          <cell r="I1056">
            <v>0</v>
          </cell>
          <cell r="J1056">
            <v>0</v>
          </cell>
        </row>
        <row r="1057">
          <cell r="B1057" t="str">
            <v>2.1.02.06.03</v>
          </cell>
          <cell r="C1057" t="str">
            <v>Utang Bunga melalui BLUD-Jangka Panjang</v>
          </cell>
          <cell r="F1057">
            <v>0</v>
          </cell>
          <cell r="G1057">
            <v>0</v>
          </cell>
          <cell r="H1057">
            <v>0</v>
          </cell>
          <cell r="I1057">
            <v>0</v>
          </cell>
          <cell r="J1057">
            <v>0</v>
          </cell>
        </row>
        <row r="1058">
          <cell r="B1058" t="str">
            <v>2.1.02.07</v>
          </cell>
          <cell r="C1058" t="str">
            <v>Utang Bunga Pembiayaan Utang Daerah-Pinjaman Daerah</v>
          </cell>
          <cell r="D1058">
            <v>0</v>
          </cell>
          <cell r="E1058">
            <v>0</v>
          </cell>
          <cell r="J1058">
            <v>0</v>
          </cell>
        </row>
        <row r="1059">
          <cell r="B1059" t="str">
            <v>2.1.02.07.01</v>
          </cell>
          <cell r="C1059" t="str">
            <v>Utang Bunga Pinjaman Daerah dari Pemerintah</v>
          </cell>
          <cell r="F1059">
            <v>0</v>
          </cell>
          <cell r="G1059">
            <v>0</v>
          </cell>
          <cell r="H1059">
            <v>0</v>
          </cell>
          <cell r="I1059">
            <v>0</v>
          </cell>
          <cell r="J1059">
            <v>0</v>
          </cell>
        </row>
        <row r="1060">
          <cell r="B1060" t="str">
            <v>2.1.02.07.02</v>
          </cell>
          <cell r="C1060" t="str">
            <v>Utang Bunga Pinjaman Daerah dari Pemerintah Daerah Lain</v>
          </cell>
          <cell r="F1060">
            <v>0</v>
          </cell>
          <cell r="G1060">
            <v>0</v>
          </cell>
          <cell r="H1060">
            <v>0</v>
          </cell>
          <cell r="I1060">
            <v>0</v>
          </cell>
          <cell r="J1060">
            <v>0</v>
          </cell>
        </row>
        <row r="1061">
          <cell r="B1061" t="str">
            <v>2.1.02.07.03</v>
          </cell>
          <cell r="C1061" t="str">
            <v>Utang Bunga Pinjaman Daerah dari Lembaga Keuangan Bank (LKB)</v>
          </cell>
          <cell r="F1061">
            <v>0</v>
          </cell>
          <cell r="G1061">
            <v>0</v>
          </cell>
          <cell r="H1061">
            <v>0</v>
          </cell>
          <cell r="I1061">
            <v>0</v>
          </cell>
          <cell r="J1061">
            <v>0</v>
          </cell>
        </row>
        <row r="1062">
          <cell r="B1062" t="str">
            <v>2.1.02.07.04</v>
          </cell>
          <cell r="C1062" t="str">
            <v>Utang Bunga Pinjaman Daerah dari Lembaga Keuangan Bukan Bank (LKBB)</v>
          </cell>
          <cell r="F1062">
            <v>0</v>
          </cell>
          <cell r="G1062">
            <v>0</v>
          </cell>
          <cell r="H1062">
            <v>0</v>
          </cell>
          <cell r="I1062">
            <v>0</v>
          </cell>
          <cell r="J1062">
            <v>0</v>
          </cell>
        </row>
        <row r="1063">
          <cell r="B1063" t="str">
            <v>2.1.02.08</v>
          </cell>
          <cell r="C1063" t="str">
            <v>Utang Bunga Pembiayaan Utang Daerah-Obligasi Daerah</v>
          </cell>
          <cell r="D1063">
            <v>0</v>
          </cell>
          <cell r="E1063">
            <v>0</v>
          </cell>
          <cell r="J1063">
            <v>0</v>
          </cell>
        </row>
        <row r="1064">
          <cell r="B1064" t="str">
            <v>2.1.02.08.01</v>
          </cell>
          <cell r="C1064" t="str">
            <v>Utang Bunga Obligasi Daerah</v>
          </cell>
          <cell r="F1064">
            <v>0</v>
          </cell>
          <cell r="G1064">
            <v>0</v>
          </cell>
          <cell r="H1064">
            <v>0</v>
          </cell>
          <cell r="I1064">
            <v>0</v>
          </cell>
          <cell r="J1064">
            <v>0</v>
          </cell>
        </row>
        <row r="1065">
          <cell r="B1065" t="str">
            <v>2.1.02.09</v>
          </cell>
          <cell r="C1065" t="str">
            <v>Utang Imbalan Pembiayaan Utang Daerah-Sukuk Daerah</v>
          </cell>
          <cell r="D1065">
            <v>0</v>
          </cell>
          <cell r="E1065">
            <v>0</v>
          </cell>
          <cell r="J1065">
            <v>0</v>
          </cell>
        </row>
        <row r="1066">
          <cell r="B1066" t="str">
            <v>2.1.02.09.01</v>
          </cell>
          <cell r="C1066" t="str">
            <v>Utang Imbalan Sukuk Daerah</v>
          </cell>
          <cell r="F1066">
            <v>0</v>
          </cell>
          <cell r="G1066">
            <v>0</v>
          </cell>
          <cell r="H1066">
            <v>0</v>
          </cell>
          <cell r="I1066">
            <v>0</v>
          </cell>
          <cell r="J1066">
            <v>0</v>
          </cell>
        </row>
        <row r="1068">
          <cell r="B1068" t="str">
            <v>2.1.03</v>
          </cell>
          <cell r="C1068" t="str">
            <v>Utang Pinjaman Jangka Pendek</v>
          </cell>
          <cell r="D1068">
            <v>0</v>
          </cell>
          <cell r="E1068">
            <v>0</v>
          </cell>
          <cell r="J1068">
            <v>0</v>
          </cell>
        </row>
        <row r="1069">
          <cell r="B1069" t="str">
            <v>2.1.03.01</v>
          </cell>
          <cell r="C1069" t="str">
            <v>Utang Pinjaman dari Pemerintah Daerah</v>
          </cell>
          <cell r="D1069">
            <v>0</v>
          </cell>
          <cell r="E1069">
            <v>0</v>
          </cell>
          <cell r="J1069">
            <v>0</v>
          </cell>
        </row>
        <row r="1070">
          <cell r="B1070" t="str">
            <v>2.1.03.01.01</v>
          </cell>
          <cell r="C1070" t="str">
            <v>Utang Pinjaman dari Pemerintah Daerah-Jangka Pendek</v>
          </cell>
          <cell r="F1070">
            <v>0</v>
          </cell>
          <cell r="G1070">
            <v>0</v>
          </cell>
          <cell r="H1070">
            <v>0</v>
          </cell>
          <cell r="I1070">
            <v>0</v>
          </cell>
          <cell r="J1070">
            <v>0</v>
          </cell>
        </row>
        <row r="1071">
          <cell r="B1071" t="str">
            <v>2.1.03.02</v>
          </cell>
          <cell r="C1071" t="str">
            <v>Utang Pinjaman dari Lembaga Keuangan Bank (LKB)</v>
          </cell>
          <cell r="D1071">
            <v>0</v>
          </cell>
          <cell r="E1071">
            <v>0</v>
          </cell>
          <cell r="J1071">
            <v>0</v>
          </cell>
        </row>
        <row r="1072">
          <cell r="B1072" t="str">
            <v>2.1.03.02.01</v>
          </cell>
          <cell r="C1072" t="str">
            <v>Utang Pinjaman dari LKB-BUMN-Jangka Pendek</v>
          </cell>
          <cell r="F1072">
            <v>0</v>
          </cell>
          <cell r="G1072">
            <v>0</v>
          </cell>
          <cell r="H1072">
            <v>0</v>
          </cell>
          <cell r="I1072">
            <v>0</v>
          </cell>
          <cell r="J1072">
            <v>0</v>
          </cell>
        </row>
        <row r="1073">
          <cell r="B1073" t="str">
            <v>2.1.03.02.02</v>
          </cell>
          <cell r="C1073" t="str">
            <v>Utang Pinjaman dari Lembaga Keuangan Bank (LKB)-BUMD-Jangka Pendek</v>
          </cell>
          <cell r="F1073">
            <v>0</v>
          </cell>
          <cell r="G1073">
            <v>0</v>
          </cell>
          <cell r="H1073">
            <v>0</v>
          </cell>
          <cell r="I1073">
            <v>0</v>
          </cell>
          <cell r="J1073">
            <v>0</v>
          </cell>
        </row>
        <row r="1074">
          <cell r="B1074" t="str">
            <v>2.1.03.02.03</v>
          </cell>
          <cell r="C1074" t="str">
            <v>Utang Pinjaman dari Lembaga Keuangan Bank (LKB)-Swasta-Jangka Pendek</v>
          </cell>
          <cell r="F1074">
            <v>0</v>
          </cell>
          <cell r="G1074">
            <v>0</v>
          </cell>
          <cell r="H1074">
            <v>0</v>
          </cell>
          <cell r="I1074">
            <v>0</v>
          </cell>
          <cell r="J1074">
            <v>0</v>
          </cell>
        </row>
        <row r="1075">
          <cell r="B1075" t="str">
            <v>2.1.03.03</v>
          </cell>
          <cell r="C1075" t="str">
            <v>Utang Pinjaman dari Lembaga Keuangan Bukan Bank (LKBB)</v>
          </cell>
          <cell r="D1075">
            <v>0</v>
          </cell>
          <cell r="E1075">
            <v>0</v>
          </cell>
          <cell r="J1075">
            <v>0</v>
          </cell>
        </row>
        <row r="1076">
          <cell r="B1076" t="str">
            <v>2.1.03.03.01</v>
          </cell>
          <cell r="C1076" t="str">
            <v>Utang Pinjaman dari Lembaga Keuangan Bukan Bank (LKBB)-BUMN-Jangka Pendek</v>
          </cell>
          <cell r="F1076">
            <v>0</v>
          </cell>
          <cell r="G1076">
            <v>0</v>
          </cell>
          <cell r="H1076">
            <v>0</v>
          </cell>
          <cell r="I1076">
            <v>0</v>
          </cell>
          <cell r="J1076">
            <v>0</v>
          </cell>
        </row>
        <row r="1077">
          <cell r="B1077" t="str">
            <v>2.1.03.03.02</v>
          </cell>
          <cell r="C1077" t="str">
            <v>Utang Pinjaman dari Lembaga Keuangan Bukan Bank (LKBB)-BUMD-Jangka Pendek</v>
          </cell>
          <cell r="F1077">
            <v>0</v>
          </cell>
          <cell r="G1077">
            <v>0</v>
          </cell>
          <cell r="H1077">
            <v>0</v>
          </cell>
          <cell r="I1077">
            <v>0</v>
          </cell>
          <cell r="J1077">
            <v>0</v>
          </cell>
        </row>
        <row r="1078">
          <cell r="B1078" t="str">
            <v>2.1.03.03.03</v>
          </cell>
          <cell r="C1078" t="str">
            <v>Utang Pinjaman dari Lembaga Keuangan Bukan Bank (LKBB)-Swasta-Jangka Pendek</v>
          </cell>
          <cell r="F1078">
            <v>0</v>
          </cell>
          <cell r="G1078">
            <v>0</v>
          </cell>
          <cell r="H1078">
            <v>0</v>
          </cell>
          <cell r="I1078">
            <v>0</v>
          </cell>
          <cell r="J1078">
            <v>0</v>
          </cell>
        </row>
        <row r="1079">
          <cell r="B1079" t="str">
            <v>2.1.03.04</v>
          </cell>
          <cell r="C1079" t="str">
            <v>Utang Pinjaman melalui BLUD</v>
          </cell>
          <cell r="D1079">
            <v>0</v>
          </cell>
          <cell r="E1079">
            <v>0</v>
          </cell>
          <cell r="J1079">
            <v>0</v>
          </cell>
        </row>
        <row r="1080">
          <cell r="B1080" t="str">
            <v>2.1.03.04.01</v>
          </cell>
          <cell r="C1080" t="str">
            <v>Utang Pinjaman melalui BLUD</v>
          </cell>
          <cell r="F1080">
            <v>0</v>
          </cell>
          <cell r="G1080">
            <v>0</v>
          </cell>
          <cell r="H1080">
            <v>0</v>
          </cell>
          <cell r="I1080">
            <v>0</v>
          </cell>
          <cell r="J1080">
            <v>0</v>
          </cell>
        </row>
        <row r="1081">
          <cell r="B1081" t="str">
            <v>2.1.03.05</v>
          </cell>
          <cell r="C1081" t="str">
            <v>Utang Pembiayaan Utang Daerah-Pinjaman Daerah</v>
          </cell>
          <cell r="D1081">
            <v>0</v>
          </cell>
          <cell r="E1081">
            <v>0</v>
          </cell>
          <cell r="J1081">
            <v>0</v>
          </cell>
        </row>
        <row r="1082">
          <cell r="B1082" t="str">
            <v>2.1.03.05.01</v>
          </cell>
          <cell r="C1082" t="str">
            <v>Utang Pinjaman Daerah dari Pemerintah</v>
          </cell>
          <cell r="F1082">
            <v>0</v>
          </cell>
          <cell r="G1082">
            <v>0</v>
          </cell>
          <cell r="H1082">
            <v>0</v>
          </cell>
          <cell r="I1082">
            <v>0</v>
          </cell>
          <cell r="J1082">
            <v>0</v>
          </cell>
        </row>
        <row r="1083">
          <cell r="B1083" t="str">
            <v>2.1.03.05.02</v>
          </cell>
          <cell r="C1083" t="str">
            <v>Utang Pinjaman Daerah dari Pemerintah Daerah Lain</v>
          </cell>
          <cell r="F1083">
            <v>0</v>
          </cell>
          <cell r="G1083">
            <v>0</v>
          </cell>
          <cell r="H1083">
            <v>0</v>
          </cell>
          <cell r="I1083">
            <v>0</v>
          </cell>
          <cell r="J1083">
            <v>0</v>
          </cell>
        </row>
        <row r="1084">
          <cell r="B1084" t="str">
            <v>2.1.03.05.03</v>
          </cell>
          <cell r="C1084" t="str">
            <v>Utang Pinjaman Daerah dari Lembaga Keuangan Bank (LKB)</v>
          </cell>
          <cell r="F1084">
            <v>0</v>
          </cell>
          <cell r="G1084">
            <v>0</v>
          </cell>
          <cell r="H1084">
            <v>0</v>
          </cell>
          <cell r="I1084">
            <v>0</v>
          </cell>
          <cell r="J1084">
            <v>0</v>
          </cell>
        </row>
        <row r="1085">
          <cell r="B1085" t="str">
            <v>2.1.03.05.04</v>
          </cell>
          <cell r="C1085" t="str">
            <v>Utang Pinjaman Daerah dari Lembaga Keuangan Bukan Bank (LKBB)</v>
          </cell>
          <cell r="F1085">
            <v>0</v>
          </cell>
          <cell r="G1085">
            <v>0</v>
          </cell>
          <cell r="H1085">
            <v>0</v>
          </cell>
          <cell r="I1085">
            <v>0</v>
          </cell>
          <cell r="J1085">
            <v>0</v>
          </cell>
        </row>
        <row r="1087">
          <cell r="B1087" t="str">
            <v>2.1.04</v>
          </cell>
          <cell r="C1087" t="str">
            <v>Bagian Lancar Utang Jangka Panjang</v>
          </cell>
          <cell r="D1087">
            <v>0</v>
          </cell>
          <cell r="E1087">
            <v>0</v>
          </cell>
          <cell r="J1087">
            <v>0</v>
          </cell>
        </row>
        <row r="1088">
          <cell r="B1088" t="str">
            <v>2.1.04.01</v>
          </cell>
          <cell r="C1088" t="str">
            <v>Bagian Lancar Utang Jangka Panjang dari Pemerintah Pusat</v>
          </cell>
          <cell r="D1088">
            <v>0</v>
          </cell>
          <cell r="E1088">
            <v>0</v>
          </cell>
          <cell r="J1088">
            <v>0</v>
          </cell>
        </row>
        <row r="1089">
          <cell r="B1089" t="str">
            <v>2.1.04.01.01</v>
          </cell>
          <cell r="C1089" t="str">
            <v>Bagian Lancar Utang Jangka Panjang-Penerusan Pinjaman Dalam Negeri-Jangka Menengah</v>
          </cell>
          <cell r="F1089">
            <v>0</v>
          </cell>
          <cell r="G1089">
            <v>0</v>
          </cell>
          <cell r="H1089">
            <v>0</v>
          </cell>
          <cell r="I1089">
            <v>0</v>
          </cell>
          <cell r="J1089">
            <v>0</v>
          </cell>
        </row>
        <row r="1090">
          <cell r="B1090" t="str">
            <v>2.1.04.01.02</v>
          </cell>
          <cell r="C1090" t="str">
            <v>Bagian Lancar Utang Jangka Panjang-Penerusan Pinjaman Dalam Negeri-Jangka Panjang</v>
          </cell>
          <cell r="F1090">
            <v>0</v>
          </cell>
          <cell r="G1090">
            <v>0</v>
          </cell>
          <cell r="H1090">
            <v>0</v>
          </cell>
          <cell r="I1090">
            <v>0</v>
          </cell>
          <cell r="J1090">
            <v>0</v>
          </cell>
        </row>
        <row r="1091">
          <cell r="B1091" t="str">
            <v>2.1.04.01.03</v>
          </cell>
          <cell r="C1091" t="str">
            <v>Bagian Lancar Utang Jangka Panjang-Penerusan Pinjaman Luar Negeri-Jangka Menengah</v>
          </cell>
          <cell r="F1091">
            <v>0</v>
          </cell>
          <cell r="G1091">
            <v>0</v>
          </cell>
          <cell r="H1091">
            <v>0</v>
          </cell>
          <cell r="I1091">
            <v>0</v>
          </cell>
          <cell r="J1091">
            <v>0</v>
          </cell>
        </row>
        <row r="1092">
          <cell r="B1092" t="str">
            <v>2.1.04.01.04</v>
          </cell>
          <cell r="C1092" t="str">
            <v>Bagian Lancar Utang Jangka Panjang-Penerusan Pinjaman Luar Negeri-Jangka Panjang</v>
          </cell>
          <cell r="F1092">
            <v>0</v>
          </cell>
          <cell r="G1092">
            <v>0</v>
          </cell>
          <cell r="H1092">
            <v>0</v>
          </cell>
          <cell r="I1092">
            <v>0</v>
          </cell>
          <cell r="J1092">
            <v>0</v>
          </cell>
        </row>
        <row r="1093">
          <cell r="B1093" t="str">
            <v>2.1.04.01.05</v>
          </cell>
          <cell r="C1093" t="str">
            <v>Bagian Lancar Utang Jangka Panjang-Sumber Lainnya sesuai Ketentuan Peraturan Perundang-Undangan-Jangka Menengah</v>
          </cell>
          <cell r="F1093">
            <v>0</v>
          </cell>
          <cell r="G1093">
            <v>0</v>
          </cell>
          <cell r="H1093">
            <v>0</v>
          </cell>
          <cell r="I1093">
            <v>0</v>
          </cell>
          <cell r="J1093">
            <v>0</v>
          </cell>
        </row>
        <row r="1094">
          <cell r="B1094" t="str">
            <v>2.1.04.01.06</v>
          </cell>
          <cell r="C1094" t="str">
            <v>Bagian Lancar Utang Jangka Panjang-Sumber Lainnya sesuai Ketentuan Peraturan Perundang-Undangan-Jangka Panjang</v>
          </cell>
          <cell r="F1094">
            <v>0</v>
          </cell>
          <cell r="G1094">
            <v>0</v>
          </cell>
          <cell r="H1094">
            <v>0</v>
          </cell>
          <cell r="I1094">
            <v>0</v>
          </cell>
          <cell r="J1094">
            <v>0</v>
          </cell>
        </row>
        <row r="1095">
          <cell r="B1095" t="str">
            <v>2.1.04.02</v>
          </cell>
          <cell r="C1095" t="str">
            <v>Bagian Lancar Utang Jangka Panjang kepada Lembaga Keuangan Bank (LKB)</v>
          </cell>
          <cell r="D1095">
            <v>0</v>
          </cell>
          <cell r="E1095">
            <v>0</v>
          </cell>
          <cell r="J1095">
            <v>0</v>
          </cell>
        </row>
        <row r="1096">
          <cell r="B1096" t="str">
            <v>2.1.04.02.01</v>
          </cell>
          <cell r="C1096" t="str">
            <v>Bagian Lancar Utang Jangka Panjang kepada Lembaga Keuangan Bank (LKB)-BUMN-Jangka Menengah</v>
          </cell>
          <cell r="F1096">
            <v>0</v>
          </cell>
          <cell r="G1096">
            <v>0</v>
          </cell>
          <cell r="H1096">
            <v>0</v>
          </cell>
          <cell r="I1096">
            <v>0</v>
          </cell>
          <cell r="J1096">
            <v>0</v>
          </cell>
        </row>
        <row r="1097">
          <cell r="B1097" t="str">
            <v>2.1.04.02.02</v>
          </cell>
          <cell r="C1097" t="str">
            <v>Bagian Lancar Utang Jangka Panjang kepada Lembaga Keuangan Bank (LKB)-BUMN-Jangka Panjang</v>
          </cell>
          <cell r="F1097">
            <v>0</v>
          </cell>
          <cell r="G1097">
            <v>0</v>
          </cell>
          <cell r="H1097">
            <v>0</v>
          </cell>
          <cell r="I1097">
            <v>0</v>
          </cell>
          <cell r="J1097">
            <v>0</v>
          </cell>
        </row>
        <row r="1098">
          <cell r="B1098" t="str">
            <v>2.1.04.02.03</v>
          </cell>
          <cell r="C1098" t="str">
            <v>Bagian Lancar Utang Jangka Panjang kepada Lembaga Keuangan Bank (LKB)-BUMD-Jangka Menengah</v>
          </cell>
          <cell r="F1098">
            <v>0</v>
          </cell>
          <cell r="G1098">
            <v>0</v>
          </cell>
          <cell r="H1098">
            <v>0</v>
          </cell>
          <cell r="I1098">
            <v>0</v>
          </cell>
          <cell r="J1098">
            <v>0</v>
          </cell>
        </row>
        <row r="1099">
          <cell r="B1099" t="str">
            <v>2.1.04.02.04</v>
          </cell>
          <cell r="C1099" t="str">
            <v>Bagian Lancar Utang Jangka Panjang kepada Lembaga Keuangan Bank (LKB)-BUMD-Jangka Panjang</v>
          </cell>
          <cell r="F1099">
            <v>0</v>
          </cell>
          <cell r="G1099">
            <v>0</v>
          </cell>
          <cell r="H1099">
            <v>0</v>
          </cell>
          <cell r="I1099">
            <v>0</v>
          </cell>
          <cell r="J1099">
            <v>0</v>
          </cell>
        </row>
        <row r="1100">
          <cell r="B1100" t="str">
            <v>2.1.04.02.05</v>
          </cell>
          <cell r="C1100" t="str">
            <v>Bagian Lancar Utang Jangka Panjang kepada Lembaga Keuangan Bank (LKB)-Swasta-Jangka Menengah</v>
          </cell>
          <cell r="F1100">
            <v>0</v>
          </cell>
          <cell r="G1100">
            <v>0</v>
          </cell>
          <cell r="H1100">
            <v>0</v>
          </cell>
          <cell r="I1100">
            <v>0</v>
          </cell>
          <cell r="J1100">
            <v>0</v>
          </cell>
        </row>
        <row r="1101">
          <cell r="B1101" t="str">
            <v>2.1.04.02.06</v>
          </cell>
          <cell r="C1101" t="str">
            <v>Bagian Lancar Utang Jangka Panjang kepada Lembaga Keuangan Bank (LKB)-Swasta-Jangka Panjang</v>
          </cell>
          <cell r="F1101">
            <v>0</v>
          </cell>
          <cell r="G1101">
            <v>0</v>
          </cell>
          <cell r="H1101">
            <v>0</v>
          </cell>
          <cell r="I1101">
            <v>0</v>
          </cell>
          <cell r="J1101">
            <v>0</v>
          </cell>
        </row>
        <row r="1102">
          <cell r="B1102" t="str">
            <v>2.1.04.03</v>
          </cell>
          <cell r="C1102" t="str">
            <v>Bagian Lancar Utang Jangka Panjang kepada Lembaga Keuangan Bukan Bank (LKBB)</v>
          </cell>
          <cell r="D1102">
            <v>0</v>
          </cell>
          <cell r="E1102">
            <v>0</v>
          </cell>
          <cell r="J1102">
            <v>0</v>
          </cell>
        </row>
        <row r="1103">
          <cell r="B1103" t="str">
            <v>2.1.04.03.01</v>
          </cell>
          <cell r="C1103" t="str">
            <v>Bagian Lancar Utang Jangka Panjang kepada Lembaga Keuangan Bukan Bank (LKBB)-BUMN-Jangka Menengah</v>
          </cell>
          <cell r="F1103">
            <v>0</v>
          </cell>
          <cell r="G1103">
            <v>0</v>
          </cell>
          <cell r="H1103">
            <v>0</v>
          </cell>
          <cell r="I1103">
            <v>0</v>
          </cell>
          <cell r="J1103">
            <v>0</v>
          </cell>
        </row>
        <row r="1104">
          <cell r="B1104" t="str">
            <v>2.1.04.03.02</v>
          </cell>
          <cell r="C1104" t="str">
            <v>Bagian Lancar Utang Jangka Panjang kepada Lembaga Keuangan Bukan Bank (LKBB)-BUMN-Jangka Panjang</v>
          </cell>
          <cell r="F1104">
            <v>0</v>
          </cell>
          <cell r="G1104">
            <v>0</v>
          </cell>
          <cell r="H1104">
            <v>0</v>
          </cell>
          <cell r="I1104">
            <v>0</v>
          </cell>
          <cell r="J1104">
            <v>0</v>
          </cell>
        </row>
        <row r="1105">
          <cell r="B1105" t="str">
            <v>2.1.04.03.03</v>
          </cell>
          <cell r="C1105" t="str">
            <v>Bagian Lancar Utang Jangka Panjang kepada Lembaga Keuangan Bukan Bank (LKBB)-BUMD-Jangka Menengah</v>
          </cell>
          <cell r="F1105">
            <v>0</v>
          </cell>
          <cell r="G1105">
            <v>0</v>
          </cell>
          <cell r="H1105">
            <v>0</v>
          </cell>
          <cell r="I1105">
            <v>0</v>
          </cell>
          <cell r="J1105">
            <v>0</v>
          </cell>
        </row>
        <row r="1106">
          <cell r="B1106" t="str">
            <v>2.1.04.03.04</v>
          </cell>
          <cell r="C1106" t="str">
            <v>Bagian Lancar Utang Jangka Panjang kepada Lembaga Keuangan Bukan Bank (LKBB)-BUMD-Jangka Panjang</v>
          </cell>
          <cell r="F1106">
            <v>0</v>
          </cell>
          <cell r="G1106">
            <v>0</v>
          </cell>
          <cell r="H1106">
            <v>0</v>
          </cell>
          <cell r="I1106">
            <v>0</v>
          </cell>
          <cell r="J1106">
            <v>0</v>
          </cell>
        </row>
        <row r="1107">
          <cell r="B1107" t="str">
            <v>2.1.04.03.05</v>
          </cell>
          <cell r="C1107" t="str">
            <v>Bagian Lancar Utang Jangka Panjang kepada Lembaga Keuangan Bukan Bank (LKBB)-Swasta-Jangka Menengah</v>
          </cell>
          <cell r="F1107">
            <v>0</v>
          </cell>
          <cell r="G1107">
            <v>0</v>
          </cell>
          <cell r="H1107">
            <v>0</v>
          </cell>
          <cell r="I1107">
            <v>0</v>
          </cell>
          <cell r="J1107">
            <v>0</v>
          </cell>
        </row>
        <row r="1108">
          <cell r="B1108" t="str">
            <v>2.1.04.03.06</v>
          </cell>
          <cell r="C1108" t="str">
            <v>Bagian Lancar Utang Jangka Panjang kepada Lembaga Keuangan Bukan Bank (LKBB)-Swasta-Jangka Panjang</v>
          </cell>
          <cell r="F1108">
            <v>0</v>
          </cell>
          <cell r="G1108">
            <v>0</v>
          </cell>
          <cell r="H1108">
            <v>0</v>
          </cell>
          <cell r="I1108">
            <v>0</v>
          </cell>
          <cell r="J1108">
            <v>0</v>
          </cell>
        </row>
        <row r="1109">
          <cell r="B1109" t="str">
            <v>2.1.04.04</v>
          </cell>
          <cell r="C1109" t="str">
            <v>Bagian Lancar Utang Jangka Panjang dari Masyarakat</v>
          </cell>
          <cell r="D1109">
            <v>0</v>
          </cell>
          <cell r="E1109">
            <v>0</v>
          </cell>
          <cell r="J1109">
            <v>0</v>
          </cell>
        </row>
        <row r="1110">
          <cell r="B1110" t="str">
            <v>2.1.04.04.01</v>
          </cell>
          <cell r="C1110" t="str">
            <v>Bagian Lancar Utang Jangka Panjang dari Masyarakat-Obligasi Daerah</v>
          </cell>
          <cell r="F1110">
            <v>0</v>
          </cell>
          <cell r="G1110">
            <v>0</v>
          </cell>
          <cell r="H1110">
            <v>0</v>
          </cell>
          <cell r="I1110">
            <v>0</v>
          </cell>
          <cell r="J1110">
            <v>0</v>
          </cell>
        </row>
        <row r="1111">
          <cell r="B1111" t="str">
            <v>2.1.04.05</v>
          </cell>
          <cell r="C1111" t="str">
            <v>Bagian Lancar Utang Jangka Panjang melalui BLUD</v>
          </cell>
          <cell r="D1111">
            <v>0</v>
          </cell>
          <cell r="E1111">
            <v>0</v>
          </cell>
          <cell r="J1111">
            <v>0</v>
          </cell>
        </row>
        <row r="1112">
          <cell r="B1112" t="str">
            <v>2.1.04.05.01</v>
          </cell>
          <cell r="C1112" t="str">
            <v>Bagian Lancar Utang Jangka Panjang melalui BLUD-Jangka Menengah</v>
          </cell>
          <cell r="F1112">
            <v>0</v>
          </cell>
          <cell r="G1112">
            <v>0</v>
          </cell>
          <cell r="H1112">
            <v>0</v>
          </cell>
          <cell r="I1112">
            <v>0</v>
          </cell>
          <cell r="J1112">
            <v>0</v>
          </cell>
        </row>
        <row r="1113">
          <cell r="B1113" t="str">
            <v>2.1.04.05.02</v>
          </cell>
          <cell r="C1113" t="str">
            <v>Bagian Lancar Utang Jangka Panjang melalui BLUD-Jangka Panjang</v>
          </cell>
          <cell r="F1113">
            <v>0</v>
          </cell>
          <cell r="G1113">
            <v>0</v>
          </cell>
          <cell r="H1113">
            <v>0</v>
          </cell>
          <cell r="I1113">
            <v>0</v>
          </cell>
          <cell r="J1113">
            <v>0</v>
          </cell>
        </row>
        <row r="1114">
          <cell r="B1114" t="str">
            <v>2.1.04.06</v>
          </cell>
          <cell r="C1114" t="str">
            <v>Bagian Lancar Pembiayaan Utang Daerah-Pinjaman Daerah</v>
          </cell>
          <cell r="D1114">
            <v>0</v>
          </cell>
          <cell r="E1114">
            <v>0</v>
          </cell>
          <cell r="J1114">
            <v>0</v>
          </cell>
        </row>
        <row r="1115">
          <cell r="B1115" t="str">
            <v>2.1.04.06.01</v>
          </cell>
          <cell r="C1115" t="str">
            <v>Bagian Lancar Pinjaman Daerah dari Pemerintah</v>
          </cell>
          <cell r="F1115">
            <v>0</v>
          </cell>
          <cell r="G1115">
            <v>0</v>
          </cell>
          <cell r="H1115">
            <v>0</v>
          </cell>
          <cell r="I1115">
            <v>0</v>
          </cell>
          <cell r="J1115">
            <v>0</v>
          </cell>
        </row>
        <row r="1116">
          <cell r="B1116" t="str">
            <v>2.1.04.06.02</v>
          </cell>
          <cell r="C1116" t="str">
            <v>Bagian Lancar Pinjaman Daerah dari Pemerintah Daerah Lain</v>
          </cell>
          <cell r="F1116">
            <v>0</v>
          </cell>
          <cell r="G1116">
            <v>0</v>
          </cell>
          <cell r="H1116">
            <v>0</v>
          </cell>
          <cell r="I1116">
            <v>0</v>
          </cell>
          <cell r="J1116">
            <v>0</v>
          </cell>
        </row>
        <row r="1117">
          <cell r="B1117" t="str">
            <v>2.1.04.06.03</v>
          </cell>
          <cell r="C1117" t="str">
            <v>Bagian Lancar Pinjaman Daerah dari Lembaga Keuangan Bank (LKB)</v>
          </cell>
          <cell r="F1117">
            <v>0</v>
          </cell>
          <cell r="G1117">
            <v>0</v>
          </cell>
          <cell r="H1117">
            <v>0</v>
          </cell>
          <cell r="I1117">
            <v>0</v>
          </cell>
          <cell r="J1117">
            <v>0</v>
          </cell>
        </row>
        <row r="1118">
          <cell r="B1118" t="str">
            <v>2.1.04.06.04</v>
          </cell>
          <cell r="C1118" t="str">
            <v>Bagian Lancar Pinjaman Daerah dari Lembaga Keuangan Bukan Bank (LKBB)</v>
          </cell>
          <cell r="F1118">
            <v>0</v>
          </cell>
          <cell r="G1118">
            <v>0</v>
          </cell>
          <cell r="H1118">
            <v>0</v>
          </cell>
          <cell r="I1118">
            <v>0</v>
          </cell>
          <cell r="J1118">
            <v>0</v>
          </cell>
        </row>
        <row r="1120">
          <cell r="B1120" t="str">
            <v>2.1.05</v>
          </cell>
          <cell r="C1120" t="str">
            <v>Pendapatan Diterima Dimuka</v>
          </cell>
          <cell r="D1120">
            <v>7282774922.0839996</v>
          </cell>
          <cell r="E1120">
            <v>8940216141.6669998</v>
          </cell>
          <cell r="J1120">
            <v>8940216141.6669998</v>
          </cell>
        </row>
        <row r="1121">
          <cell r="B1121" t="str">
            <v>2.1.05.01</v>
          </cell>
          <cell r="C1121" t="str">
            <v>Setoran Kelebihan Pembayaran Dari Pihak III</v>
          </cell>
          <cell r="D1121">
            <v>0</v>
          </cell>
          <cell r="E1121">
            <v>0</v>
          </cell>
          <cell r="J1121">
            <v>0</v>
          </cell>
        </row>
        <row r="1122">
          <cell r="B1122" t="str">
            <v>2.1.05.01.01</v>
          </cell>
          <cell r="C1122" t="str">
            <v>Setoran Kelebihan Pembayaran Dari Pihak III</v>
          </cell>
          <cell r="F1122">
            <v>0</v>
          </cell>
          <cell r="G1122">
            <v>0</v>
          </cell>
          <cell r="H1122">
            <v>0</v>
          </cell>
          <cell r="I1122">
            <v>0</v>
          </cell>
          <cell r="J1122">
            <v>0</v>
          </cell>
        </row>
        <row r="1123">
          <cell r="B1123" t="str">
            <v>2.1.05.02</v>
          </cell>
          <cell r="C1123" t="str">
            <v>Uang Muka Penjualan Produk Pemda Dari Pihak III</v>
          </cell>
          <cell r="D1123">
            <v>0</v>
          </cell>
          <cell r="E1123">
            <v>0</v>
          </cell>
          <cell r="J1123">
            <v>0</v>
          </cell>
        </row>
        <row r="1124">
          <cell r="B1124" t="str">
            <v>2.1.05.02.01</v>
          </cell>
          <cell r="C1124" t="str">
            <v>Uang Muka Penjualan Produk Pemda Dari Pihak III</v>
          </cell>
          <cell r="F1124">
            <v>0</v>
          </cell>
          <cell r="G1124">
            <v>0</v>
          </cell>
          <cell r="H1124">
            <v>0</v>
          </cell>
          <cell r="I1124">
            <v>0</v>
          </cell>
          <cell r="J1124">
            <v>0</v>
          </cell>
        </row>
        <row r="1125">
          <cell r="B1125" t="str">
            <v>2.1.05.03</v>
          </cell>
          <cell r="C1125" t="str">
            <v>Uang Muka Lelang Penjualan Aset Daerah</v>
          </cell>
          <cell r="D1125">
            <v>0</v>
          </cell>
          <cell r="E1125">
            <v>0</v>
          </cell>
          <cell r="J1125">
            <v>0</v>
          </cell>
        </row>
        <row r="1126">
          <cell r="B1126" t="str">
            <v>2.1.05.03.01</v>
          </cell>
          <cell r="C1126" t="str">
            <v>Uang Muka Lelang Penjualan Aset Daerah</v>
          </cell>
          <cell r="F1126">
            <v>0</v>
          </cell>
          <cell r="G1126">
            <v>0</v>
          </cell>
          <cell r="H1126">
            <v>0</v>
          </cell>
          <cell r="I1126">
            <v>0</v>
          </cell>
          <cell r="J1126">
            <v>0</v>
          </cell>
        </row>
        <row r="1127">
          <cell r="B1127" t="str">
            <v>2.1.05.04</v>
          </cell>
          <cell r="C1127" t="str">
            <v>Pendapatan Diterima Dimuka-Belanja Sewa</v>
          </cell>
          <cell r="D1127">
            <v>7282774922.0839996</v>
          </cell>
          <cell r="E1127">
            <v>8940216141.6669998</v>
          </cell>
          <cell r="J1127">
            <v>8940216141.6669998</v>
          </cell>
        </row>
        <row r="1128">
          <cell r="B1128" t="str">
            <v>2.1.05.04.01</v>
          </cell>
          <cell r="C1128" t="str">
            <v>Pendapatan Diterima Dimuka-Sewa Tanah</v>
          </cell>
          <cell r="D1128">
            <v>7282774922.0839996</v>
          </cell>
          <cell r="E1128">
            <v>8940216141.6669998</v>
          </cell>
          <cell r="F1128">
            <v>0</v>
          </cell>
          <cell r="G1128">
            <v>0</v>
          </cell>
          <cell r="H1128">
            <v>0</v>
          </cell>
          <cell r="I1128">
            <v>0</v>
          </cell>
          <cell r="J1128">
            <v>8940216141.6669998</v>
          </cell>
        </row>
        <row r="1129">
          <cell r="B1129" t="str">
            <v>2.1.05.04.02</v>
          </cell>
          <cell r="C1129" t="str">
            <v>Pendapatan Diterima Dimuka-Sewa Peralatan dan Mesin</v>
          </cell>
          <cell r="F1129">
            <v>0</v>
          </cell>
          <cell r="G1129">
            <v>0</v>
          </cell>
          <cell r="H1129">
            <v>0</v>
          </cell>
          <cell r="I1129">
            <v>0</v>
          </cell>
          <cell r="J1129">
            <v>0</v>
          </cell>
        </row>
        <row r="1130">
          <cell r="B1130" t="str">
            <v>2.1.05.04.03</v>
          </cell>
          <cell r="C1130" t="str">
            <v>Pendapatan Diterima Dimuka-Sewa Gedung dan Bangunan</v>
          </cell>
          <cell r="F1130">
            <v>0</v>
          </cell>
          <cell r="G1130">
            <v>0</v>
          </cell>
          <cell r="H1130">
            <v>0</v>
          </cell>
          <cell r="I1130">
            <v>0</v>
          </cell>
          <cell r="J1130">
            <v>0</v>
          </cell>
        </row>
        <row r="1131">
          <cell r="B1131" t="str">
            <v>2.1.05.04.04</v>
          </cell>
          <cell r="C1131" t="str">
            <v>Pendapatan Diterima Dimuka-Sewa Jalan, Jaringan, dan Irigasi</v>
          </cell>
          <cell r="F1131">
            <v>0</v>
          </cell>
          <cell r="G1131">
            <v>0</v>
          </cell>
          <cell r="H1131">
            <v>0</v>
          </cell>
          <cell r="I1131">
            <v>0</v>
          </cell>
          <cell r="J1131">
            <v>0</v>
          </cell>
        </row>
        <row r="1132">
          <cell r="B1132" t="str">
            <v>2.1.05.04.05</v>
          </cell>
          <cell r="C1132" t="str">
            <v>Pendapatan Diterima Dimuka-Sewa Aset Tetap Lainnya</v>
          </cell>
          <cell r="F1132">
            <v>0</v>
          </cell>
          <cell r="G1132">
            <v>0</v>
          </cell>
          <cell r="H1132">
            <v>0</v>
          </cell>
          <cell r="I1132">
            <v>0</v>
          </cell>
          <cell r="J1132">
            <v>0</v>
          </cell>
        </row>
        <row r="1133">
          <cell r="B1133" t="str">
            <v>2.1.05.04.06</v>
          </cell>
          <cell r="C1133" t="str">
            <v>Pendapatan Diterima Dimuka-Sewa Aset Tidak Berwujud</v>
          </cell>
          <cell r="F1133">
            <v>0</v>
          </cell>
          <cell r="G1133">
            <v>0</v>
          </cell>
          <cell r="H1133">
            <v>0</v>
          </cell>
          <cell r="I1133">
            <v>0</v>
          </cell>
          <cell r="J1133">
            <v>0</v>
          </cell>
        </row>
        <row r="1134">
          <cell r="B1134" t="str">
            <v>2.1.05.05</v>
          </cell>
          <cell r="C1134" t="str">
            <v>Pendapatan Diterima Dimuka-Pajak Daerah</v>
          </cell>
          <cell r="D1134">
            <v>0</v>
          </cell>
          <cell r="E1134">
            <v>0</v>
          </cell>
          <cell r="J1134">
            <v>0</v>
          </cell>
        </row>
        <row r="1135">
          <cell r="B1135" t="str">
            <v>2.1.05.05.01</v>
          </cell>
          <cell r="C1135" t="str">
            <v>Pendapatan Diterima Dimuka-Pajak Reklame</v>
          </cell>
          <cell r="F1135">
            <v>0</v>
          </cell>
          <cell r="G1135">
            <v>0</v>
          </cell>
          <cell r="H1135">
            <v>0</v>
          </cell>
          <cell r="I1135">
            <v>0</v>
          </cell>
          <cell r="J1135">
            <v>0</v>
          </cell>
        </row>
        <row r="1137">
          <cell r="B1137" t="str">
            <v>2.1.06</v>
          </cell>
          <cell r="C1137" t="str">
            <v>Utang Belanja</v>
          </cell>
          <cell r="D1137">
            <v>20714348869.849998</v>
          </cell>
          <cell r="E1137">
            <v>17880734047</v>
          </cell>
          <cell r="J1137">
            <v>17880734047</v>
          </cell>
        </row>
        <row r="1138">
          <cell r="B1138" t="str">
            <v>2.1.06.01</v>
          </cell>
          <cell r="C1138" t="str">
            <v>Utang Belanja Pegawai</v>
          </cell>
          <cell r="D1138">
            <v>1528062958</v>
          </cell>
          <cell r="E1138">
            <v>4489607826</v>
          </cell>
          <cell r="J1138">
            <v>4489607826</v>
          </cell>
        </row>
        <row r="1139">
          <cell r="B1139" t="str">
            <v>2.1.06.01.01</v>
          </cell>
          <cell r="C1139" t="str">
            <v>Utang Belanja Gaji dan Tunjangan ASN</v>
          </cell>
          <cell r="D1139">
            <v>427015636</v>
          </cell>
          <cell r="E1139">
            <v>398315086</v>
          </cell>
          <cell r="F1139">
            <v>0</v>
          </cell>
          <cell r="G1139">
            <v>0</v>
          </cell>
          <cell r="H1139">
            <v>0</v>
          </cell>
          <cell r="I1139">
            <v>0</v>
          </cell>
          <cell r="J1139">
            <v>398315086</v>
          </cell>
        </row>
        <row r="1140">
          <cell r="B1140" t="str">
            <v>2.1.06.01.02</v>
          </cell>
          <cell r="C1140" t="str">
            <v>Utang Belanja Tambahan Penghasilan ASN</v>
          </cell>
          <cell r="F1140">
            <v>0</v>
          </cell>
          <cell r="G1140">
            <v>0</v>
          </cell>
          <cell r="H1140">
            <v>0</v>
          </cell>
          <cell r="I1140">
            <v>0</v>
          </cell>
          <cell r="J1140">
            <v>0</v>
          </cell>
        </row>
        <row r="1141">
          <cell r="B1141" t="str">
            <v>2.1.06.01.03</v>
          </cell>
          <cell r="C1141" t="str">
            <v>Utang Belanja Tambahan Penghasilan berdasarkan Pertimbangan Objektif Lainnya ASN</v>
          </cell>
          <cell r="F1141">
            <v>0</v>
          </cell>
          <cell r="G1141">
            <v>0</v>
          </cell>
          <cell r="H1141">
            <v>0</v>
          </cell>
          <cell r="I1141">
            <v>0</v>
          </cell>
          <cell r="J1141">
            <v>0</v>
          </cell>
        </row>
        <row r="1142">
          <cell r="B1142" t="str">
            <v>2.1.06.01.04</v>
          </cell>
          <cell r="C1142" t="str">
            <v>Utang Belanja Gaji dan Tunjangan DPRD</v>
          </cell>
          <cell r="F1142">
            <v>0</v>
          </cell>
          <cell r="G1142">
            <v>0</v>
          </cell>
          <cell r="H1142">
            <v>0</v>
          </cell>
          <cell r="I1142">
            <v>0</v>
          </cell>
          <cell r="J1142">
            <v>0</v>
          </cell>
        </row>
        <row r="1143">
          <cell r="B1143" t="str">
            <v>2.1.06.01.05</v>
          </cell>
          <cell r="C1143" t="str">
            <v>Utang Belanja Gaji dan Tunjangan KDH/WKDH</v>
          </cell>
          <cell r="F1143">
            <v>0</v>
          </cell>
          <cell r="G1143">
            <v>0</v>
          </cell>
          <cell r="H1143">
            <v>0</v>
          </cell>
          <cell r="I1143">
            <v>0</v>
          </cell>
          <cell r="J1143">
            <v>0</v>
          </cell>
        </row>
        <row r="1144">
          <cell r="B1144" t="str">
            <v>2.1.06.01.06</v>
          </cell>
          <cell r="C1144" t="str">
            <v>Utang Belanja Penerimaan Lainnya Pimpinan DPRD serta KDH/WKDH</v>
          </cell>
          <cell r="F1144">
            <v>0</v>
          </cell>
          <cell r="G1144">
            <v>0</v>
          </cell>
          <cell r="H1144">
            <v>0</v>
          </cell>
          <cell r="I1144">
            <v>0</v>
          </cell>
          <cell r="J1144">
            <v>0</v>
          </cell>
        </row>
        <row r="1145">
          <cell r="B1145" t="str">
            <v>2.1.06.01.07</v>
          </cell>
          <cell r="C1145" t="str">
            <v>Utang Belanja Gaji dan Tunjangan MRP</v>
          </cell>
          <cell r="F1145">
            <v>0</v>
          </cell>
          <cell r="G1145">
            <v>0</v>
          </cell>
          <cell r="H1145">
            <v>0</v>
          </cell>
          <cell r="I1145">
            <v>0</v>
          </cell>
          <cell r="J1145">
            <v>0</v>
          </cell>
        </row>
        <row r="1146">
          <cell r="B1146" t="str">
            <v>2.1.06.01.08</v>
          </cell>
          <cell r="C1146" t="str">
            <v>Utang Belanja Gaji dan Tunjangan Perangkat Lembaga Wali Nanggroe</v>
          </cell>
          <cell r="F1146">
            <v>0</v>
          </cell>
          <cell r="G1146">
            <v>0</v>
          </cell>
          <cell r="H1146">
            <v>0</v>
          </cell>
          <cell r="I1146">
            <v>0</v>
          </cell>
          <cell r="J1146">
            <v>0</v>
          </cell>
        </row>
        <row r="1147">
          <cell r="B1147" t="str">
            <v>2.1.06.01.88</v>
          </cell>
          <cell r="C1147" t="str">
            <v>Utang Belanja Pegawai BOS</v>
          </cell>
          <cell r="F1147">
            <v>0</v>
          </cell>
          <cell r="G1147">
            <v>0</v>
          </cell>
          <cell r="H1147">
            <v>0</v>
          </cell>
          <cell r="I1147">
            <v>0</v>
          </cell>
          <cell r="J1147">
            <v>0</v>
          </cell>
        </row>
        <row r="1148">
          <cell r="B1148" t="str">
            <v>2.1.06.01.89</v>
          </cell>
          <cell r="C1148" t="str">
            <v>Utang Belanja Pegawai BOSP</v>
          </cell>
          <cell r="F1148">
            <v>0</v>
          </cell>
          <cell r="G1148">
            <v>0</v>
          </cell>
          <cell r="H1148">
            <v>0</v>
          </cell>
          <cell r="I1148">
            <v>0</v>
          </cell>
          <cell r="J1148">
            <v>0</v>
          </cell>
        </row>
        <row r="1149">
          <cell r="B1149" t="str">
            <v>2.1.06.01.99</v>
          </cell>
          <cell r="C1149" t="str">
            <v>Utang Belanja Pegawai BLUD</v>
          </cell>
          <cell r="D1149">
            <v>1101047322</v>
          </cell>
          <cell r="E1149">
            <v>4091292740</v>
          </cell>
          <cell r="F1149">
            <v>0</v>
          </cell>
          <cell r="G1149">
            <v>0</v>
          </cell>
          <cell r="H1149">
            <v>0</v>
          </cell>
          <cell r="I1149">
            <v>0</v>
          </cell>
          <cell r="J1149">
            <v>4091292740</v>
          </cell>
        </row>
        <row r="1150">
          <cell r="B1150" t="str">
            <v>2.1.06.02</v>
          </cell>
          <cell r="C1150" t="str">
            <v>Utang Belanja Barang dan Jasa</v>
          </cell>
          <cell r="D1150">
            <v>15161270978.85</v>
          </cell>
          <cell r="E1150">
            <v>11708146116</v>
          </cell>
          <cell r="J1150">
            <v>11708146116</v>
          </cell>
        </row>
        <row r="1151">
          <cell r="B1151" t="str">
            <v>2.1.06.02.01</v>
          </cell>
          <cell r="C1151" t="str">
            <v>Utang Belanja Barang</v>
          </cell>
          <cell r="E1151">
            <v>89818810</v>
          </cell>
          <cell r="F1151">
            <v>0</v>
          </cell>
          <cell r="G1151">
            <v>0</v>
          </cell>
          <cell r="H1151">
            <v>0</v>
          </cell>
          <cell r="I1151">
            <v>0</v>
          </cell>
          <cell r="J1151">
            <v>89818810</v>
          </cell>
        </row>
        <row r="1152">
          <cell r="B1152" t="str">
            <v>2.1.06.02.02</v>
          </cell>
          <cell r="C1152" t="str">
            <v>Utang Belanja Jasa</v>
          </cell>
          <cell r="D1152">
            <v>45000000</v>
          </cell>
          <cell r="E1152">
            <v>45000000</v>
          </cell>
          <cell r="F1152">
            <v>0</v>
          </cell>
          <cell r="G1152">
            <v>0</v>
          </cell>
          <cell r="H1152">
            <v>0</v>
          </cell>
          <cell r="I1152">
            <v>0</v>
          </cell>
          <cell r="J1152">
            <v>45000000</v>
          </cell>
        </row>
        <row r="1153">
          <cell r="B1153" t="str">
            <v>2.1.06.02.03</v>
          </cell>
          <cell r="C1153" t="str">
            <v>Utang Belanja Pemeliharaan</v>
          </cell>
          <cell r="F1153">
            <v>0</v>
          </cell>
          <cell r="G1153">
            <v>0</v>
          </cell>
          <cell r="H1153">
            <v>0</v>
          </cell>
          <cell r="I1153">
            <v>0</v>
          </cell>
          <cell r="J1153">
            <v>0</v>
          </cell>
        </row>
        <row r="1154">
          <cell r="B1154" t="str">
            <v>2.1.06.02.04</v>
          </cell>
          <cell r="C1154" t="str">
            <v>Utang Belanja Perjalanan Dinas</v>
          </cell>
          <cell r="F1154">
            <v>0</v>
          </cell>
          <cell r="G1154">
            <v>0</v>
          </cell>
          <cell r="H1154">
            <v>0</v>
          </cell>
          <cell r="I1154">
            <v>0</v>
          </cell>
          <cell r="J1154">
            <v>0</v>
          </cell>
        </row>
        <row r="1155">
          <cell r="B1155" t="str">
            <v>2.1.06.02.05</v>
          </cell>
          <cell r="C1155" t="str">
            <v>Utang Belanja Uang dan/atau Jasa untuk Diberikan kepada Pihak Ketiga/Pihak Lain/Masyarakat</v>
          </cell>
          <cell r="F1155">
            <v>0</v>
          </cell>
          <cell r="G1155">
            <v>0</v>
          </cell>
          <cell r="H1155">
            <v>0</v>
          </cell>
          <cell r="I1155">
            <v>0</v>
          </cell>
          <cell r="J1155">
            <v>0</v>
          </cell>
        </row>
        <row r="1156">
          <cell r="B1156" t="str">
            <v>2.1.06.02.06</v>
          </cell>
          <cell r="C1156" t="str">
            <v>Utang Belanja Penunjang Otonomi Khusus*)</v>
          </cell>
          <cell r="F1156">
            <v>0</v>
          </cell>
          <cell r="G1156">
            <v>0</v>
          </cell>
          <cell r="H1156">
            <v>0</v>
          </cell>
          <cell r="I1156">
            <v>0</v>
          </cell>
          <cell r="J1156">
            <v>0</v>
          </cell>
        </row>
        <row r="1157">
          <cell r="B1157" t="str">
            <v>2.1.06.02.88</v>
          </cell>
          <cell r="C1157" t="str">
            <v>Utang Belanja Barang dan Jasa BOS</v>
          </cell>
          <cell r="F1157">
            <v>0</v>
          </cell>
          <cell r="G1157">
            <v>0</v>
          </cell>
          <cell r="H1157">
            <v>0</v>
          </cell>
          <cell r="I1157">
            <v>0</v>
          </cell>
          <cell r="J1157">
            <v>0</v>
          </cell>
        </row>
        <row r="1158">
          <cell r="B1158" t="str">
            <v>2.1.06.02.89</v>
          </cell>
          <cell r="C1158" t="str">
            <v>Utang Belanja Barang dan Jasa BOSP</v>
          </cell>
          <cell r="F1158">
            <v>0</v>
          </cell>
          <cell r="G1158">
            <v>0</v>
          </cell>
          <cell r="H1158">
            <v>0</v>
          </cell>
          <cell r="I1158">
            <v>0</v>
          </cell>
          <cell r="J1158">
            <v>0</v>
          </cell>
        </row>
        <row r="1159">
          <cell r="B1159" t="str">
            <v>2.1.06.02.90</v>
          </cell>
          <cell r="C1159" t="str">
            <v>Utang Belanja Barang dan Jasa BOK Puskesmas</v>
          </cell>
          <cell r="F1159">
            <v>0</v>
          </cell>
          <cell r="G1159">
            <v>0</v>
          </cell>
          <cell r="H1159">
            <v>0</v>
          </cell>
          <cell r="I1159">
            <v>0</v>
          </cell>
          <cell r="J1159">
            <v>0</v>
          </cell>
        </row>
        <row r="1160">
          <cell r="B1160" t="str">
            <v>2.1.06.02.99</v>
          </cell>
          <cell r="C1160" t="str">
            <v>Utang Belanja Barang dan Jasa BLUD</v>
          </cell>
          <cell r="D1160">
            <v>15116270978.85</v>
          </cell>
          <cell r="E1160">
            <v>11573327306</v>
          </cell>
          <cell r="F1160">
            <v>0</v>
          </cell>
          <cell r="G1160">
            <v>0</v>
          </cell>
          <cell r="H1160">
            <v>0</v>
          </cell>
          <cell r="I1160">
            <v>0</v>
          </cell>
          <cell r="J1160">
            <v>11573327306</v>
          </cell>
        </row>
        <row r="1161">
          <cell r="B1161" t="str">
            <v>2.1.06.03</v>
          </cell>
          <cell r="C1161" t="str">
            <v>Utang Belanja Bunga</v>
          </cell>
          <cell r="D1161">
            <v>0</v>
          </cell>
          <cell r="E1161">
            <v>0</v>
          </cell>
          <cell r="J1161">
            <v>0</v>
          </cell>
        </row>
        <row r="1162">
          <cell r="B1162" t="str">
            <v>2.1.06.03.01</v>
          </cell>
          <cell r="C1162" t="str">
            <v>Utang Belanja Bunga atas Pinjaman kepada Pemerintah Pusat</v>
          </cell>
          <cell r="F1162">
            <v>0</v>
          </cell>
          <cell r="G1162">
            <v>0</v>
          </cell>
          <cell r="H1162">
            <v>0</v>
          </cell>
          <cell r="I1162">
            <v>0</v>
          </cell>
          <cell r="J1162">
            <v>0</v>
          </cell>
        </row>
        <row r="1163">
          <cell r="B1163" t="str">
            <v>2.1.06.03.02</v>
          </cell>
          <cell r="C1163" t="str">
            <v>Utang Belanja Bunga atas Pinjaman kepada Pemerintah Daerah Lainnya</v>
          </cell>
          <cell r="F1163">
            <v>0</v>
          </cell>
          <cell r="G1163">
            <v>0</v>
          </cell>
          <cell r="H1163">
            <v>0</v>
          </cell>
          <cell r="I1163">
            <v>0</v>
          </cell>
          <cell r="J1163">
            <v>0</v>
          </cell>
        </row>
        <row r="1164">
          <cell r="B1164" t="str">
            <v>2.1.06.03.03</v>
          </cell>
          <cell r="C1164" t="str">
            <v>Utang Belanja Bunga atas Pinjaman kepada Lembaga Keuangan Bank</v>
          </cell>
          <cell r="F1164">
            <v>0</v>
          </cell>
          <cell r="G1164">
            <v>0</v>
          </cell>
          <cell r="H1164">
            <v>0</v>
          </cell>
          <cell r="I1164">
            <v>0</v>
          </cell>
          <cell r="J1164">
            <v>0</v>
          </cell>
        </row>
        <row r="1165">
          <cell r="B1165" t="str">
            <v>2.1.06.03.04</v>
          </cell>
          <cell r="C1165" t="str">
            <v>Utang Belanja Bunga atas Pinjaman kepada Lembaga Keuangan Bukan Bank</v>
          </cell>
          <cell r="F1165">
            <v>0</v>
          </cell>
          <cell r="G1165">
            <v>0</v>
          </cell>
          <cell r="H1165">
            <v>0</v>
          </cell>
          <cell r="I1165">
            <v>0</v>
          </cell>
          <cell r="J1165">
            <v>0</v>
          </cell>
        </row>
        <row r="1166">
          <cell r="B1166" t="str">
            <v>2.1.06.03.05</v>
          </cell>
          <cell r="C1166" t="str">
            <v>Utang Belanja Bunga atas Pinjaman kepada Masyarakat</v>
          </cell>
          <cell r="F1166">
            <v>0</v>
          </cell>
          <cell r="G1166">
            <v>0</v>
          </cell>
          <cell r="H1166">
            <v>0</v>
          </cell>
          <cell r="I1166">
            <v>0</v>
          </cell>
          <cell r="J1166">
            <v>0</v>
          </cell>
        </row>
        <row r="1167">
          <cell r="B1167" t="str">
            <v>2.1.06.03.06</v>
          </cell>
          <cell r="C1167" t="str">
            <v>Utang Belanja Bunga atas Pinjaman melalui BLUD</v>
          </cell>
          <cell r="F1167">
            <v>0</v>
          </cell>
          <cell r="G1167">
            <v>0</v>
          </cell>
          <cell r="H1167">
            <v>0</v>
          </cell>
          <cell r="I1167">
            <v>0</v>
          </cell>
          <cell r="J1167">
            <v>0</v>
          </cell>
        </row>
        <row r="1168">
          <cell r="B1168" t="str">
            <v>2.1.06.03.07</v>
          </cell>
          <cell r="C1168" t="str">
            <v>Utang Belanja Bunga Pembiayaan Utang Daerah-Pinjaman Daerah</v>
          </cell>
          <cell r="F1168">
            <v>0</v>
          </cell>
          <cell r="G1168">
            <v>0</v>
          </cell>
          <cell r="H1168">
            <v>0</v>
          </cell>
          <cell r="I1168">
            <v>0</v>
          </cell>
          <cell r="J1168">
            <v>0</v>
          </cell>
        </row>
        <row r="1169">
          <cell r="B1169" t="str">
            <v>2.1.06.03.08</v>
          </cell>
          <cell r="C1169" t="str">
            <v>Utang Belanja Bunga Pembiayaan Utang Daerah-Obligasi Daerah</v>
          </cell>
          <cell r="F1169">
            <v>0</v>
          </cell>
          <cell r="G1169">
            <v>0</v>
          </cell>
          <cell r="H1169">
            <v>0</v>
          </cell>
          <cell r="I1169">
            <v>0</v>
          </cell>
          <cell r="J1169">
            <v>0</v>
          </cell>
        </row>
        <row r="1170">
          <cell r="B1170" t="str">
            <v>2.1.06.04</v>
          </cell>
          <cell r="C1170" t="str">
            <v>Utang Belanja Subsidi</v>
          </cell>
          <cell r="D1170">
            <v>0</v>
          </cell>
          <cell r="E1170">
            <v>0</v>
          </cell>
          <cell r="J1170">
            <v>0</v>
          </cell>
        </row>
        <row r="1171">
          <cell r="B1171" t="str">
            <v>2.1.06.04.01</v>
          </cell>
          <cell r="C1171" t="str">
            <v>Utang Belanja Subsidi kepada BUMN</v>
          </cell>
          <cell r="F1171">
            <v>0</v>
          </cell>
          <cell r="G1171">
            <v>0</v>
          </cell>
          <cell r="H1171">
            <v>0</v>
          </cell>
          <cell r="I1171">
            <v>0</v>
          </cell>
          <cell r="J1171">
            <v>0</v>
          </cell>
        </row>
        <row r="1172">
          <cell r="B1172" t="str">
            <v>2.1.06.04.02</v>
          </cell>
          <cell r="C1172" t="str">
            <v>Utang Belanja Subsidi kepada BUMD</v>
          </cell>
          <cell r="F1172">
            <v>0</v>
          </cell>
          <cell r="G1172">
            <v>0</v>
          </cell>
          <cell r="H1172">
            <v>0</v>
          </cell>
          <cell r="I1172">
            <v>0</v>
          </cell>
          <cell r="J1172">
            <v>0</v>
          </cell>
        </row>
        <row r="1173">
          <cell r="B1173" t="str">
            <v>2.1.06.04.03</v>
          </cell>
          <cell r="C1173" t="str">
            <v>Utang Belanja Subsidi kepada Badan Usaha Milik Swasta</v>
          </cell>
          <cell r="F1173">
            <v>0</v>
          </cell>
          <cell r="G1173">
            <v>0</v>
          </cell>
          <cell r="H1173">
            <v>0</v>
          </cell>
          <cell r="I1173">
            <v>0</v>
          </cell>
          <cell r="J1173">
            <v>0</v>
          </cell>
        </row>
        <row r="1174">
          <cell r="B1174" t="str">
            <v>2.1.06.04.04</v>
          </cell>
          <cell r="C1174" t="str">
            <v>Utang Belanja Subsidi kepada Koperasi</v>
          </cell>
          <cell r="F1174">
            <v>0</v>
          </cell>
          <cell r="G1174">
            <v>0</v>
          </cell>
          <cell r="H1174">
            <v>0</v>
          </cell>
          <cell r="I1174">
            <v>0</v>
          </cell>
          <cell r="J1174">
            <v>0</v>
          </cell>
        </row>
        <row r="1175">
          <cell r="B1175" t="str">
            <v>2.1.06.05</v>
          </cell>
          <cell r="C1175" t="str">
            <v>Utang Belanja Hibah</v>
          </cell>
          <cell r="D1175">
            <v>0</v>
          </cell>
          <cell r="E1175">
            <v>0</v>
          </cell>
          <cell r="J1175">
            <v>0</v>
          </cell>
        </row>
        <row r="1176">
          <cell r="B1176" t="str">
            <v>2.1.06.05.01</v>
          </cell>
          <cell r="C1176" t="str">
            <v>Utang Belanja Hibah kepada Pemerintah Pusat</v>
          </cell>
          <cell r="F1176">
            <v>0</v>
          </cell>
          <cell r="G1176">
            <v>0</v>
          </cell>
          <cell r="H1176">
            <v>0</v>
          </cell>
          <cell r="I1176">
            <v>0</v>
          </cell>
          <cell r="J1176">
            <v>0</v>
          </cell>
        </row>
        <row r="1177">
          <cell r="B1177" t="str">
            <v>2.1.06.05.02</v>
          </cell>
          <cell r="C1177" t="str">
            <v>Utang Belanja Hibah kepada Pemerintah Daerah Lainnya</v>
          </cell>
          <cell r="F1177">
            <v>0</v>
          </cell>
          <cell r="G1177">
            <v>0</v>
          </cell>
          <cell r="H1177">
            <v>0</v>
          </cell>
          <cell r="I1177">
            <v>0</v>
          </cell>
          <cell r="J1177">
            <v>0</v>
          </cell>
        </row>
        <row r="1178">
          <cell r="B1178" t="str">
            <v>2.1.06.05.03</v>
          </cell>
          <cell r="C1178" t="str">
            <v>Utang Belanja Hibah kepada BUMN</v>
          </cell>
          <cell r="F1178">
            <v>0</v>
          </cell>
          <cell r="G1178">
            <v>0</v>
          </cell>
          <cell r="H1178">
            <v>0</v>
          </cell>
          <cell r="I1178">
            <v>0</v>
          </cell>
          <cell r="J1178">
            <v>0</v>
          </cell>
        </row>
        <row r="1179">
          <cell r="B1179" t="str">
            <v>2.1.06.05.04</v>
          </cell>
          <cell r="C1179" t="str">
            <v>Utang Belanja Hibah kepada BUMD</v>
          </cell>
          <cell r="F1179">
            <v>0</v>
          </cell>
          <cell r="G1179">
            <v>0</v>
          </cell>
          <cell r="H1179">
            <v>0</v>
          </cell>
          <cell r="I1179">
            <v>0</v>
          </cell>
          <cell r="J1179">
            <v>0</v>
          </cell>
        </row>
        <row r="1180">
          <cell r="B1180" t="str">
            <v>2.1.06.05.05</v>
          </cell>
          <cell r="C1180" t="str">
            <v>Utang Belanja Hibah kepada Badan, Lembaga, Organisasi Kemasyarakatan yang Berbadan Hukum Indonesia</v>
          </cell>
          <cell r="F1180">
            <v>0</v>
          </cell>
          <cell r="G1180">
            <v>0</v>
          </cell>
          <cell r="H1180">
            <v>0</v>
          </cell>
          <cell r="I1180">
            <v>0</v>
          </cell>
          <cell r="J1180">
            <v>0</v>
          </cell>
        </row>
        <row r="1181">
          <cell r="B1181" t="str">
            <v>2.1.06.05.06</v>
          </cell>
          <cell r="C1181" t="str">
            <v>Utang Belanja Belanja Hibah Dana BOS</v>
          </cell>
          <cell r="F1181">
            <v>0</v>
          </cell>
          <cell r="G1181">
            <v>0</v>
          </cell>
          <cell r="H1181">
            <v>0</v>
          </cell>
          <cell r="I1181">
            <v>0</v>
          </cell>
          <cell r="J1181">
            <v>0</v>
          </cell>
        </row>
        <row r="1182">
          <cell r="B1182" t="str">
            <v>2.1.06.05.07</v>
          </cell>
          <cell r="C1182" t="str">
            <v>Utang Belanja Hibah Bantuan Keuangan kepada Partai Politik</v>
          </cell>
          <cell r="F1182">
            <v>0</v>
          </cell>
          <cell r="G1182">
            <v>0</v>
          </cell>
          <cell r="H1182">
            <v>0</v>
          </cell>
          <cell r="I1182">
            <v>0</v>
          </cell>
          <cell r="J1182">
            <v>0</v>
          </cell>
        </row>
        <row r="1183">
          <cell r="B1183" t="str">
            <v>2.1.06.05.08</v>
          </cell>
          <cell r="C1183" t="str">
            <v>Utang Belanja Hibah Dana BOSP</v>
          </cell>
          <cell r="F1183">
            <v>0</v>
          </cell>
          <cell r="G1183">
            <v>0</v>
          </cell>
          <cell r="H1183">
            <v>0</v>
          </cell>
          <cell r="I1183">
            <v>0</v>
          </cell>
          <cell r="J1183">
            <v>0</v>
          </cell>
        </row>
        <row r="1184">
          <cell r="B1184" t="str">
            <v>2.1.06.05.09</v>
          </cell>
          <cell r="C1184" t="str">
            <v>Utang Belanja Hibah kepada BUMDesa</v>
          </cell>
          <cell r="F1184">
            <v>0</v>
          </cell>
          <cell r="G1184">
            <v>0</v>
          </cell>
          <cell r="H1184">
            <v>0</v>
          </cell>
          <cell r="I1184">
            <v>0</v>
          </cell>
          <cell r="J1184">
            <v>0</v>
          </cell>
        </row>
        <row r="1185">
          <cell r="B1185" t="str">
            <v>2.1.06.05.10</v>
          </cell>
          <cell r="C1185" t="str">
            <v>Utang Belanja Hibah kepada Koperasi</v>
          </cell>
          <cell r="F1185">
            <v>0</v>
          </cell>
          <cell r="G1185">
            <v>0</v>
          </cell>
          <cell r="H1185">
            <v>0</v>
          </cell>
          <cell r="I1185">
            <v>0</v>
          </cell>
          <cell r="J1185">
            <v>0</v>
          </cell>
        </row>
        <row r="1186">
          <cell r="B1186" t="str">
            <v>2.1.06.06</v>
          </cell>
          <cell r="C1186" t="str">
            <v>Utang Belanja Modal Tanah</v>
          </cell>
          <cell r="D1186">
            <v>0</v>
          </cell>
          <cell r="E1186">
            <v>6879075</v>
          </cell>
          <cell r="J1186">
            <v>6879075</v>
          </cell>
        </row>
        <row r="1187">
          <cell r="B1187" t="str">
            <v>2.1.06.06.01</v>
          </cell>
          <cell r="C1187" t="str">
            <v>Utang Belanja Modal Tanah</v>
          </cell>
          <cell r="E1187">
            <v>6879075</v>
          </cell>
          <cell r="F1187">
            <v>0</v>
          </cell>
          <cell r="G1187">
            <v>0</v>
          </cell>
          <cell r="H1187">
            <v>0</v>
          </cell>
          <cell r="I1187">
            <v>0</v>
          </cell>
          <cell r="J1187">
            <v>6879075</v>
          </cell>
        </row>
        <row r="1188">
          <cell r="B1188" t="str">
            <v>2.1.06.06.99</v>
          </cell>
          <cell r="C1188" t="str">
            <v>Utang Belanja Modal Tanah BLUD</v>
          </cell>
          <cell r="F1188">
            <v>0</v>
          </cell>
          <cell r="G1188">
            <v>0</v>
          </cell>
          <cell r="H1188">
            <v>0</v>
          </cell>
          <cell r="I1188">
            <v>0</v>
          </cell>
          <cell r="J1188">
            <v>0</v>
          </cell>
        </row>
        <row r="1189">
          <cell r="B1189" t="str">
            <v>2.1.06.07</v>
          </cell>
          <cell r="C1189" t="str">
            <v>Utang Belanja Modal Peralatan dan Mesin</v>
          </cell>
          <cell r="D1189">
            <v>0</v>
          </cell>
          <cell r="E1189">
            <v>0</v>
          </cell>
          <cell r="J1189">
            <v>0</v>
          </cell>
        </row>
        <row r="1190">
          <cell r="B1190" t="str">
            <v>2.1.06.07.01</v>
          </cell>
          <cell r="C1190" t="str">
            <v>Utang Belanja Modal Alat Besar</v>
          </cell>
          <cell r="F1190">
            <v>0</v>
          </cell>
          <cell r="G1190">
            <v>0</v>
          </cell>
          <cell r="H1190">
            <v>0</v>
          </cell>
          <cell r="I1190">
            <v>0</v>
          </cell>
          <cell r="J1190">
            <v>0</v>
          </cell>
        </row>
        <row r="1191">
          <cell r="B1191" t="str">
            <v>2.1.06.07.02</v>
          </cell>
          <cell r="C1191" t="str">
            <v>Utang Belanja Modal Alat Angkutan</v>
          </cell>
          <cell r="F1191">
            <v>0</v>
          </cell>
          <cell r="G1191">
            <v>0</v>
          </cell>
          <cell r="H1191">
            <v>0</v>
          </cell>
          <cell r="I1191">
            <v>0</v>
          </cell>
          <cell r="J1191">
            <v>0</v>
          </cell>
        </row>
        <row r="1192">
          <cell r="B1192" t="str">
            <v>2.1.06.07.03</v>
          </cell>
          <cell r="C1192" t="str">
            <v>Utang Belanja Modal Alat Bengkel dan Alat Ukur</v>
          </cell>
          <cell r="F1192">
            <v>0</v>
          </cell>
          <cell r="G1192">
            <v>0</v>
          </cell>
          <cell r="H1192">
            <v>0</v>
          </cell>
          <cell r="I1192">
            <v>0</v>
          </cell>
          <cell r="J1192">
            <v>0</v>
          </cell>
        </row>
        <row r="1193">
          <cell r="B1193" t="str">
            <v>2.1.06.07.04</v>
          </cell>
          <cell r="C1193" t="str">
            <v>Utang Belanja Modal Alat Pertanian</v>
          </cell>
          <cell r="F1193">
            <v>0</v>
          </cell>
          <cell r="G1193">
            <v>0</v>
          </cell>
          <cell r="H1193">
            <v>0</v>
          </cell>
          <cell r="I1193">
            <v>0</v>
          </cell>
          <cell r="J1193">
            <v>0</v>
          </cell>
        </row>
        <row r="1194">
          <cell r="B1194" t="str">
            <v>2.1.06.07.05</v>
          </cell>
          <cell r="C1194" t="str">
            <v>Utang Belanja Modal Alat Kantor dan Rumah Tangga</v>
          </cell>
          <cell r="F1194">
            <v>0</v>
          </cell>
          <cell r="G1194">
            <v>0</v>
          </cell>
          <cell r="H1194">
            <v>0</v>
          </cell>
          <cell r="I1194">
            <v>0</v>
          </cell>
          <cell r="J1194">
            <v>0</v>
          </cell>
        </row>
        <row r="1195">
          <cell r="B1195" t="str">
            <v>2.1.06.07.06</v>
          </cell>
          <cell r="C1195" t="str">
            <v>Utang Belanja Modal Alat Studio, Komunikasi, dan Pemancar</v>
          </cell>
          <cell r="F1195">
            <v>0</v>
          </cell>
          <cell r="G1195">
            <v>0</v>
          </cell>
          <cell r="H1195">
            <v>0</v>
          </cell>
          <cell r="I1195">
            <v>0</v>
          </cell>
          <cell r="J1195">
            <v>0</v>
          </cell>
        </row>
        <row r="1196">
          <cell r="B1196" t="str">
            <v>2.1.06.07.07</v>
          </cell>
          <cell r="C1196" t="str">
            <v>Utang Belanja Alat Kedokteran dan Kesehatan</v>
          </cell>
          <cell r="F1196">
            <v>0</v>
          </cell>
          <cell r="G1196">
            <v>0</v>
          </cell>
          <cell r="H1196">
            <v>0</v>
          </cell>
          <cell r="I1196">
            <v>0</v>
          </cell>
          <cell r="J1196">
            <v>0</v>
          </cell>
        </row>
        <row r="1197">
          <cell r="B1197" t="str">
            <v>2.1.06.07.08</v>
          </cell>
          <cell r="C1197" t="str">
            <v>Utang Belanja Modal Alat Laboratorium</v>
          </cell>
          <cell r="F1197">
            <v>0</v>
          </cell>
          <cell r="G1197">
            <v>0</v>
          </cell>
          <cell r="H1197">
            <v>0</v>
          </cell>
          <cell r="I1197">
            <v>0</v>
          </cell>
          <cell r="J1197">
            <v>0</v>
          </cell>
        </row>
        <row r="1198">
          <cell r="B1198" t="str">
            <v>2.1.06.07.10</v>
          </cell>
          <cell r="C1198" t="str">
            <v>Utang Belanja Modal Komputer</v>
          </cell>
          <cell r="F1198">
            <v>0</v>
          </cell>
          <cell r="G1198">
            <v>0</v>
          </cell>
          <cell r="H1198">
            <v>0</v>
          </cell>
          <cell r="I1198">
            <v>0</v>
          </cell>
          <cell r="J1198">
            <v>0</v>
          </cell>
        </row>
        <row r="1199">
          <cell r="B1199" t="str">
            <v>2.1.06.07.11</v>
          </cell>
          <cell r="C1199" t="str">
            <v>Utang Belanja Modal Alat Eksplorasi</v>
          </cell>
          <cell r="F1199">
            <v>0</v>
          </cell>
          <cell r="G1199">
            <v>0</v>
          </cell>
          <cell r="H1199">
            <v>0</v>
          </cell>
          <cell r="I1199">
            <v>0</v>
          </cell>
          <cell r="J1199">
            <v>0</v>
          </cell>
        </row>
        <row r="1200">
          <cell r="B1200" t="str">
            <v>2.1.06.07.12</v>
          </cell>
          <cell r="C1200" t="str">
            <v>Utang Belanja Modal Alat Pengeboran</v>
          </cell>
          <cell r="F1200">
            <v>0</v>
          </cell>
          <cell r="G1200">
            <v>0</v>
          </cell>
          <cell r="H1200">
            <v>0</v>
          </cell>
          <cell r="I1200">
            <v>0</v>
          </cell>
          <cell r="J1200">
            <v>0</v>
          </cell>
        </row>
        <row r="1201">
          <cell r="B1201" t="str">
            <v>2.1.06.07.13</v>
          </cell>
          <cell r="C1201" t="str">
            <v>Utang Belanja Modal Alat Produksi, Pengolahan, dan Pemurnian</v>
          </cell>
          <cell r="F1201">
            <v>0</v>
          </cell>
          <cell r="G1201">
            <v>0</v>
          </cell>
          <cell r="H1201">
            <v>0</v>
          </cell>
          <cell r="I1201">
            <v>0</v>
          </cell>
          <cell r="J1201">
            <v>0</v>
          </cell>
        </row>
        <row r="1202">
          <cell r="B1202" t="str">
            <v>2.1.06.07.14</v>
          </cell>
          <cell r="C1202" t="str">
            <v>Utang Belanja Modal Alat Bantu Eksplorasi</v>
          </cell>
          <cell r="F1202">
            <v>0</v>
          </cell>
          <cell r="G1202">
            <v>0</v>
          </cell>
          <cell r="H1202">
            <v>0</v>
          </cell>
          <cell r="I1202">
            <v>0</v>
          </cell>
          <cell r="J1202">
            <v>0</v>
          </cell>
        </row>
        <row r="1203">
          <cell r="B1203" t="str">
            <v>2.1.06.07.15</v>
          </cell>
          <cell r="C1203" t="str">
            <v>Utang Belanja Modal Alat Keselamatan Kerja</v>
          </cell>
          <cell r="F1203">
            <v>0</v>
          </cell>
          <cell r="G1203">
            <v>0</v>
          </cell>
          <cell r="H1203">
            <v>0</v>
          </cell>
          <cell r="I1203">
            <v>0</v>
          </cell>
          <cell r="J1203">
            <v>0</v>
          </cell>
        </row>
        <row r="1204">
          <cell r="B1204" t="str">
            <v>2.1.06.07.16</v>
          </cell>
          <cell r="C1204" t="str">
            <v>Utang Belanja Modal Alat Peraga</v>
          </cell>
          <cell r="F1204">
            <v>0</v>
          </cell>
          <cell r="G1204">
            <v>0</v>
          </cell>
          <cell r="H1204">
            <v>0</v>
          </cell>
          <cell r="I1204">
            <v>0</v>
          </cell>
          <cell r="J1204">
            <v>0</v>
          </cell>
        </row>
        <row r="1205">
          <cell r="B1205" t="str">
            <v>2.1.06.07.17</v>
          </cell>
          <cell r="C1205" t="str">
            <v>Utang Belanja Modal Peralatan Proses/Produksi</v>
          </cell>
          <cell r="F1205">
            <v>0</v>
          </cell>
          <cell r="G1205">
            <v>0</v>
          </cell>
          <cell r="H1205">
            <v>0</v>
          </cell>
          <cell r="I1205">
            <v>0</v>
          </cell>
          <cell r="J1205">
            <v>0</v>
          </cell>
        </row>
        <row r="1206">
          <cell r="B1206" t="str">
            <v>2.1.06.07.18</v>
          </cell>
          <cell r="C1206" t="str">
            <v>Utang Belanja Modal Rambu-Rambu</v>
          </cell>
          <cell r="F1206">
            <v>0</v>
          </cell>
          <cell r="G1206">
            <v>0</v>
          </cell>
          <cell r="H1206">
            <v>0</v>
          </cell>
          <cell r="I1206">
            <v>0</v>
          </cell>
          <cell r="J1206">
            <v>0</v>
          </cell>
        </row>
        <row r="1207">
          <cell r="B1207" t="str">
            <v>2.1.06.07.19</v>
          </cell>
          <cell r="C1207" t="str">
            <v>Utang Belanja Modal Peralatan Olahraga</v>
          </cell>
          <cell r="F1207">
            <v>0</v>
          </cell>
          <cell r="G1207">
            <v>0</v>
          </cell>
          <cell r="H1207">
            <v>0</v>
          </cell>
          <cell r="I1207">
            <v>0</v>
          </cell>
          <cell r="J1207">
            <v>0</v>
          </cell>
        </row>
        <row r="1208">
          <cell r="B1208" t="str">
            <v>2.1.06.07.88</v>
          </cell>
          <cell r="C1208" t="str">
            <v>Utang Belanja Modal Peralatan dan Mesin BOS</v>
          </cell>
          <cell r="F1208">
            <v>0</v>
          </cell>
          <cell r="G1208">
            <v>0</v>
          </cell>
          <cell r="H1208">
            <v>0</v>
          </cell>
          <cell r="I1208">
            <v>0</v>
          </cell>
          <cell r="J1208">
            <v>0</v>
          </cell>
        </row>
        <row r="1209">
          <cell r="B1209" t="str">
            <v>2.1.06.07.89</v>
          </cell>
          <cell r="C1209" t="str">
            <v>Utang Belanja Modal Peralatan dan Mesin BOSP</v>
          </cell>
          <cell r="F1209">
            <v>0</v>
          </cell>
          <cell r="G1209">
            <v>0</v>
          </cell>
          <cell r="H1209">
            <v>0</v>
          </cell>
          <cell r="I1209">
            <v>0</v>
          </cell>
          <cell r="J1209">
            <v>0</v>
          </cell>
        </row>
        <row r="1210">
          <cell r="B1210" t="str">
            <v>2.1.06.07.99</v>
          </cell>
          <cell r="C1210" t="str">
            <v>Utang Belanja Modal Peralatan dan Mesin BLUD</v>
          </cell>
          <cell r="F1210">
            <v>0</v>
          </cell>
          <cell r="G1210">
            <v>0</v>
          </cell>
          <cell r="H1210">
            <v>0</v>
          </cell>
          <cell r="I1210">
            <v>0</v>
          </cell>
          <cell r="J1210">
            <v>0</v>
          </cell>
        </row>
        <row r="1211">
          <cell r="B1211" t="str">
            <v>2.1.06.08</v>
          </cell>
          <cell r="C1211" t="str">
            <v>Utang Belanja Modal Gedung dan Bangunan</v>
          </cell>
          <cell r="D1211">
            <v>2905768435</v>
          </cell>
          <cell r="E1211">
            <v>771798245</v>
          </cell>
          <cell r="J1211">
            <v>771798245</v>
          </cell>
        </row>
        <row r="1212">
          <cell r="B1212" t="str">
            <v>2.1.06.08.01</v>
          </cell>
          <cell r="C1212" t="str">
            <v>Utang Belanja Modal Bangunan Gedung</v>
          </cell>
          <cell r="D1212">
            <v>2905768435</v>
          </cell>
          <cell r="E1212">
            <v>771798245</v>
          </cell>
          <cell r="F1212">
            <v>0</v>
          </cell>
          <cell r="G1212">
            <v>0</v>
          </cell>
          <cell r="H1212">
            <v>0</v>
          </cell>
          <cell r="I1212">
            <v>0</v>
          </cell>
          <cell r="J1212">
            <v>771798245</v>
          </cell>
        </row>
        <row r="1213">
          <cell r="B1213" t="str">
            <v>2.1.06.08.02</v>
          </cell>
          <cell r="C1213" t="str">
            <v>Utang Belanja Modal Monumen</v>
          </cell>
          <cell r="F1213">
            <v>0</v>
          </cell>
          <cell r="G1213">
            <v>0</v>
          </cell>
          <cell r="H1213">
            <v>0</v>
          </cell>
          <cell r="I1213">
            <v>0</v>
          </cell>
          <cell r="J1213">
            <v>0</v>
          </cell>
        </row>
        <row r="1214">
          <cell r="B1214" t="str">
            <v>2.1.06.08.03</v>
          </cell>
          <cell r="C1214" t="str">
            <v>Belanja Modal Bangunan Menara</v>
          </cell>
          <cell r="F1214">
            <v>0</v>
          </cell>
          <cell r="G1214">
            <v>0</v>
          </cell>
          <cell r="H1214">
            <v>0</v>
          </cell>
          <cell r="I1214">
            <v>0</v>
          </cell>
          <cell r="J1214">
            <v>0</v>
          </cell>
        </row>
        <row r="1215">
          <cell r="B1215" t="str">
            <v>2.1.06.08.04</v>
          </cell>
          <cell r="C1215" t="str">
            <v>Utang Belanja Modal Tugu Titik Kontrol/Pasti</v>
          </cell>
          <cell r="F1215">
            <v>0</v>
          </cell>
          <cell r="G1215">
            <v>0</v>
          </cell>
          <cell r="H1215">
            <v>0</v>
          </cell>
          <cell r="I1215">
            <v>0</v>
          </cell>
          <cell r="J1215">
            <v>0</v>
          </cell>
        </row>
        <row r="1216">
          <cell r="B1216" t="str">
            <v>2.1.06.08.99</v>
          </cell>
          <cell r="C1216" t="str">
            <v>Utang Belanja Modal Gedung dan Bangunan BLUD</v>
          </cell>
          <cell r="F1216">
            <v>0</v>
          </cell>
          <cell r="G1216">
            <v>0</v>
          </cell>
          <cell r="H1216">
            <v>0</v>
          </cell>
          <cell r="I1216">
            <v>0</v>
          </cell>
          <cell r="J1216">
            <v>0</v>
          </cell>
        </row>
        <row r="1217">
          <cell r="B1217" t="str">
            <v>2.1.06.09</v>
          </cell>
          <cell r="C1217" t="str">
            <v>Utang Belanja Modal Jalan, Jaringan, dan Irigasi</v>
          </cell>
          <cell r="D1217">
            <v>1119246498</v>
          </cell>
          <cell r="E1217">
            <v>904302785</v>
          </cell>
          <cell r="J1217">
            <v>904302785</v>
          </cell>
        </row>
        <row r="1218">
          <cell r="B1218" t="str">
            <v>2.1.06.09.01</v>
          </cell>
          <cell r="C1218" t="str">
            <v>Utang Belanja Modal Jalan, dan Jembatan</v>
          </cell>
          <cell r="D1218">
            <v>998675950</v>
          </cell>
          <cell r="E1218">
            <v>783732237</v>
          </cell>
          <cell r="F1218">
            <v>0</v>
          </cell>
          <cell r="G1218">
            <v>0</v>
          </cell>
          <cell r="H1218">
            <v>0</v>
          </cell>
          <cell r="I1218">
            <v>0</v>
          </cell>
          <cell r="J1218">
            <v>783732237</v>
          </cell>
        </row>
        <row r="1219">
          <cell r="B1219" t="str">
            <v>2.1.06.09.02</v>
          </cell>
          <cell r="C1219" t="str">
            <v>Utang Belanja Modal Bangunan Air</v>
          </cell>
          <cell r="D1219">
            <v>120570548</v>
          </cell>
          <cell r="E1219">
            <v>120570548</v>
          </cell>
          <cell r="F1219">
            <v>0</v>
          </cell>
          <cell r="G1219">
            <v>0</v>
          </cell>
          <cell r="H1219">
            <v>0</v>
          </cell>
          <cell r="I1219">
            <v>0</v>
          </cell>
          <cell r="J1219">
            <v>120570548</v>
          </cell>
        </row>
        <row r="1220">
          <cell r="B1220" t="str">
            <v>2.1.06.09.03</v>
          </cell>
          <cell r="C1220" t="str">
            <v>Utang Belanja Modal Instalasi</v>
          </cell>
          <cell r="F1220">
            <v>0</v>
          </cell>
          <cell r="G1220">
            <v>0</v>
          </cell>
          <cell r="H1220">
            <v>0</v>
          </cell>
          <cell r="I1220">
            <v>0</v>
          </cell>
          <cell r="J1220">
            <v>0</v>
          </cell>
        </row>
        <row r="1221">
          <cell r="B1221" t="str">
            <v>2.1.06.09.04</v>
          </cell>
          <cell r="C1221" t="str">
            <v>Utang Belanja Modal Jaringan</v>
          </cell>
          <cell r="F1221">
            <v>0</v>
          </cell>
          <cell r="G1221">
            <v>0</v>
          </cell>
          <cell r="H1221">
            <v>0</v>
          </cell>
          <cell r="I1221">
            <v>0</v>
          </cell>
          <cell r="J1221">
            <v>0</v>
          </cell>
        </row>
        <row r="1222">
          <cell r="B1222" t="str">
            <v>2.1.06.09.99</v>
          </cell>
          <cell r="C1222" t="str">
            <v>Utang Belanja Modal Jalan, Jaringan, dan Irigasi BLUD</v>
          </cell>
          <cell r="F1222">
            <v>0</v>
          </cell>
          <cell r="G1222">
            <v>0</v>
          </cell>
          <cell r="H1222">
            <v>0</v>
          </cell>
          <cell r="I1222">
            <v>0</v>
          </cell>
          <cell r="J1222">
            <v>0</v>
          </cell>
        </row>
        <row r="1223">
          <cell r="B1223" t="str">
            <v>2.1.06.10</v>
          </cell>
          <cell r="C1223" t="str">
            <v>Utang Belanja Aset Tetap Lainnya</v>
          </cell>
          <cell r="D1223">
            <v>0</v>
          </cell>
          <cell r="E1223">
            <v>0</v>
          </cell>
          <cell r="J1223">
            <v>0</v>
          </cell>
        </row>
        <row r="1224">
          <cell r="B1224" t="str">
            <v>2.1.06.10.01</v>
          </cell>
          <cell r="C1224" t="str">
            <v>Utang Belanja Modal Bahan Perpustakaan</v>
          </cell>
          <cell r="F1224">
            <v>0</v>
          </cell>
          <cell r="G1224">
            <v>0</v>
          </cell>
          <cell r="H1224">
            <v>0</v>
          </cell>
          <cell r="I1224">
            <v>0</v>
          </cell>
          <cell r="J1224">
            <v>0</v>
          </cell>
        </row>
        <row r="1225">
          <cell r="B1225" t="str">
            <v>2.1.06.10.02</v>
          </cell>
          <cell r="C1225" t="str">
            <v>Utang Belanja Modal Barang Bercorak Kesenian/Kebudayaan/Olahraga</v>
          </cell>
          <cell r="F1225">
            <v>0</v>
          </cell>
          <cell r="G1225">
            <v>0</v>
          </cell>
          <cell r="H1225">
            <v>0</v>
          </cell>
          <cell r="I1225">
            <v>0</v>
          </cell>
          <cell r="J1225">
            <v>0</v>
          </cell>
        </row>
        <row r="1226">
          <cell r="B1226" t="str">
            <v>2.1.06.10.03</v>
          </cell>
          <cell r="C1226" t="str">
            <v>Utang Belanja Modal Hewan</v>
          </cell>
          <cell r="F1226">
            <v>0</v>
          </cell>
          <cell r="G1226">
            <v>0</v>
          </cell>
          <cell r="H1226">
            <v>0</v>
          </cell>
          <cell r="I1226">
            <v>0</v>
          </cell>
          <cell r="J1226">
            <v>0</v>
          </cell>
        </row>
        <row r="1227">
          <cell r="B1227" t="str">
            <v>2.1.06.10.04</v>
          </cell>
          <cell r="C1227" t="str">
            <v>Utang Belanja Modal Biota Perairan</v>
          </cell>
          <cell r="F1227">
            <v>0</v>
          </cell>
          <cell r="G1227">
            <v>0</v>
          </cell>
          <cell r="H1227">
            <v>0</v>
          </cell>
          <cell r="I1227">
            <v>0</v>
          </cell>
          <cell r="J1227">
            <v>0</v>
          </cell>
        </row>
        <row r="1228">
          <cell r="B1228" t="str">
            <v>2.1.06.10.05</v>
          </cell>
          <cell r="C1228" t="str">
            <v>Utang Belanja Modal Tanaman</v>
          </cell>
          <cell r="F1228">
            <v>0</v>
          </cell>
          <cell r="G1228">
            <v>0</v>
          </cell>
          <cell r="H1228">
            <v>0</v>
          </cell>
          <cell r="I1228">
            <v>0</v>
          </cell>
          <cell r="J1228">
            <v>0</v>
          </cell>
        </row>
        <row r="1229">
          <cell r="B1229" t="str">
            <v>2.1.06.10.06</v>
          </cell>
          <cell r="C1229" t="str">
            <v>Utang Belanja Modal Barang Koleksi Non Budaya</v>
          </cell>
          <cell r="F1229">
            <v>0</v>
          </cell>
          <cell r="G1229">
            <v>0</v>
          </cell>
          <cell r="H1229">
            <v>0</v>
          </cell>
          <cell r="I1229">
            <v>0</v>
          </cell>
          <cell r="J1229">
            <v>0</v>
          </cell>
        </row>
        <row r="1230">
          <cell r="B1230" t="str">
            <v>2.1.06.10.07</v>
          </cell>
          <cell r="C1230" t="str">
            <v>Utang Belanja Modal Aset Tetap Dalam Renovasi</v>
          </cell>
          <cell r="F1230">
            <v>0</v>
          </cell>
          <cell r="G1230">
            <v>0</v>
          </cell>
          <cell r="H1230">
            <v>0</v>
          </cell>
          <cell r="I1230">
            <v>0</v>
          </cell>
          <cell r="J1230">
            <v>0</v>
          </cell>
        </row>
        <row r="1231">
          <cell r="B1231" t="str">
            <v>2.1.06.10.88</v>
          </cell>
          <cell r="C1231" t="str">
            <v>Utang Belanja Modal Aset Tetap Lainnya BOS</v>
          </cell>
          <cell r="F1231">
            <v>0</v>
          </cell>
          <cell r="G1231">
            <v>0</v>
          </cell>
          <cell r="H1231">
            <v>0</v>
          </cell>
          <cell r="I1231">
            <v>0</v>
          </cell>
          <cell r="J1231">
            <v>0</v>
          </cell>
        </row>
        <row r="1232">
          <cell r="B1232" t="str">
            <v>2.1.06.10.89</v>
          </cell>
          <cell r="C1232" t="str">
            <v>Utang Belanja Modal Aset Tetap Lainnya BOSP</v>
          </cell>
          <cell r="F1232">
            <v>0</v>
          </cell>
          <cell r="G1232">
            <v>0</v>
          </cell>
          <cell r="H1232">
            <v>0</v>
          </cell>
          <cell r="I1232">
            <v>0</v>
          </cell>
          <cell r="J1232">
            <v>0</v>
          </cell>
        </row>
        <row r="1233">
          <cell r="B1233" t="str">
            <v>2.1.06.10.99</v>
          </cell>
          <cell r="C1233" t="str">
            <v>Utang Belanja Modal Aset Tetap Lainnya BLUD</v>
          </cell>
          <cell r="F1233">
            <v>0</v>
          </cell>
          <cell r="G1233">
            <v>0</v>
          </cell>
          <cell r="H1233">
            <v>0</v>
          </cell>
          <cell r="I1233">
            <v>0</v>
          </cell>
          <cell r="J1233">
            <v>0</v>
          </cell>
        </row>
        <row r="1234">
          <cell r="B1234" t="str">
            <v>2.1.06.11</v>
          </cell>
          <cell r="C1234" t="str">
            <v>Utang Belanja Tidak Terduga</v>
          </cell>
          <cell r="D1234">
            <v>0</v>
          </cell>
          <cell r="E1234">
            <v>0</v>
          </cell>
          <cell r="J1234">
            <v>0</v>
          </cell>
        </row>
        <row r="1235">
          <cell r="B1235" t="str">
            <v>2.1.06.11.01</v>
          </cell>
          <cell r="C1235" t="str">
            <v>Utang Belanja Tidak Terduga</v>
          </cell>
          <cell r="F1235">
            <v>0</v>
          </cell>
          <cell r="G1235">
            <v>0</v>
          </cell>
          <cell r="H1235">
            <v>0</v>
          </cell>
          <cell r="I1235">
            <v>0</v>
          </cell>
          <cell r="J1235">
            <v>0</v>
          </cell>
        </row>
        <row r="1236">
          <cell r="B1236" t="str">
            <v>2.1.06.12</v>
          </cell>
          <cell r="C1236" t="str">
            <v>Utang Belanja Bagi Hasil</v>
          </cell>
          <cell r="D1236">
            <v>0</v>
          </cell>
          <cell r="E1236">
            <v>0</v>
          </cell>
          <cell r="J1236">
            <v>0</v>
          </cell>
        </row>
        <row r="1237">
          <cell r="B1237" t="str">
            <v>2.1.06.12.01</v>
          </cell>
          <cell r="C1237" t="str">
            <v>Utang Belanja Bagi Hasil Pajak Daerah Kepada Pemerintahan Kabupaten</v>
          </cell>
          <cell r="F1237">
            <v>0</v>
          </cell>
          <cell r="G1237">
            <v>0</v>
          </cell>
          <cell r="H1237">
            <v>0</v>
          </cell>
          <cell r="I1237">
            <v>0</v>
          </cell>
          <cell r="J1237">
            <v>0</v>
          </cell>
        </row>
        <row r="1238">
          <cell r="B1238" t="str">
            <v>2.1.06.12.02</v>
          </cell>
          <cell r="C1238" t="str">
            <v>Utang Belanja Bagi Hasil Pajak Daerah Kepada Pemerintahan Kota</v>
          </cell>
          <cell r="F1238">
            <v>0</v>
          </cell>
          <cell r="G1238">
            <v>0</v>
          </cell>
          <cell r="H1238">
            <v>0</v>
          </cell>
          <cell r="I1238">
            <v>0</v>
          </cell>
          <cell r="J1238">
            <v>0</v>
          </cell>
        </row>
        <row r="1239">
          <cell r="B1239" t="str">
            <v>2.1.06.12.03</v>
          </cell>
          <cell r="C1239" t="str">
            <v>Utang Belanja Bagi Hasil Pajak Daerah Kepada Pemerintahan Desa</v>
          </cell>
          <cell r="F1239">
            <v>0</v>
          </cell>
          <cell r="G1239">
            <v>0</v>
          </cell>
          <cell r="H1239">
            <v>0</v>
          </cell>
          <cell r="I1239">
            <v>0</v>
          </cell>
          <cell r="J1239">
            <v>0</v>
          </cell>
        </row>
        <row r="1240">
          <cell r="B1240" t="str">
            <v>2.1.06.12.04</v>
          </cell>
          <cell r="C1240" t="str">
            <v>Utang Belanja Bagi Hasil Retribusi Daerah Kabupaten/Kota Kepada Pemerintah Desa</v>
          </cell>
          <cell r="F1240">
            <v>0</v>
          </cell>
          <cell r="G1240">
            <v>0</v>
          </cell>
          <cell r="H1240">
            <v>0</v>
          </cell>
          <cell r="I1240">
            <v>0</v>
          </cell>
          <cell r="J1240">
            <v>0</v>
          </cell>
        </row>
        <row r="1241">
          <cell r="B1241" t="str">
            <v>2.1.06.13</v>
          </cell>
          <cell r="C1241" t="str">
            <v>Utang Belanja Bantuan Keuangan</v>
          </cell>
          <cell r="D1241">
            <v>0</v>
          </cell>
          <cell r="E1241">
            <v>0</v>
          </cell>
          <cell r="J1241">
            <v>0</v>
          </cell>
        </row>
        <row r="1242">
          <cell r="B1242" t="str">
            <v>2.1.06.13.01</v>
          </cell>
          <cell r="C1242" t="str">
            <v>Utang Belanja Bantuan Keuangan Umum antar Daerah Provinsi</v>
          </cell>
          <cell r="F1242">
            <v>0</v>
          </cell>
          <cell r="G1242">
            <v>0</v>
          </cell>
          <cell r="H1242">
            <v>0</v>
          </cell>
          <cell r="I1242">
            <v>0</v>
          </cell>
          <cell r="J1242">
            <v>0</v>
          </cell>
        </row>
        <row r="1243">
          <cell r="B1243" t="str">
            <v>2.1.06.13.02</v>
          </cell>
          <cell r="C1243" t="str">
            <v>Utang Belanja Bantuan Keuangan Khusus antar Daerah Provinsi</v>
          </cell>
          <cell r="F1243">
            <v>0</v>
          </cell>
          <cell r="G1243">
            <v>0</v>
          </cell>
          <cell r="H1243">
            <v>0</v>
          </cell>
          <cell r="I1243">
            <v>0</v>
          </cell>
          <cell r="J1243">
            <v>0</v>
          </cell>
        </row>
        <row r="1244">
          <cell r="B1244" t="str">
            <v>2.1.06.13.03</v>
          </cell>
          <cell r="C1244" t="str">
            <v>Utang Belanja Bantuan Keuangan Umum antar Daerah Kabupaten/Kota</v>
          </cell>
          <cell r="F1244">
            <v>0</v>
          </cell>
          <cell r="G1244">
            <v>0</v>
          </cell>
          <cell r="H1244">
            <v>0</v>
          </cell>
          <cell r="I1244">
            <v>0</v>
          </cell>
          <cell r="J1244">
            <v>0</v>
          </cell>
        </row>
        <row r="1245">
          <cell r="B1245" t="str">
            <v>2.1.06.13.04</v>
          </cell>
          <cell r="C1245" t="str">
            <v>Utang Belanja Bantuan Keuangan Khusus antar Pemerintah Kabupaten/Kota</v>
          </cell>
          <cell r="F1245">
            <v>0</v>
          </cell>
          <cell r="G1245">
            <v>0</v>
          </cell>
          <cell r="H1245">
            <v>0</v>
          </cell>
          <cell r="I1245">
            <v>0</v>
          </cell>
          <cell r="J1245">
            <v>0</v>
          </cell>
        </row>
        <row r="1246">
          <cell r="B1246" t="str">
            <v>2.1.06.13.05</v>
          </cell>
          <cell r="C1246" t="str">
            <v>Utang Belanja Bantuan Keuangan Umum Daerah Provinsi kepada Kabupaten/Kota</v>
          </cell>
          <cell r="F1246">
            <v>0</v>
          </cell>
          <cell r="G1246">
            <v>0</v>
          </cell>
          <cell r="H1246">
            <v>0</v>
          </cell>
          <cell r="I1246">
            <v>0</v>
          </cell>
          <cell r="J1246">
            <v>0</v>
          </cell>
        </row>
        <row r="1247">
          <cell r="B1247" t="str">
            <v>2.1.06.13.06</v>
          </cell>
          <cell r="C1247" t="str">
            <v>Utang Belanja Bantuan Keuangan Khusus Daerah Provinsi kepada Kabupaten/Kota</v>
          </cell>
          <cell r="F1247">
            <v>0</v>
          </cell>
          <cell r="G1247">
            <v>0</v>
          </cell>
          <cell r="H1247">
            <v>0</v>
          </cell>
          <cell r="I1247">
            <v>0</v>
          </cell>
          <cell r="J1247">
            <v>0</v>
          </cell>
        </row>
        <row r="1248">
          <cell r="B1248" t="str">
            <v>2.1.06.13.07</v>
          </cell>
          <cell r="C1248" t="str">
            <v>Utang Belanja Bantuan Keuangan Umum Daerah Kabupaten/Kota kepada Provinsi</v>
          </cell>
          <cell r="F1248">
            <v>0</v>
          </cell>
          <cell r="G1248">
            <v>0</v>
          </cell>
          <cell r="H1248">
            <v>0</v>
          </cell>
          <cell r="I1248">
            <v>0</v>
          </cell>
          <cell r="J1248">
            <v>0</v>
          </cell>
        </row>
        <row r="1249">
          <cell r="B1249" t="str">
            <v>2.1.06.13.08</v>
          </cell>
          <cell r="C1249" t="str">
            <v>Utang Belanja Bantuan Keuangan Khusus Daerah Kabupaten/Kota kepada Provinsi</v>
          </cell>
          <cell r="F1249">
            <v>0</v>
          </cell>
          <cell r="G1249">
            <v>0</v>
          </cell>
          <cell r="H1249">
            <v>0</v>
          </cell>
          <cell r="I1249">
            <v>0</v>
          </cell>
          <cell r="J1249">
            <v>0</v>
          </cell>
        </row>
        <row r="1250">
          <cell r="B1250" t="str">
            <v>2.1.06.13.09</v>
          </cell>
          <cell r="C1250" t="str">
            <v>Utang Belanja Bantuan Keuangan Umum Daerah Provinsi atau Kabupaten/Kota kepada Desa</v>
          </cell>
          <cell r="F1250">
            <v>0</v>
          </cell>
          <cell r="G1250">
            <v>0</v>
          </cell>
          <cell r="H1250">
            <v>0</v>
          </cell>
          <cell r="I1250">
            <v>0</v>
          </cell>
          <cell r="J1250">
            <v>0</v>
          </cell>
        </row>
        <row r="1251">
          <cell r="B1251" t="str">
            <v>2.1.06.13.10</v>
          </cell>
          <cell r="C1251" t="str">
            <v>Utang Belanja Bantuan Keuangan Khusus Daerah Provinsi atau Kabupaten/Kota kepada Desa</v>
          </cell>
          <cell r="F1251">
            <v>0</v>
          </cell>
          <cell r="G1251">
            <v>0</v>
          </cell>
          <cell r="H1251">
            <v>0</v>
          </cell>
          <cell r="I1251">
            <v>0</v>
          </cell>
          <cell r="J1251">
            <v>0</v>
          </cell>
        </row>
        <row r="1252">
          <cell r="B1252" t="str">
            <v>2.1.06.13.11</v>
          </cell>
          <cell r="C1252" t="str">
            <v>Utang Belanja Transfer Dana Otonomi Khusus Provinsi kepada Kabupaten/Kota</v>
          </cell>
          <cell r="F1252">
            <v>0</v>
          </cell>
          <cell r="G1252">
            <v>0</v>
          </cell>
          <cell r="H1252">
            <v>0</v>
          </cell>
          <cell r="I1252">
            <v>0</v>
          </cell>
          <cell r="J1252">
            <v>0</v>
          </cell>
        </row>
        <row r="1253">
          <cell r="B1253" t="str">
            <v>2.1.06.14</v>
          </cell>
          <cell r="C1253" t="str">
            <v>Utang Belanja Modal Aset Lainnya-Aset Tidak Berwujud</v>
          </cell>
          <cell r="D1253">
            <v>0</v>
          </cell>
          <cell r="E1253">
            <v>0</v>
          </cell>
          <cell r="J1253">
            <v>0</v>
          </cell>
        </row>
        <row r="1254">
          <cell r="B1254" t="str">
            <v>2.1.06.14.01</v>
          </cell>
          <cell r="C1254" t="str">
            <v>Utang Belanja Modal Aset Tidak Berwujud</v>
          </cell>
          <cell r="F1254">
            <v>0</v>
          </cell>
          <cell r="G1254">
            <v>0</v>
          </cell>
          <cell r="H1254">
            <v>0</v>
          </cell>
          <cell r="I1254">
            <v>0</v>
          </cell>
          <cell r="J1254">
            <v>0</v>
          </cell>
        </row>
        <row r="1255">
          <cell r="B1255" t="str">
            <v>2.1.06.15</v>
          </cell>
          <cell r="C1255" t="str">
            <v>Utang Belanja Modal Aset Lainnya BLUD</v>
          </cell>
          <cell r="D1255">
            <v>0</v>
          </cell>
          <cell r="E1255">
            <v>0</v>
          </cell>
          <cell r="J1255">
            <v>0</v>
          </cell>
        </row>
        <row r="1256">
          <cell r="B1256" t="str">
            <v>2.1.06.15.99</v>
          </cell>
          <cell r="C1256" t="str">
            <v>Utang Belanja Modal Aset Lainnya BLUD</v>
          </cell>
          <cell r="F1256">
            <v>0</v>
          </cell>
          <cell r="G1256">
            <v>0</v>
          </cell>
          <cell r="H1256">
            <v>0</v>
          </cell>
          <cell r="I1256">
            <v>0</v>
          </cell>
          <cell r="J1256">
            <v>0</v>
          </cell>
        </row>
        <row r="1257">
          <cell r="B1257" t="str">
            <v>2.1.06.16</v>
          </cell>
          <cell r="C1257" t="str">
            <v>Utang Belanja Bantuan Sosial</v>
          </cell>
          <cell r="D1257">
            <v>0</v>
          </cell>
          <cell r="E1257">
            <v>0</v>
          </cell>
          <cell r="J1257">
            <v>0</v>
          </cell>
        </row>
        <row r="1258">
          <cell r="B1258" t="str">
            <v>2.1.06.16.01</v>
          </cell>
          <cell r="C1258" t="str">
            <v>Utang Belanja Bantuan Sosial yang direncanakan kepada Individu</v>
          </cell>
          <cell r="F1258">
            <v>0</v>
          </cell>
          <cell r="G1258">
            <v>0</v>
          </cell>
          <cell r="H1258">
            <v>0</v>
          </cell>
          <cell r="I1258">
            <v>0</v>
          </cell>
          <cell r="J1258">
            <v>0</v>
          </cell>
        </row>
        <row r="1259">
          <cell r="B1259" t="str">
            <v>2.1.06.16.02</v>
          </cell>
          <cell r="C1259" t="str">
            <v>Utang Belanja Bantuan Sosial kepada Keluarga</v>
          </cell>
          <cell r="F1259">
            <v>0</v>
          </cell>
          <cell r="G1259">
            <v>0</v>
          </cell>
          <cell r="H1259">
            <v>0</v>
          </cell>
          <cell r="I1259">
            <v>0</v>
          </cell>
          <cell r="J1259">
            <v>0</v>
          </cell>
        </row>
        <row r="1260">
          <cell r="B1260" t="str">
            <v>2.1.06.16.03</v>
          </cell>
          <cell r="C1260" t="str">
            <v>Utang Belanja Bantuan Sosial kepada Kelompok Masyarakat</v>
          </cell>
          <cell r="F1260">
            <v>0</v>
          </cell>
          <cell r="G1260">
            <v>0</v>
          </cell>
          <cell r="H1260">
            <v>0</v>
          </cell>
          <cell r="I1260">
            <v>0</v>
          </cell>
          <cell r="J1260">
            <v>0</v>
          </cell>
        </row>
        <row r="1261">
          <cell r="B1261" t="str">
            <v>2.1.06.16.04</v>
          </cell>
          <cell r="C1261" t="str">
            <v>Utang Belanja Bantuan Sosial kepada Lembaga Non Pemerintahan (Bidang Pendidikan, Keagamaan dan Bidang Lainnya)</v>
          </cell>
          <cell r="F1261">
            <v>0</v>
          </cell>
          <cell r="G1261">
            <v>0</v>
          </cell>
          <cell r="H1261">
            <v>0</v>
          </cell>
          <cell r="I1261">
            <v>0</v>
          </cell>
          <cell r="J1261">
            <v>0</v>
          </cell>
        </row>
        <row r="1262">
          <cell r="B1262" t="str">
            <v>2.1.06.17</v>
          </cell>
          <cell r="C1262" t="str">
            <v>Utang Belanja Imbalan</v>
          </cell>
          <cell r="D1262">
            <v>0</v>
          </cell>
          <cell r="E1262">
            <v>0</v>
          </cell>
          <cell r="J1262">
            <v>0</v>
          </cell>
        </row>
        <row r="1263">
          <cell r="B1263" t="str">
            <v>2.1.06.17.01</v>
          </cell>
          <cell r="C1263" t="str">
            <v>Utang Belanja Imbalan Sukuk Daerah</v>
          </cell>
          <cell r="F1263">
            <v>0</v>
          </cell>
          <cell r="G1263">
            <v>0</v>
          </cell>
          <cell r="H1263">
            <v>0</v>
          </cell>
          <cell r="I1263">
            <v>0</v>
          </cell>
          <cell r="J1263">
            <v>0</v>
          </cell>
        </row>
        <row r="1265">
          <cell r="B1265" t="str">
            <v>2.1.07</v>
          </cell>
          <cell r="C1265" t="str">
            <v>Utang Jangka Pendek Lainnya</v>
          </cell>
          <cell r="D1265">
            <v>2840327000</v>
          </cell>
          <cell r="E1265">
            <v>2840327000</v>
          </cell>
          <cell r="J1265">
            <v>2840327000</v>
          </cell>
        </row>
        <row r="1266">
          <cell r="B1266" t="str">
            <v>2.1.07.01</v>
          </cell>
          <cell r="C1266" t="str">
            <v>Utang Kelebihan Pembayaran PAD</v>
          </cell>
          <cell r="D1266">
            <v>0</v>
          </cell>
          <cell r="E1266">
            <v>0</v>
          </cell>
          <cell r="J1266">
            <v>0</v>
          </cell>
        </row>
        <row r="1267">
          <cell r="B1267" t="str">
            <v>2.1.07.01.01</v>
          </cell>
          <cell r="C1267" t="str">
            <v>Utang Kelebihan Pembayaran Pajak</v>
          </cell>
          <cell r="F1267">
            <v>0</v>
          </cell>
          <cell r="G1267">
            <v>0</v>
          </cell>
          <cell r="H1267">
            <v>0</v>
          </cell>
          <cell r="I1267">
            <v>0</v>
          </cell>
          <cell r="J1267">
            <v>0</v>
          </cell>
        </row>
        <row r="1268">
          <cell r="B1268" t="str">
            <v>2.1.07.01.02</v>
          </cell>
          <cell r="C1268" t="str">
            <v>Utang Kelebihan Pembayaran Retribusi</v>
          </cell>
          <cell r="F1268">
            <v>0</v>
          </cell>
          <cell r="G1268">
            <v>0</v>
          </cell>
          <cell r="H1268">
            <v>0</v>
          </cell>
          <cell r="I1268">
            <v>0</v>
          </cell>
          <cell r="J1268">
            <v>0</v>
          </cell>
        </row>
        <row r="1269">
          <cell r="B1269" t="str">
            <v>2.1.07.01.03</v>
          </cell>
          <cell r="C1269" t="str">
            <v>Utang Kelebihan Pembayaran Hasil Pengelolaan Kekayaan Daerah Yang Dipisahkan</v>
          </cell>
          <cell r="F1269">
            <v>0</v>
          </cell>
          <cell r="G1269">
            <v>0</v>
          </cell>
          <cell r="H1269">
            <v>0</v>
          </cell>
          <cell r="I1269">
            <v>0</v>
          </cell>
          <cell r="J1269">
            <v>0</v>
          </cell>
        </row>
        <row r="1270">
          <cell r="B1270" t="str">
            <v>2.1.07.01.04</v>
          </cell>
          <cell r="C1270" t="str">
            <v>Utang Kelebihan Pembayaran Lain-Lain PAD Yang Sah</v>
          </cell>
          <cell r="F1270">
            <v>0</v>
          </cell>
          <cell r="G1270">
            <v>0</v>
          </cell>
          <cell r="H1270">
            <v>0</v>
          </cell>
          <cell r="I1270">
            <v>0</v>
          </cell>
          <cell r="J1270">
            <v>0</v>
          </cell>
        </row>
        <row r="1271">
          <cell r="B1271" t="str">
            <v>2.1.07.02</v>
          </cell>
          <cell r="C1271" t="str">
            <v>Utang Kelebihan Pembayaran Transfer</v>
          </cell>
          <cell r="D1271">
            <v>2840327000</v>
          </cell>
          <cell r="E1271">
            <v>2840327000</v>
          </cell>
          <cell r="J1271">
            <v>2840327000</v>
          </cell>
        </row>
        <row r="1272">
          <cell r="B1272" t="str">
            <v>2.1.07.02.01</v>
          </cell>
          <cell r="C1272" t="str">
            <v>Utang Kelebihan Pembayaran Transfer Pemerintah Pusat-Dana Perimbangan</v>
          </cell>
          <cell r="D1272">
            <v>2840327000</v>
          </cell>
          <cell r="E1272">
            <v>2840327000</v>
          </cell>
          <cell r="F1272">
            <v>0</v>
          </cell>
          <cell r="G1272">
            <v>0</v>
          </cell>
          <cell r="H1272">
            <v>0</v>
          </cell>
          <cell r="I1272">
            <v>0</v>
          </cell>
          <cell r="J1272">
            <v>2840327000</v>
          </cell>
        </row>
        <row r="1273">
          <cell r="B1273" t="str">
            <v>2.1.07.02.02</v>
          </cell>
          <cell r="C1273" t="str">
            <v>Utang Kelebihan Pembayaran Transfer Antar Daerah</v>
          </cell>
          <cell r="F1273">
            <v>0</v>
          </cell>
          <cell r="G1273">
            <v>0</v>
          </cell>
          <cell r="H1273">
            <v>0</v>
          </cell>
          <cell r="I1273">
            <v>0</v>
          </cell>
          <cell r="J1273">
            <v>0</v>
          </cell>
        </row>
        <row r="1274">
          <cell r="B1274" t="str">
            <v>2.1.07.03</v>
          </cell>
          <cell r="C1274" t="str">
            <v>Utang Kelebihan Pembayaran Lain-Lain Pendapatan Daerah yang Sah</v>
          </cell>
          <cell r="D1274">
            <v>0</v>
          </cell>
          <cell r="E1274">
            <v>0</v>
          </cell>
          <cell r="J1274">
            <v>0</v>
          </cell>
        </row>
        <row r="1275">
          <cell r="B1275" t="str">
            <v>2.1.07.03.01</v>
          </cell>
          <cell r="C1275" t="str">
            <v>Utang Kelebihan Pembayaran Hibah</v>
          </cell>
          <cell r="F1275">
            <v>0</v>
          </cell>
          <cell r="G1275">
            <v>0</v>
          </cell>
          <cell r="H1275">
            <v>0</v>
          </cell>
          <cell r="I1275">
            <v>0</v>
          </cell>
          <cell r="J1275">
            <v>0</v>
          </cell>
        </row>
        <row r="1276">
          <cell r="B1276" t="str">
            <v>2.1.07.03.02</v>
          </cell>
          <cell r="C1276" t="str">
            <v>Utang Kelebihan Pembayaran Lain-lain Pendapatan Sesuai dengan Ketentuan Peraturan Perundang-Undangan</v>
          </cell>
          <cell r="F1276">
            <v>0</v>
          </cell>
          <cell r="G1276">
            <v>0</v>
          </cell>
          <cell r="H1276">
            <v>0</v>
          </cell>
          <cell r="I1276">
            <v>0</v>
          </cell>
          <cell r="J1276">
            <v>0</v>
          </cell>
        </row>
        <row r="1277">
          <cell r="B1277" t="str">
            <v>2.1.07.03.03</v>
          </cell>
          <cell r="C1277" t="str">
            <v>Utang Kelebihan Pembayaran Dana Darurat</v>
          </cell>
          <cell r="F1277">
            <v>0</v>
          </cell>
          <cell r="G1277">
            <v>0</v>
          </cell>
          <cell r="H1277">
            <v>0</v>
          </cell>
          <cell r="I1277">
            <v>0</v>
          </cell>
          <cell r="J1277">
            <v>0</v>
          </cell>
        </row>
        <row r="1278">
          <cell r="B1278" t="str">
            <v>2.1.07.04</v>
          </cell>
          <cell r="C1278" t="str">
            <v>Utang Kemitraan dengan Pihak Ketiga</v>
          </cell>
          <cell r="D1278">
            <v>0</v>
          </cell>
          <cell r="E1278">
            <v>0</v>
          </cell>
          <cell r="J1278">
            <v>0</v>
          </cell>
        </row>
        <row r="1279">
          <cell r="B1279" t="str">
            <v>2.1.07.04.01</v>
          </cell>
          <cell r="C1279" t="str">
            <v>Utang Kemitraan dengan Pihak Ketiga-Sewa</v>
          </cell>
          <cell r="F1279">
            <v>0</v>
          </cell>
          <cell r="G1279">
            <v>0</v>
          </cell>
          <cell r="H1279">
            <v>0</v>
          </cell>
          <cell r="I1279">
            <v>0</v>
          </cell>
          <cell r="J1279">
            <v>0</v>
          </cell>
        </row>
        <row r="1280">
          <cell r="B1280" t="str">
            <v>2.1.07.04.02</v>
          </cell>
          <cell r="C1280" t="str">
            <v>Utang Kemitraan dengan Pihak Ketiga-Kerja Sama Pemanfaatan</v>
          </cell>
          <cell r="F1280">
            <v>0</v>
          </cell>
          <cell r="G1280">
            <v>0</v>
          </cell>
          <cell r="H1280">
            <v>0</v>
          </cell>
          <cell r="I1280">
            <v>0</v>
          </cell>
          <cell r="J1280">
            <v>0</v>
          </cell>
        </row>
        <row r="1281">
          <cell r="B1281" t="str">
            <v>2.1.07.04.03</v>
          </cell>
          <cell r="C1281" t="str">
            <v>Utang Kemitraan dengan Pihak Ketiga-Bangun Guna Serah/Bangun Serah Guna (BGS/BSG)</v>
          </cell>
          <cell r="F1281">
            <v>0</v>
          </cell>
          <cell r="G1281">
            <v>0</v>
          </cell>
          <cell r="H1281">
            <v>0</v>
          </cell>
          <cell r="I1281">
            <v>0</v>
          </cell>
          <cell r="J1281">
            <v>0</v>
          </cell>
        </row>
        <row r="1282">
          <cell r="B1282" t="str">
            <v>2.1.07.04.04</v>
          </cell>
          <cell r="C1282" t="str">
            <v>Utang Kemitraan dengan Pihak Ketiga-Kerja Sama Penyediaan Infrastruktur</v>
          </cell>
          <cell r="F1282">
            <v>0</v>
          </cell>
          <cell r="G1282">
            <v>0</v>
          </cell>
          <cell r="H1282">
            <v>0</v>
          </cell>
          <cell r="I1282">
            <v>0</v>
          </cell>
          <cell r="J1282">
            <v>0</v>
          </cell>
        </row>
        <row r="1284">
          <cell r="B1284" t="str">
            <v>2.2</v>
          </cell>
          <cell r="C1284" t="str">
            <v>KEWAJIBAN JANGKA PANJANG</v>
          </cell>
          <cell r="D1284">
            <v>0</v>
          </cell>
          <cell r="E1284">
            <v>0</v>
          </cell>
          <cell r="J1284">
            <v>0</v>
          </cell>
        </row>
        <row r="1285">
          <cell r="B1285" t="str">
            <v>2.2.01</v>
          </cell>
          <cell r="C1285" t="str">
            <v>Utang kepada Pemerintah Pusat</v>
          </cell>
          <cell r="D1285">
            <v>0</v>
          </cell>
          <cell r="E1285">
            <v>0</v>
          </cell>
          <cell r="J1285">
            <v>0</v>
          </cell>
        </row>
        <row r="1286">
          <cell r="B1286" t="str">
            <v>2.2.01.01</v>
          </cell>
          <cell r="C1286" t="str">
            <v>Utang atas Penerusan Pinjaman Dalam Negeri</v>
          </cell>
          <cell r="D1286">
            <v>0</v>
          </cell>
          <cell r="E1286">
            <v>0</v>
          </cell>
          <cell r="J1286">
            <v>0</v>
          </cell>
        </row>
        <row r="1287">
          <cell r="B1287" t="str">
            <v>2.2.01.01.01</v>
          </cell>
          <cell r="C1287" t="str">
            <v>Utang atas Penerusan Pinjaman Dalam Negeri-Jangka Menengah</v>
          </cell>
          <cell r="F1287">
            <v>0</v>
          </cell>
          <cell r="G1287">
            <v>0</v>
          </cell>
          <cell r="H1287">
            <v>0</v>
          </cell>
          <cell r="I1287">
            <v>0</v>
          </cell>
          <cell r="J1287">
            <v>0</v>
          </cell>
        </row>
        <row r="1288">
          <cell r="B1288" t="str">
            <v>2.2.01.01.02</v>
          </cell>
          <cell r="C1288" t="str">
            <v>Utang atas Penerusan Pinjaman Dalam Negeri-Jangka Panjang</v>
          </cell>
          <cell r="F1288">
            <v>0</v>
          </cell>
          <cell r="G1288">
            <v>0</v>
          </cell>
          <cell r="H1288">
            <v>0</v>
          </cell>
          <cell r="I1288">
            <v>0</v>
          </cell>
          <cell r="J1288">
            <v>0</v>
          </cell>
        </row>
        <row r="1289">
          <cell r="B1289" t="str">
            <v>2.2.01.02</v>
          </cell>
          <cell r="C1289" t="str">
            <v>Utang atas Penerusan Pinjaman Luar Negeri</v>
          </cell>
          <cell r="D1289">
            <v>0</v>
          </cell>
          <cell r="E1289">
            <v>0</v>
          </cell>
          <cell r="J1289">
            <v>0</v>
          </cell>
        </row>
        <row r="1290">
          <cell r="B1290" t="str">
            <v>2.2.01.02.01</v>
          </cell>
          <cell r="C1290" t="str">
            <v>Utang atas Penerusan Pinjaman Luar Negeri-Jangka Menengah</v>
          </cell>
          <cell r="F1290">
            <v>0</v>
          </cell>
          <cell r="G1290">
            <v>0</v>
          </cell>
          <cell r="H1290">
            <v>0</v>
          </cell>
          <cell r="I1290">
            <v>0</v>
          </cell>
          <cell r="J1290">
            <v>0</v>
          </cell>
        </row>
        <row r="1291">
          <cell r="B1291" t="str">
            <v>2.2.01.02.02</v>
          </cell>
          <cell r="C1291" t="str">
            <v>Utang atas Penerusan Pinjaman Luar Negeri-Jangka Panjang</v>
          </cell>
          <cell r="F1291">
            <v>0</v>
          </cell>
          <cell r="G1291">
            <v>0</v>
          </cell>
          <cell r="H1291">
            <v>0</v>
          </cell>
          <cell r="I1291">
            <v>0</v>
          </cell>
          <cell r="J1291">
            <v>0</v>
          </cell>
        </row>
        <row r="1292">
          <cell r="B1292" t="str">
            <v>2.2.01.03</v>
          </cell>
          <cell r="C1292" t="str">
            <v>Sumber Lainnya sesuai Ketentuan Peraturan Perundang-Undangan</v>
          </cell>
          <cell r="D1292">
            <v>0</v>
          </cell>
          <cell r="E1292">
            <v>0</v>
          </cell>
          <cell r="J1292">
            <v>0</v>
          </cell>
        </row>
        <row r="1293">
          <cell r="B1293" t="str">
            <v>2.2.01.03.01</v>
          </cell>
          <cell r="C1293" t="str">
            <v>Sumber Lainnya sesuai Ketentuan Peraturan Perundang-Undangan-Jangka Menengah</v>
          </cell>
          <cell r="F1293">
            <v>0</v>
          </cell>
          <cell r="G1293">
            <v>0</v>
          </cell>
          <cell r="H1293">
            <v>0</v>
          </cell>
          <cell r="I1293">
            <v>0</v>
          </cell>
          <cell r="J1293">
            <v>0</v>
          </cell>
        </row>
        <row r="1294">
          <cell r="B1294" t="str">
            <v>2.2.01.03.02</v>
          </cell>
          <cell r="C1294" t="str">
            <v>Sumber Lainnya sesuai Ketentuan Peraturan Perundang-Undangan-Jangka Panjang</v>
          </cell>
          <cell r="F1294">
            <v>0</v>
          </cell>
          <cell r="G1294">
            <v>0</v>
          </cell>
          <cell r="H1294">
            <v>0</v>
          </cell>
          <cell r="I1294">
            <v>0</v>
          </cell>
          <cell r="J1294">
            <v>0</v>
          </cell>
        </row>
        <row r="1296">
          <cell r="B1296" t="str">
            <v>2.2.02</v>
          </cell>
          <cell r="C1296" t="str">
            <v>Utang kepada Lembaga Keuangan Bank (LKB)</v>
          </cell>
          <cell r="D1296">
            <v>0</v>
          </cell>
          <cell r="E1296">
            <v>0</v>
          </cell>
          <cell r="J1296">
            <v>0</v>
          </cell>
        </row>
        <row r="1297">
          <cell r="B1297" t="str">
            <v>2.2.02.01</v>
          </cell>
          <cell r="C1297" t="str">
            <v>Utang kepada Lembaga Keuangan Bank (LKB)-BUMN</v>
          </cell>
          <cell r="D1297">
            <v>0</v>
          </cell>
          <cell r="E1297">
            <v>0</v>
          </cell>
          <cell r="J1297">
            <v>0</v>
          </cell>
        </row>
        <row r="1298">
          <cell r="B1298" t="str">
            <v>2.2.02.01.01</v>
          </cell>
          <cell r="C1298" t="str">
            <v>Utang kepada Lembaga Keuangan Bank (LKB)-BUMN-Jangka Menengah</v>
          </cell>
          <cell r="F1298">
            <v>0</v>
          </cell>
          <cell r="G1298">
            <v>0</v>
          </cell>
          <cell r="H1298">
            <v>0</v>
          </cell>
          <cell r="I1298">
            <v>0</v>
          </cell>
          <cell r="J1298">
            <v>0</v>
          </cell>
        </row>
        <row r="1299">
          <cell r="B1299" t="str">
            <v>2.2.02.01.02</v>
          </cell>
          <cell r="C1299" t="str">
            <v>Utang kepada Lembaga Keuangan Bank (LKB)-BUMN-Jangka Panjang</v>
          </cell>
          <cell r="F1299">
            <v>0</v>
          </cell>
          <cell r="G1299">
            <v>0</v>
          </cell>
          <cell r="H1299">
            <v>0</v>
          </cell>
          <cell r="I1299">
            <v>0</v>
          </cell>
          <cell r="J1299">
            <v>0</v>
          </cell>
        </row>
        <row r="1300">
          <cell r="B1300" t="str">
            <v>2.2.02.02</v>
          </cell>
          <cell r="C1300" t="str">
            <v>Utang kepada Lembaga Keuangan Bank (LKB)-BUMD</v>
          </cell>
          <cell r="D1300">
            <v>0</v>
          </cell>
          <cell r="E1300">
            <v>0</v>
          </cell>
          <cell r="J1300">
            <v>0</v>
          </cell>
        </row>
        <row r="1301">
          <cell r="B1301" t="str">
            <v>2.2.02.02.01</v>
          </cell>
          <cell r="C1301" t="str">
            <v>Utang kepada Lembaga Keuangan Bank (LKB)-BUMD-Jangka Menengah</v>
          </cell>
          <cell r="F1301">
            <v>0</v>
          </cell>
          <cell r="G1301">
            <v>0</v>
          </cell>
          <cell r="H1301">
            <v>0</v>
          </cell>
          <cell r="I1301">
            <v>0</v>
          </cell>
          <cell r="J1301">
            <v>0</v>
          </cell>
        </row>
        <row r="1302">
          <cell r="B1302" t="str">
            <v>2.2.02.02.02</v>
          </cell>
          <cell r="C1302" t="str">
            <v>Utang kepada Lembaga Keuangan Bank (LKB)-BUMD-Jangka Panjang</v>
          </cell>
          <cell r="F1302">
            <v>0</v>
          </cell>
          <cell r="G1302">
            <v>0</v>
          </cell>
          <cell r="H1302">
            <v>0</v>
          </cell>
          <cell r="I1302">
            <v>0</v>
          </cell>
          <cell r="J1302">
            <v>0</v>
          </cell>
        </row>
        <row r="1303">
          <cell r="B1303" t="str">
            <v>2.2.02.03</v>
          </cell>
          <cell r="C1303" t="str">
            <v>Utang kepada Lembaga Keuangan Bank (LKB)-Swasta</v>
          </cell>
          <cell r="D1303">
            <v>0</v>
          </cell>
          <cell r="E1303">
            <v>0</v>
          </cell>
          <cell r="J1303">
            <v>0</v>
          </cell>
        </row>
        <row r="1304">
          <cell r="B1304" t="str">
            <v>2.2.02.03.01</v>
          </cell>
          <cell r="C1304" t="str">
            <v>Utang kepada Lembaga Keuangan Bank (LKB)-Swasta-Jangka Menengah</v>
          </cell>
          <cell r="F1304">
            <v>0</v>
          </cell>
          <cell r="G1304">
            <v>0</v>
          </cell>
          <cell r="H1304">
            <v>0</v>
          </cell>
          <cell r="I1304">
            <v>0</v>
          </cell>
          <cell r="J1304">
            <v>0</v>
          </cell>
        </row>
        <row r="1305">
          <cell r="B1305" t="str">
            <v>2.2.02.03.02</v>
          </cell>
          <cell r="C1305" t="str">
            <v>Utang kepada Lembaga Keuangan Bank (LKB)-Swasta-Jangka Panjang</v>
          </cell>
          <cell r="F1305">
            <v>0</v>
          </cell>
          <cell r="G1305">
            <v>0</v>
          </cell>
          <cell r="H1305">
            <v>0</v>
          </cell>
          <cell r="I1305">
            <v>0</v>
          </cell>
          <cell r="J1305">
            <v>0</v>
          </cell>
        </row>
        <row r="1307">
          <cell r="B1307" t="str">
            <v>2.2.03</v>
          </cell>
          <cell r="C1307" t="str">
            <v>Utang kepada Lembaga Keuangan Bukan Bank (LKBB)</v>
          </cell>
          <cell r="D1307">
            <v>0</v>
          </cell>
          <cell r="E1307">
            <v>0</v>
          </cell>
          <cell r="J1307">
            <v>0</v>
          </cell>
        </row>
        <row r="1308">
          <cell r="B1308" t="str">
            <v>2.2.03.01</v>
          </cell>
          <cell r="C1308" t="str">
            <v>Utang kepada Lembaga Keuangan Bank (LKB)-BUMD-Jangka Panjang</v>
          </cell>
          <cell r="D1308">
            <v>0</v>
          </cell>
          <cell r="E1308">
            <v>0</v>
          </cell>
          <cell r="J1308">
            <v>0</v>
          </cell>
        </row>
        <row r="1309">
          <cell r="B1309" t="str">
            <v>2.2.03.01.01</v>
          </cell>
          <cell r="C1309" t="str">
            <v>Utang kepada Lembaga Keuangan Bukan Bank (LKBB)-BUMN-Jangka Menengah</v>
          </cell>
          <cell r="F1309">
            <v>0</v>
          </cell>
          <cell r="G1309">
            <v>0</v>
          </cell>
          <cell r="H1309">
            <v>0</v>
          </cell>
          <cell r="I1309">
            <v>0</v>
          </cell>
          <cell r="J1309">
            <v>0</v>
          </cell>
        </row>
        <row r="1310">
          <cell r="B1310" t="str">
            <v>2.2.03.01.02</v>
          </cell>
          <cell r="C1310" t="str">
            <v>Utang kepada Lembaga Keuangan Bukan Bank (LKBB)-BUMN-Jangka Panjang</v>
          </cell>
          <cell r="F1310">
            <v>0</v>
          </cell>
          <cell r="G1310">
            <v>0</v>
          </cell>
          <cell r="H1310">
            <v>0</v>
          </cell>
          <cell r="I1310">
            <v>0</v>
          </cell>
          <cell r="J1310">
            <v>0</v>
          </cell>
        </row>
        <row r="1311">
          <cell r="B1311" t="str">
            <v>2.2.03.02</v>
          </cell>
          <cell r="C1311" t="str">
            <v>Utang kepada Lembaga Keuangan Bukan Bank (LKBB)-BUMD</v>
          </cell>
          <cell r="D1311">
            <v>0</v>
          </cell>
          <cell r="E1311">
            <v>0</v>
          </cell>
          <cell r="J1311">
            <v>0</v>
          </cell>
        </row>
        <row r="1312">
          <cell r="B1312" t="str">
            <v>2.2.03.02.01</v>
          </cell>
          <cell r="C1312" t="str">
            <v>Utang kepada Lembaga Keuangan Bukan Bank (LKBB)-BUMD-Jangka Menengah</v>
          </cell>
          <cell r="F1312">
            <v>0</v>
          </cell>
          <cell r="G1312">
            <v>0</v>
          </cell>
          <cell r="H1312">
            <v>0</v>
          </cell>
          <cell r="I1312">
            <v>0</v>
          </cell>
          <cell r="J1312">
            <v>0</v>
          </cell>
        </row>
        <row r="1313">
          <cell r="B1313" t="str">
            <v>2.2.03.02.02</v>
          </cell>
          <cell r="C1313" t="str">
            <v>Utang kepada Lembaga Keuangan Bukan Bank (LKBB)-BUMD-Jangka Panjang</v>
          </cell>
          <cell r="F1313">
            <v>0</v>
          </cell>
          <cell r="G1313">
            <v>0</v>
          </cell>
          <cell r="H1313">
            <v>0</v>
          </cell>
          <cell r="I1313">
            <v>0</v>
          </cell>
          <cell r="J1313">
            <v>0</v>
          </cell>
        </row>
        <row r="1314">
          <cell r="B1314" t="str">
            <v>2.2.03.03</v>
          </cell>
          <cell r="C1314" t="str">
            <v>Utang kepada Lembaga Keuangan Bukan Bank (LKBB)-Swasta</v>
          </cell>
          <cell r="D1314">
            <v>0</v>
          </cell>
          <cell r="E1314">
            <v>0</v>
          </cell>
          <cell r="J1314">
            <v>0</v>
          </cell>
        </row>
        <row r="1315">
          <cell r="B1315" t="str">
            <v>2.2.03.03.01</v>
          </cell>
          <cell r="C1315" t="str">
            <v>Utang kepada Lembaga Keuangan Bukan Bank (LKBB)-Swasta-Jangka Menengah</v>
          </cell>
          <cell r="F1315">
            <v>0</v>
          </cell>
          <cell r="G1315">
            <v>0</v>
          </cell>
          <cell r="H1315">
            <v>0</v>
          </cell>
          <cell r="I1315">
            <v>0</v>
          </cell>
          <cell r="J1315">
            <v>0</v>
          </cell>
        </row>
        <row r="1316">
          <cell r="B1316" t="str">
            <v>2.2.03.03.02</v>
          </cell>
          <cell r="C1316" t="str">
            <v>Utang kepada Lembaga Keuangan Bukan Bank (LKBB)-Swasta-Jangka Panjang</v>
          </cell>
          <cell r="F1316">
            <v>0</v>
          </cell>
          <cell r="G1316">
            <v>0</v>
          </cell>
          <cell r="H1316">
            <v>0</v>
          </cell>
          <cell r="I1316">
            <v>0</v>
          </cell>
          <cell r="J1316">
            <v>0</v>
          </cell>
        </row>
        <row r="1318">
          <cell r="B1318" t="str">
            <v>2.2.04</v>
          </cell>
          <cell r="C1318" t="str">
            <v>Utang kepada Masyarakat</v>
          </cell>
          <cell r="D1318">
            <v>0</v>
          </cell>
          <cell r="E1318">
            <v>0</v>
          </cell>
          <cell r="J1318">
            <v>0</v>
          </cell>
        </row>
        <row r="1319">
          <cell r="B1319" t="str">
            <v>2.2.04.01</v>
          </cell>
          <cell r="C1319" t="str">
            <v>Obligasi</v>
          </cell>
          <cell r="D1319">
            <v>0</v>
          </cell>
          <cell r="E1319">
            <v>0</v>
          </cell>
          <cell r="J1319">
            <v>0</v>
          </cell>
        </row>
        <row r="1320">
          <cell r="B1320" t="str">
            <v>2.2.04.01.01</v>
          </cell>
          <cell r="C1320" t="str">
            <v>Obligasi Daerah</v>
          </cell>
          <cell r="F1320">
            <v>0</v>
          </cell>
          <cell r="G1320">
            <v>0</v>
          </cell>
          <cell r="H1320">
            <v>0</v>
          </cell>
          <cell r="I1320">
            <v>0</v>
          </cell>
          <cell r="J1320">
            <v>0</v>
          </cell>
        </row>
        <row r="1322">
          <cell r="B1322" t="str">
            <v>2.2.05</v>
          </cell>
          <cell r="C1322" t="str">
            <v>Kewajiban Konsesi Jasa</v>
          </cell>
          <cell r="D1322">
            <v>0</v>
          </cell>
          <cell r="E1322">
            <v>0</v>
          </cell>
          <cell r="J1322">
            <v>0</v>
          </cell>
        </row>
        <row r="1323">
          <cell r="B1323" t="str">
            <v>2.2.05.01</v>
          </cell>
          <cell r="C1323" t="str">
            <v>Kewajiban Konsesi Jasa</v>
          </cell>
          <cell r="D1323">
            <v>0</v>
          </cell>
          <cell r="E1323">
            <v>0</v>
          </cell>
          <cell r="J1323">
            <v>0</v>
          </cell>
        </row>
        <row r="1324">
          <cell r="B1324" t="str">
            <v>2.2.05.01.01</v>
          </cell>
          <cell r="C1324" t="str">
            <v>Kewajiban Konsesi Jasa</v>
          </cell>
          <cell r="F1324">
            <v>0</v>
          </cell>
          <cell r="G1324">
            <v>0</v>
          </cell>
          <cell r="H1324">
            <v>0</v>
          </cell>
          <cell r="I1324">
            <v>0</v>
          </cell>
          <cell r="J1324">
            <v>0</v>
          </cell>
        </row>
        <row r="1326">
          <cell r="B1326" t="str">
            <v>2.2.06</v>
          </cell>
          <cell r="C1326" t="str">
            <v>Utang Pembiayaan Utang Daerah-Pinjaman Daerah-Pinjaman Daerah dari Pemerintah</v>
          </cell>
          <cell r="D1326">
            <v>0</v>
          </cell>
          <cell r="E1326">
            <v>0</v>
          </cell>
          <cell r="J1326">
            <v>0</v>
          </cell>
        </row>
        <row r="1327">
          <cell r="B1327" t="str">
            <v>2.2.06.01</v>
          </cell>
          <cell r="C1327" t="str">
            <v>Utang Pinjaman Daerah dari Pemerintah</v>
          </cell>
          <cell r="D1327">
            <v>0</v>
          </cell>
          <cell r="E1327">
            <v>0</v>
          </cell>
          <cell r="J1327">
            <v>0</v>
          </cell>
        </row>
        <row r="1328">
          <cell r="B1328" t="str">
            <v>2.2.06.01.01</v>
          </cell>
          <cell r="C1328" t="str">
            <v>Utang Pinjaman Daerah dari Pemerintah</v>
          </cell>
          <cell r="F1328">
            <v>0</v>
          </cell>
          <cell r="G1328">
            <v>0</v>
          </cell>
          <cell r="H1328">
            <v>0</v>
          </cell>
          <cell r="I1328">
            <v>0</v>
          </cell>
          <cell r="J1328">
            <v>0</v>
          </cell>
        </row>
        <row r="1329">
          <cell r="B1329" t="str">
            <v>2.2.06.02</v>
          </cell>
          <cell r="C1329" t="str">
            <v>Utang Pinjaman Daerah dari Pemerintah yang diteruspinjamkan kepada Pemerintah Daerah</v>
          </cell>
          <cell r="D1329">
            <v>0</v>
          </cell>
          <cell r="E1329">
            <v>0</v>
          </cell>
          <cell r="J1329">
            <v>0</v>
          </cell>
        </row>
        <row r="1330">
          <cell r="B1330" t="str">
            <v>2.2.06.02.01</v>
          </cell>
          <cell r="C1330" t="str">
            <v>Utang Pinjaman Daerah dari Pemerintah yang diteruspinjamkan kepada Pemerintah Daerah</v>
          </cell>
          <cell r="F1330">
            <v>0</v>
          </cell>
          <cell r="G1330">
            <v>0</v>
          </cell>
          <cell r="H1330">
            <v>0</v>
          </cell>
          <cell r="I1330">
            <v>0</v>
          </cell>
          <cell r="J1330">
            <v>0</v>
          </cell>
        </row>
        <row r="1331">
          <cell r="B1331" t="str">
            <v>2.2.06.03</v>
          </cell>
          <cell r="C1331" t="str">
            <v>Utang Pinjaman Daerah dari Pemerintah yang bersumber dari Hibah yang diteruspinjamkan kepada Pemerintah Daerah</v>
          </cell>
          <cell r="D1331">
            <v>0</v>
          </cell>
          <cell r="E1331">
            <v>0</v>
          </cell>
          <cell r="J1331">
            <v>0</v>
          </cell>
        </row>
        <row r="1332">
          <cell r="B1332" t="str">
            <v>2.2.06.03.01</v>
          </cell>
          <cell r="C1332" t="str">
            <v>Utang Pinjaman Daerah dari Pemerintah yang bersumber dari Hibah yang diteruspinjamkan kepada Pemerintah Daerah</v>
          </cell>
          <cell r="F1332">
            <v>0</v>
          </cell>
          <cell r="G1332">
            <v>0</v>
          </cell>
          <cell r="H1332">
            <v>0</v>
          </cell>
          <cell r="I1332">
            <v>0</v>
          </cell>
          <cell r="J1332">
            <v>0</v>
          </cell>
        </row>
        <row r="1334">
          <cell r="B1334" t="str">
            <v>2.2.07</v>
          </cell>
          <cell r="C1334" t="str">
            <v>Utang Pembiayaan Utang Daerah-Pinjaman Daerah-Pinjaman Daerah dari Pemerintah Daerah Lain</v>
          </cell>
          <cell r="D1334">
            <v>0</v>
          </cell>
          <cell r="E1334">
            <v>0</v>
          </cell>
          <cell r="J1334">
            <v>0</v>
          </cell>
        </row>
        <row r="1335">
          <cell r="B1335" t="str">
            <v>2.2.07.01</v>
          </cell>
          <cell r="C1335" t="str">
            <v>Utang Pembiayaan Utang Daerah-Pinjaman Daerah-Pinjaman Daerah dari Pemerintah Daerah Lain</v>
          </cell>
          <cell r="D1335">
            <v>0</v>
          </cell>
          <cell r="E1335">
            <v>0</v>
          </cell>
          <cell r="J1335">
            <v>0</v>
          </cell>
        </row>
        <row r="1336">
          <cell r="B1336" t="str">
            <v>2.2.07.01.01</v>
          </cell>
          <cell r="C1336" t="str">
            <v>Utang Pembiayaan Utang Daerah-Pinjaman Daerah-Pinjaman Daerah dari Pemerintah Daerah Lain</v>
          </cell>
          <cell r="F1336">
            <v>0</v>
          </cell>
          <cell r="G1336">
            <v>0</v>
          </cell>
          <cell r="H1336">
            <v>0</v>
          </cell>
          <cell r="I1336">
            <v>0</v>
          </cell>
          <cell r="J1336">
            <v>0</v>
          </cell>
        </row>
        <row r="1338">
          <cell r="B1338" t="str">
            <v>2.2.08</v>
          </cell>
          <cell r="C1338" t="str">
            <v>Utang Pembiayaan Utang Daerah-Pinjaman Daerah-Pinjaman Daerah dari Lembaga Keuangan Bank (LKB)</v>
          </cell>
          <cell r="D1338">
            <v>0</v>
          </cell>
          <cell r="E1338">
            <v>0</v>
          </cell>
          <cell r="J1338">
            <v>0</v>
          </cell>
        </row>
        <row r="1339">
          <cell r="B1339" t="str">
            <v>2.2.08.01</v>
          </cell>
          <cell r="C1339" t="str">
            <v>Utang Pinjaman Daerah dari LKB</v>
          </cell>
          <cell r="D1339">
            <v>0</v>
          </cell>
          <cell r="E1339">
            <v>0</v>
          </cell>
          <cell r="J1339">
            <v>0</v>
          </cell>
        </row>
        <row r="1340">
          <cell r="B1340" t="str">
            <v>2.2.08.01.01</v>
          </cell>
          <cell r="C1340" t="str">
            <v>Utang Pinjaman Daerah dari LKB</v>
          </cell>
          <cell r="F1340">
            <v>0</v>
          </cell>
          <cell r="G1340">
            <v>0</v>
          </cell>
          <cell r="H1340">
            <v>0</v>
          </cell>
          <cell r="I1340">
            <v>0</v>
          </cell>
          <cell r="J1340">
            <v>0</v>
          </cell>
        </row>
        <row r="1342">
          <cell r="B1342" t="str">
            <v>2.2.09</v>
          </cell>
          <cell r="C1342" t="str">
            <v>Utang Pembiayaan Utang Daerah-Pinjaman Daerah-Pinjaman Daerah dari Lembaga Keuangan Bukan Bank (LKBB)</v>
          </cell>
          <cell r="D1342">
            <v>0</v>
          </cell>
          <cell r="E1342">
            <v>0</v>
          </cell>
          <cell r="J1342">
            <v>0</v>
          </cell>
        </row>
        <row r="1343">
          <cell r="B1343" t="str">
            <v>2.2.09.01</v>
          </cell>
          <cell r="C1343" t="str">
            <v>Utang Pinjaman Daerah dari LKBB</v>
          </cell>
          <cell r="D1343">
            <v>0</v>
          </cell>
          <cell r="E1343">
            <v>0</v>
          </cell>
          <cell r="J1343">
            <v>0</v>
          </cell>
        </row>
        <row r="1344">
          <cell r="B1344" t="str">
            <v>2.2.09.01.01</v>
          </cell>
          <cell r="C1344" t="str">
            <v>Utang Pinjaman Daerah dari LKBB</v>
          </cell>
          <cell r="F1344">
            <v>0</v>
          </cell>
          <cell r="G1344">
            <v>0</v>
          </cell>
          <cell r="H1344">
            <v>0</v>
          </cell>
          <cell r="I1344">
            <v>0</v>
          </cell>
          <cell r="J1344">
            <v>0</v>
          </cell>
        </row>
        <row r="1346">
          <cell r="B1346" t="str">
            <v>3</v>
          </cell>
          <cell r="C1346" t="str">
            <v>EKUITAS</v>
          </cell>
          <cell r="D1346" t="str">
            <v>2.956.074.627.448,94</v>
          </cell>
          <cell r="E1346" t="str">
            <v>2.960.686.581.042,53</v>
          </cell>
          <cell r="J1346" t="str">
            <v>3.001.634.289.257,66</v>
          </cell>
        </row>
        <row r="1347">
          <cell r="B1347" t="str">
            <v>3.1</v>
          </cell>
          <cell r="C1347" t="str">
            <v>EKUITAS</v>
          </cell>
          <cell r="D1347" t="str">
            <v>2.956.074.627.448,94</v>
          </cell>
          <cell r="E1347" t="str">
            <v>2.960.686.581.042,53</v>
          </cell>
          <cell r="J1347" t="str">
            <v>3.001.634.289.257,66</v>
          </cell>
        </row>
        <row r="1348">
          <cell r="B1348" t="str">
            <v>3.1.01</v>
          </cell>
          <cell r="C1348" t="str">
            <v>Ekuitas</v>
          </cell>
          <cell r="D1348" t="str">
            <v>2.956.074.627.448,94</v>
          </cell>
          <cell r="E1348" t="str">
            <v>2.960.686.581.042,53</v>
          </cell>
          <cell r="J1348" t="str">
            <v>3.001.634.289.257,66</v>
          </cell>
        </row>
        <row r="1349">
          <cell r="B1349" t="str">
            <v>3.1.01.01</v>
          </cell>
          <cell r="C1349" t="str">
            <v>Ekuitas</v>
          </cell>
          <cell r="D1349" t="str">
            <v>2.956.074.627.448,94</v>
          </cell>
          <cell r="E1349" t="str">
            <v>2.960.686.581.042,53</v>
          </cell>
          <cell r="J1349" t="str">
            <v>3.001.634.289.257,66</v>
          </cell>
        </row>
        <row r="1350">
          <cell r="B1350" t="str">
            <v>3.1.01.01.01</v>
          </cell>
          <cell r="C1350" t="str">
            <v>Ekuitas</v>
          </cell>
          <cell r="D1350" t="str">
            <v>2.956.074.627.448,94</v>
          </cell>
          <cell r="E1350" t="str">
            <v>2.960.686.581.042,53</v>
          </cell>
          <cell r="F1350">
            <v>0</v>
          </cell>
          <cell r="G1350">
            <v>0</v>
          </cell>
          <cell r="H1350">
            <v>0</v>
          </cell>
          <cell r="I1350">
            <v>0</v>
          </cell>
          <cell r="J1350" t="str">
            <v>3.001.634.289.257,66</v>
          </cell>
        </row>
        <row r="1352">
          <cell r="B1352" t="str">
            <v>NERACA</v>
          </cell>
          <cell r="C1352" t="str">
            <v>JUMLAH KEWAJIBAN DAN EKUITAS</v>
          </cell>
          <cell r="D1352" t="str">
            <v>2.987.207.439.181,28</v>
          </cell>
          <cell r="E1352" t="str">
            <v>3.056.297.411.995,59</v>
          </cell>
          <cell r="J1352" t="str">
            <v>3.031.483.875.759,72</v>
          </cell>
        </row>
        <row r="1354">
          <cell r="B1354" t="str">
            <v>NERACA</v>
          </cell>
          <cell r="C1354" t="str">
            <v>CHECK BALANCE SHEET</v>
          </cell>
        </row>
        <row r="1355">
          <cell r="C1355" t="str">
            <v>JUMLAH ASET</v>
          </cell>
          <cell r="D1355" t="str">
            <v>2.987.207.439.181,28</v>
          </cell>
          <cell r="E1355" t="str">
            <v>3.056.297.411.995,59</v>
          </cell>
          <cell r="J1355" t="str">
            <v>3.031.483.875.759,72</v>
          </cell>
        </row>
        <row r="1356">
          <cell r="C1356" t="str">
            <v>JUMLAH KEWAJIBAN DAN EKUITAS</v>
          </cell>
          <cell r="D1356" t="str">
            <v>2.987.207.439.181,28</v>
          </cell>
          <cell r="E1356" t="str">
            <v>3.056.297.411.995,59</v>
          </cell>
          <cell r="J1356" t="str">
            <v>3.031.483.875.759,72</v>
          </cell>
        </row>
        <row r="1357">
          <cell r="C1357" t="str">
            <v>SELISIH</v>
          </cell>
          <cell r="D1357">
            <v>0</v>
          </cell>
          <cell r="E1357">
            <v>0</v>
          </cell>
          <cell r="J1357">
            <v>0</v>
          </cell>
        </row>
        <row r="1359">
          <cell r="B1359" t="str">
            <v>LRA</v>
          </cell>
          <cell r="C1359" t="str">
            <v>LRA</v>
          </cell>
          <cell r="D1359" t="str">
            <v>LRA</v>
          </cell>
          <cell r="E1359" t="str">
            <v>LRA</v>
          </cell>
          <cell r="F1359" t="str">
            <v>LRA</v>
          </cell>
          <cell r="G1359" t="str">
            <v>LRA</v>
          </cell>
          <cell r="H1359" t="str">
            <v>LRA</v>
          </cell>
          <cell r="I1359" t="str">
            <v>LRA</v>
          </cell>
          <cell r="J1359" t="str">
            <v>LRA</v>
          </cell>
        </row>
        <row r="1361">
          <cell r="B1361" t="str">
            <v>4</v>
          </cell>
          <cell r="C1361" t="str">
            <v>PENDAPATAN DAERAH</v>
          </cell>
          <cell r="D1361">
            <v>2090724830810.4299</v>
          </cell>
          <cell r="E1361">
            <v>2060845464701.6201</v>
          </cell>
          <cell r="J1361">
            <v>2060940144640.1201</v>
          </cell>
        </row>
        <row r="1362">
          <cell r="B1362" t="str">
            <v>4.1</v>
          </cell>
          <cell r="C1362" t="str">
            <v>PENDAPATAN ASLI DAERAH (PAD)</v>
          </cell>
          <cell r="D1362">
            <v>169925922940.42999</v>
          </cell>
          <cell r="E1362">
            <v>209464399777.62</v>
          </cell>
          <cell r="J1362">
            <v>209559079716.12</v>
          </cell>
        </row>
        <row r="1363">
          <cell r="B1363" t="str">
            <v>4.1.01</v>
          </cell>
          <cell r="C1363" t="str">
            <v>Pajak Daerah</v>
          </cell>
          <cell r="D1363">
            <v>16684150219.549999</v>
          </cell>
          <cell r="E1363">
            <v>35786367464.910004</v>
          </cell>
          <cell r="J1363">
            <v>35786367464.910004</v>
          </cell>
        </row>
        <row r="1364">
          <cell r="B1364" t="str">
            <v>4.1.01.01</v>
          </cell>
          <cell r="C1364" t="str">
            <v>Pajak Kendaraan Bermotor (PKB)</v>
          </cell>
          <cell r="D1364">
            <v>0</v>
          </cell>
          <cell r="E1364">
            <v>0</v>
          </cell>
          <cell r="J1364">
            <v>0</v>
          </cell>
        </row>
        <row r="1365">
          <cell r="B1365" t="str">
            <v>4.1.01.01.01</v>
          </cell>
          <cell r="C1365" t="str">
            <v>PKB-Mobil Penumpang-Sedan</v>
          </cell>
          <cell r="F1365">
            <v>0</v>
          </cell>
          <cell r="G1365">
            <v>0</v>
          </cell>
          <cell r="H1365">
            <v>0</v>
          </cell>
          <cell r="I1365">
            <v>0</v>
          </cell>
          <cell r="J1365">
            <v>0</v>
          </cell>
        </row>
        <row r="1366">
          <cell r="B1366" t="str">
            <v>4.1.01.01.02</v>
          </cell>
          <cell r="C1366" t="str">
            <v>PKB-Mobil Penumpang-Jeep</v>
          </cell>
          <cell r="F1366">
            <v>0</v>
          </cell>
          <cell r="G1366">
            <v>0</v>
          </cell>
          <cell r="H1366">
            <v>0</v>
          </cell>
          <cell r="I1366">
            <v>0</v>
          </cell>
          <cell r="J1366">
            <v>0</v>
          </cell>
        </row>
        <row r="1367">
          <cell r="B1367" t="str">
            <v>4.1.01.01.03</v>
          </cell>
          <cell r="C1367" t="str">
            <v>PKB-Mobil Penumpang-Minibus</v>
          </cell>
          <cell r="F1367">
            <v>0</v>
          </cell>
          <cell r="G1367">
            <v>0</v>
          </cell>
          <cell r="H1367">
            <v>0</v>
          </cell>
          <cell r="I1367">
            <v>0</v>
          </cell>
          <cell r="J1367">
            <v>0</v>
          </cell>
        </row>
        <row r="1368">
          <cell r="B1368" t="str">
            <v>4.1.01.01.04</v>
          </cell>
          <cell r="C1368" t="str">
            <v>PKB-Mobil Bus-Microbus</v>
          </cell>
          <cell r="F1368">
            <v>0</v>
          </cell>
          <cell r="G1368">
            <v>0</v>
          </cell>
          <cell r="H1368">
            <v>0</v>
          </cell>
          <cell r="I1368">
            <v>0</v>
          </cell>
          <cell r="J1368">
            <v>0</v>
          </cell>
        </row>
        <row r="1369">
          <cell r="B1369" t="str">
            <v>4.1.01.01.05</v>
          </cell>
          <cell r="C1369" t="str">
            <v>PKB-Mobil Bus-Bus</v>
          </cell>
          <cell r="F1369">
            <v>0</v>
          </cell>
          <cell r="G1369">
            <v>0</v>
          </cell>
          <cell r="H1369">
            <v>0</v>
          </cell>
          <cell r="I1369">
            <v>0</v>
          </cell>
          <cell r="J1369">
            <v>0</v>
          </cell>
        </row>
        <row r="1370">
          <cell r="B1370" t="str">
            <v>4.1.01.01.06</v>
          </cell>
          <cell r="C1370" t="str">
            <v>PKB-Mobil Barang/Beban-Pick Up</v>
          </cell>
          <cell r="F1370">
            <v>0</v>
          </cell>
          <cell r="G1370">
            <v>0</v>
          </cell>
          <cell r="H1370">
            <v>0</v>
          </cell>
          <cell r="I1370">
            <v>0</v>
          </cell>
          <cell r="J1370">
            <v>0</v>
          </cell>
        </row>
        <row r="1371">
          <cell r="B1371" t="str">
            <v>4.1.01.01.07</v>
          </cell>
          <cell r="C1371" t="str">
            <v>PKB-Mobil Barang/Beban-Light Truck</v>
          </cell>
          <cell r="F1371">
            <v>0</v>
          </cell>
          <cell r="G1371">
            <v>0</v>
          </cell>
          <cell r="H1371">
            <v>0</v>
          </cell>
          <cell r="I1371">
            <v>0</v>
          </cell>
          <cell r="J1371">
            <v>0</v>
          </cell>
        </row>
        <row r="1372">
          <cell r="B1372" t="str">
            <v>4.1.01.01.08</v>
          </cell>
          <cell r="C1372" t="str">
            <v>PKB-Mobil Barang/Beban-Truck</v>
          </cell>
          <cell r="F1372">
            <v>0</v>
          </cell>
          <cell r="G1372">
            <v>0</v>
          </cell>
          <cell r="H1372">
            <v>0</v>
          </cell>
          <cell r="I1372">
            <v>0</v>
          </cell>
          <cell r="J1372">
            <v>0</v>
          </cell>
        </row>
        <row r="1373">
          <cell r="B1373" t="str">
            <v>4.1.01.01.09</v>
          </cell>
          <cell r="C1373" t="str">
            <v>PKB-Mobil Barang/Beban-Blind Van</v>
          </cell>
          <cell r="F1373">
            <v>0</v>
          </cell>
          <cell r="G1373">
            <v>0</v>
          </cell>
          <cell r="H1373">
            <v>0</v>
          </cell>
          <cell r="I1373">
            <v>0</v>
          </cell>
          <cell r="J1373">
            <v>0</v>
          </cell>
        </row>
        <row r="1374">
          <cell r="B1374" t="str">
            <v>4.1.01.01.10</v>
          </cell>
          <cell r="C1374" t="str">
            <v>PKB-Sepeda Motor-Sepeda Motor Roda Dua</v>
          </cell>
          <cell r="F1374">
            <v>0</v>
          </cell>
          <cell r="G1374">
            <v>0</v>
          </cell>
          <cell r="H1374">
            <v>0</v>
          </cell>
          <cell r="I1374">
            <v>0</v>
          </cell>
          <cell r="J1374">
            <v>0</v>
          </cell>
        </row>
        <row r="1375">
          <cell r="B1375" t="str">
            <v>4.1.01.01.11</v>
          </cell>
          <cell r="C1375" t="str">
            <v>PKB-Sepeda Motor-Sepeda Motor Roda Tiga</v>
          </cell>
          <cell r="F1375">
            <v>0</v>
          </cell>
          <cell r="G1375">
            <v>0</v>
          </cell>
          <cell r="H1375">
            <v>0</v>
          </cell>
          <cell r="I1375">
            <v>0</v>
          </cell>
          <cell r="J1375">
            <v>0</v>
          </cell>
        </row>
        <row r="1376">
          <cell r="B1376" t="str">
            <v>4.1.01.01.12</v>
          </cell>
          <cell r="C1376" t="str">
            <v>PKB-Kendaraan Bermotor yang Dioperasikan di Air</v>
          </cell>
          <cell r="F1376">
            <v>0</v>
          </cell>
          <cell r="G1376">
            <v>0</v>
          </cell>
          <cell r="H1376">
            <v>0</v>
          </cell>
          <cell r="I1376">
            <v>0</v>
          </cell>
          <cell r="J1376">
            <v>0</v>
          </cell>
        </row>
        <row r="1377">
          <cell r="B1377" t="str">
            <v>4.1.01.01.13</v>
          </cell>
          <cell r="C1377" t="str">
            <v>PKB-Kendaraan Khusus Alat Berat/Alat Besar</v>
          </cell>
          <cell r="F1377">
            <v>0</v>
          </cell>
          <cell r="G1377">
            <v>0</v>
          </cell>
          <cell r="H1377">
            <v>0</v>
          </cell>
          <cell r="I1377">
            <v>0</v>
          </cell>
          <cell r="J1377">
            <v>0</v>
          </cell>
        </row>
        <row r="1378">
          <cell r="B1378" t="str">
            <v>4.1.01.01.14</v>
          </cell>
          <cell r="C1378" t="str">
            <v>PKB-Mobil Roda Tiga</v>
          </cell>
          <cell r="F1378">
            <v>0</v>
          </cell>
          <cell r="G1378">
            <v>0</v>
          </cell>
          <cell r="H1378">
            <v>0</v>
          </cell>
          <cell r="I1378">
            <v>0</v>
          </cell>
          <cell r="J1378">
            <v>0</v>
          </cell>
        </row>
        <row r="1379">
          <cell r="B1379" t="str">
            <v>4.1.01.01.15</v>
          </cell>
          <cell r="C1379" t="str">
            <v>PKB-Mobil Penumpang-Roda Tiga</v>
          </cell>
          <cell r="F1379">
            <v>0</v>
          </cell>
          <cell r="G1379">
            <v>0</v>
          </cell>
          <cell r="H1379">
            <v>0</v>
          </cell>
          <cell r="I1379">
            <v>0</v>
          </cell>
          <cell r="J1379">
            <v>0</v>
          </cell>
        </row>
        <row r="1380">
          <cell r="B1380" t="str">
            <v>4.1.01.01.16</v>
          </cell>
          <cell r="C1380" t="str">
            <v>PKB-Mobil Barang-Roda Tiga</v>
          </cell>
          <cell r="F1380">
            <v>0</v>
          </cell>
          <cell r="G1380">
            <v>0</v>
          </cell>
          <cell r="H1380">
            <v>0</v>
          </cell>
          <cell r="I1380">
            <v>0</v>
          </cell>
          <cell r="J1380">
            <v>0</v>
          </cell>
        </row>
        <row r="1381">
          <cell r="B1381" t="str">
            <v>4.1.01.01.17</v>
          </cell>
          <cell r="C1381" t="str">
            <v>PKB-Mobil Barang/Beban-Pick Up Box</v>
          </cell>
          <cell r="F1381">
            <v>0</v>
          </cell>
          <cell r="G1381">
            <v>0</v>
          </cell>
          <cell r="H1381">
            <v>0</v>
          </cell>
          <cell r="I1381">
            <v>0</v>
          </cell>
          <cell r="J1381">
            <v>0</v>
          </cell>
        </row>
        <row r="1382">
          <cell r="B1382" t="str">
            <v>4.1.01.01.18</v>
          </cell>
          <cell r="C1382" t="str">
            <v>PKB-Sepeda Motor-Sepeda Motor Roda Tiga Penumpang</v>
          </cell>
          <cell r="F1382">
            <v>0</v>
          </cell>
          <cell r="G1382">
            <v>0</v>
          </cell>
          <cell r="H1382">
            <v>0</v>
          </cell>
          <cell r="I1382">
            <v>0</v>
          </cell>
          <cell r="J1382">
            <v>0</v>
          </cell>
        </row>
        <row r="1383">
          <cell r="B1383" t="str">
            <v>4.1.01.02</v>
          </cell>
          <cell r="C1383" t="str">
            <v>Bea Balik Nama Kendaraan Bermotor (BBNKB)</v>
          </cell>
          <cell r="D1383">
            <v>0</v>
          </cell>
          <cell r="E1383">
            <v>0</v>
          </cell>
          <cell r="J1383">
            <v>0</v>
          </cell>
        </row>
        <row r="1384">
          <cell r="B1384" t="str">
            <v>4.1.01.02.01</v>
          </cell>
          <cell r="C1384" t="str">
            <v>BBNKB-Mobil Penumpang-Sedan</v>
          </cell>
          <cell r="F1384">
            <v>0</v>
          </cell>
          <cell r="G1384">
            <v>0</v>
          </cell>
          <cell r="H1384">
            <v>0</v>
          </cell>
          <cell r="I1384">
            <v>0</v>
          </cell>
          <cell r="J1384">
            <v>0</v>
          </cell>
        </row>
        <row r="1385">
          <cell r="B1385" t="str">
            <v>4.1.01.02.02</v>
          </cell>
          <cell r="C1385" t="str">
            <v>BBNKB-Mobil Penumpang-Jeep</v>
          </cell>
          <cell r="F1385">
            <v>0</v>
          </cell>
          <cell r="G1385">
            <v>0</v>
          </cell>
          <cell r="H1385">
            <v>0</v>
          </cell>
          <cell r="I1385">
            <v>0</v>
          </cell>
          <cell r="J1385">
            <v>0</v>
          </cell>
        </row>
        <row r="1386">
          <cell r="B1386" t="str">
            <v>4.1.01.02.03</v>
          </cell>
          <cell r="C1386" t="str">
            <v>BBNKB-Mobil Penumpang-Minibus</v>
          </cell>
          <cell r="F1386">
            <v>0</v>
          </cell>
          <cell r="G1386">
            <v>0</v>
          </cell>
          <cell r="H1386">
            <v>0</v>
          </cell>
          <cell r="I1386">
            <v>0</v>
          </cell>
          <cell r="J1386">
            <v>0</v>
          </cell>
        </row>
        <row r="1387">
          <cell r="B1387" t="str">
            <v>4.1.01.02.04</v>
          </cell>
          <cell r="C1387" t="str">
            <v>BBNKB-Mobil Bus-Microbus</v>
          </cell>
          <cell r="F1387">
            <v>0</v>
          </cell>
          <cell r="G1387">
            <v>0</v>
          </cell>
          <cell r="H1387">
            <v>0</v>
          </cell>
          <cell r="I1387">
            <v>0</v>
          </cell>
          <cell r="J1387">
            <v>0</v>
          </cell>
        </row>
        <row r="1388">
          <cell r="B1388" t="str">
            <v>4.1.01.02.05</v>
          </cell>
          <cell r="C1388" t="str">
            <v>BBNKB-Mobil Bus-Bus</v>
          </cell>
          <cell r="F1388">
            <v>0</v>
          </cell>
          <cell r="G1388">
            <v>0</v>
          </cell>
          <cell r="H1388">
            <v>0</v>
          </cell>
          <cell r="I1388">
            <v>0</v>
          </cell>
          <cell r="J1388">
            <v>0</v>
          </cell>
        </row>
        <row r="1389">
          <cell r="B1389" t="str">
            <v>4.1.01.02.06</v>
          </cell>
          <cell r="C1389" t="str">
            <v>BBNKB-Mobil Barang/Beban-Pick Up</v>
          </cell>
          <cell r="F1389">
            <v>0</v>
          </cell>
          <cell r="G1389">
            <v>0</v>
          </cell>
          <cell r="H1389">
            <v>0</v>
          </cell>
          <cell r="I1389">
            <v>0</v>
          </cell>
          <cell r="J1389">
            <v>0</v>
          </cell>
        </row>
        <row r="1390">
          <cell r="B1390" t="str">
            <v>4.1.01.02.07</v>
          </cell>
          <cell r="C1390" t="str">
            <v>BBNKB-Mobil Barang/Beban-Light Truck</v>
          </cell>
          <cell r="F1390">
            <v>0</v>
          </cell>
          <cell r="G1390">
            <v>0</v>
          </cell>
          <cell r="H1390">
            <v>0</v>
          </cell>
          <cell r="I1390">
            <v>0</v>
          </cell>
          <cell r="J1390">
            <v>0</v>
          </cell>
        </row>
        <row r="1391">
          <cell r="B1391" t="str">
            <v>4.1.01.02.08</v>
          </cell>
          <cell r="C1391" t="str">
            <v>BBNKB-Mobil Barang/Beban-Truck</v>
          </cell>
          <cell r="F1391">
            <v>0</v>
          </cell>
          <cell r="G1391">
            <v>0</v>
          </cell>
          <cell r="H1391">
            <v>0</v>
          </cell>
          <cell r="I1391">
            <v>0</v>
          </cell>
          <cell r="J1391">
            <v>0</v>
          </cell>
        </row>
        <row r="1392">
          <cell r="B1392" t="str">
            <v>4.1.01.02.09</v>
          </cell>
          <cell r="C1392" t="str">
            <v>BBNKB-Mobil Barang/Beban-Blind Van</v>
          </cell>
          <cell r="F1392">
            <v>0</v>
          </cell>
          <cell r="G1392">
            <v>0</v>
          </cell>
          <cell r="H1392">
            <v>0</v>
          </cell>
          <cell r="I1392">
            <v>0</v>
          </cell>
          <cell r="J1392">
            <v>0</v>
          </cell>
        </row>
        <row r="1393">
          <cell r="B1393" t="str">
            <v>4.1.01.02.10</v>
          </cell>
          <cell r="C1393" t="str">
            <v>BBNKB-Sepeda Motor-Sepeda Motor Roda Dua</v>
          </cell>
          <cell r="F1393">
            <v>0</v>
          </cell>
          <cell r="G1393">
            <v>0</v>
          </cell>
          <cell r="H1393">
            <v>0</v>
          </cell>
          <cell r="I1393">
            <v>0</v>
          </cell>
          <cell r="J1393">
            <v>0</v>
          </cell>
        </row>
        <row r="1394">
          <cell r="B1394" t="str">
            <v>4.1.01.02.11</v>
          </cell>
          <cell r="C1394" t="str">
            <v>BBNKB-Sepeda Motor-Sepeda Motor Roda Tiga</v>
          </cell>
          <cell r="F1394">
            <v>0</v>
          </cell>
          <cell r="G1394">
            <v>0</v>
          </cell>
          <cell r="H1394">
            <v>0</v>
          </cell>
          <cell r="I1394">
            <v>0</v>
          </cell>
          <cell r="J1394">
            <v>0</v>
          </cell>
        </row>
        <row r="1395">
          <cell r="B1395" t="str">
            <v>4.1.01.02.12</v>
          </cell>
          <cell r="C1395" t="str">
            <v>BBNKB-Kendaraan Bermotor yang Dioperasikan di Air</v>
          </cell>
          <cell r="F1395">
            <v>0</v>
          </cell>
          <cell r="G1395">
            <v>0</v>
          </cell>
          <cell r="H1395">
            <v>0</v>
          </cell>
          <cell r="I1395">
            <v>0</v>
          </cell>
          <cell r="J1395">
            <v>0</v>
          </cell>
        </row>
        <row r="1396">
          <cell r="B1396" t="str">
            <v>4.1.01.02.13</v>
          </cell>
          <cell r="C1396" t="str">
            <v>BBNKB-Kendaraan Khusus Alat Berat</v>
          </cell>
          <cell r="F1396">
            <v>0</v>
          </cell>
          <cell r="G1396">
            <v>0</v>
          </cell>
          <cell r="H1396">
            <v>0</v>
          </cell>
          <cell r="I1396">
            <v>0</v>
          </cell>
          <cell r="J1396">
            <v>0</v>
          </cell>
        </row>
        <row r="1397">
          <cell r="B1397" t="str">
            <v>4.1.01.02.14</v>
          </cell>
          <cell r="C1397" t="str">
            <v>BBNKB-Mobil Roda Tiga</v>
          </cell>
          <cell r="F1397">
            <v>0</v>
          </cell>
          <cell r="G1397">
            <v>0</v>
          </cell>
          <cell r="H1397">
            <v>0</v>
          </cell>
          <cell r="I1397">
            <v>0</v>
          </cell>
          <cell r="J1397">
            <v>0</v>
          </cell>
        </row>
        <row r="1398">
          <cell r="B1398" t="str">
            <v>4.1.01.02.15</v>
          </cell>
          <cell r="C1398" t="str">
            <v>BBNKB-Mobil Penumpang-Roda Tiga</v>
          </cell>
          <cell r="F1398">
            <v>0</v>
          </cell>
          <cell r="G1398">
            <v>0</v>
          </cell>
          <cell r="H1398">
            <v>0</v>
          </cell>
          <cell r="I1398">
            <v>0</v>
          </cell>
          <cell r="J1398">
            <v>0</v>
          </cell>
        </row>
        <row r="1399">
          <cell r="B1399" t="str">
            <v>4.1.01.02.16</v>
          </cell>
          <cell r="C1399" t="str">
            <v>BBNKB-Mobil Barang-Roda Tiga</v>
          </cell>
          <cell r="F1399">
            <v>0</v>
          </cell>
          <cell r="G1399">
            <v>0</v>
          </cell>
          <cell r="H1399">
            <v>0</v>
          </cell>
          <cell r="I1399">
            <v>0</v>
          </cell>
          <cell r="J1399">
            <v>0</v>
          </cell>
        </row>
        <row r="1400">
          <cell r="B1400" t="str">
            <v>4.1.01.02.17</v>
          </cell>
          <cell r="C1400" t="str">
            <v>BBNKB-Mobil Barang/Beban-Pick Up Box</v>
          </cell>
          <cell r="F1400">
            <v>0</v>
          </cell>
          <cell r="G1400">
            <v>0</v>
          </cell>
          <cell r="H1400">
            <v>0</v>
          </cell>
          <cell r="I1400">
            <v>0</v>
          </cell>
          <cell r="J1400">
            <v>0</v>
          </cell>
        </row>
        <row r="1401">
          <cell r="B1401" t="str">
            <v>4.1.01.02.18</v>
          </cell>
          <cell r="C1401" t="str">
            <v>BBNKB-Sepeda Motor-Sepeda Motor Roda Tiga Penumpang</v>
          </cell>
          <cell r="F1401">
            <v>0</v>
          </cell>
          <cell r="G1401">
            <v>0</v>
          </cell>
          <cell r="H1401">
            <v>0</v>
          </cell>
          <cell r="I1401">
            <v>0</v>
          </cell>
          <cell r="J1401">
            <v>0</v>
          </cell>
        </row>
        <row r="1402">
          <cell r="B1402" t="str">
            <v>4.1.01.03</v>
          </cell>
          <cell r="C1402" t="str">
            <v>Pajak Bahan Bakar Kendaraan Bermotor (PBBKB)</v>
          </cell>
          <cell r="D1402">
            <v>0</v>
          </cell>
          <cell r="E1402">
            <v>0</v>
          </cell>
          <cell r="J1402">
            <v>0</v>
          </cell>
        </row>
        <row r="1403">
          <cell r="B1403" t="str">
            <v>4.1.01.03.01</v>
          </cell>
          <cell r="C1403" t="str">
            <v>PBBKB-Bahan Bakar Bensin</v>
          </cell>
          <cell r="F1403">
            <v>0</v>
          </cell>
          <cell r="G1403">
            <v>0</v>
          </cell>
          <cell r="H1403">
            <v>0</v>
          </cell>
          <cell r="I1403">
            <v>0</v>
          </cell>
          <cell r="J1403">
            <v>0</v>
          </cell>
        </row>
        <row r="1404">
          <cell r="B1404" t="str">
            <v>4.1.01.03.02</v>
          </cell>
          <cell r="C1404" t="str">
            <v>PBBKB-Bahan Bakar Solar</v>
          </cell>
          <cell r="F1404">
            <v>0</v>
          </cell>
          <cell r="G1404">
            <v>0</v>
          </cell>
          <cell r="H1404">
            <v>0</v>
          </cell>
          <cell r="I1404">
            <v>0</v>
          </cell>
          <cell r="J1404">
            <v>0</v>
          </cell>
        </row>
        <row r="1405">
          <cell r="B1405" t="str">
            <v>4.1.01.03.03</v>
          </cell>
          <cell r="C1405" t="str">
            <v>PBBKB-Bahan Bakar Gas</v>
          </cell>
          <cell r="F1405">
            <v>0</v>
          </cell>
          <cell r="G1405">
            <v>0</v>
          </cell>
          <cell r="H1405">
            <v>0</v>
          </cell>
          <cell r="I1405">
            <v>0</v>
          </cell>
          <cell r="J1405">
            <v>0</v>
          </cell>
        </row>
        <row r="1406">
          <cell r="B1406" t="str">
            <v>4.1.01.03.04</v>
          </cell>
          <cell r="C1406" t="str">
            <v>PBBKB-Bahan Bakar Lainnya</v>
          </cell>
          <cell r="F1406">
            <v>0</v>
          </cell>
          <cell r="G1406">
            <v>0</v>
          </cell>
          <cell r="H1406">
            <v>0</v>
          </cell>
          <cell r="I1406">
            <v>0</v>
          </cell>
          <cell r="J1406">
            <v>0</v>
          </cell>
        </row>
        <row r="1407">
          <cell r="B1407" t="str">
            <v>4.1.01.04</v>
          </cell>
          <cell r="C1407" t="str">
            <v>Pajak Air Permukaan</v>
          </cell>
          <cell r="D1407">
            <v>0</v>
          </cell>
          <cell r="E1407">
            <v>0</v>
          </cell>
          <cell r="J1407">
            <v>0</v>
          </cell>
        </row>
        <row r="1408">
          <cell r="B1408" t="str">
            <v>4.1.01.04.01</v>
          </cell>
          <cell r="C1408" t="str">
            <v>Pajak Air Permukaan</v>
          </cell>
          <cell r="F1408">
            <v>0</v>
          </cell>
          <cell r="G1408">
            <v>0</v>
          </cell>
          <cell r="H1408">
            <v>0</v>
          </cell>
          <cell r="I1408">
            <v>0</v>
          </cell>
          <cell r="J1408">
            <v>0</v>
          </cell>
        </row>
        <row r="1409">
          <cell r="B1409" t="str">
            <v>4.1.01.05</v>
          </cell>
          <cell r="C1409" t="str">
            <v>Pajak Rokok</v>
          </cell>
          <cell r="D1409">
            <v>0</v>
          </cell>
          <cell r="E1409">
            <v>0</v>
          </cell>
          <cell r="J1409">
            <v>0</v>
          </cell>
        </row>
        <row r="1410">
          <cell r="B1410" t="str">
            <v>4.1.01.05.01</v>
          </cell>
          <cell r="C1410" t="str">
            <v>Pajak Rokok</v>
          </cell>
          <cell r="F1410">
            <v>0</v>
          </cell>
          <cell r="G1410">
            <v>0</v>
          </cell>
          <cell r="H1410">
            <v>0</v>
          </cell>
          <cell r="I1410">
            <v>0</v>
          </cell>
          <cell r="J1410">
            <v>0</v>
          </cell>
        </row>
        <row r="1411">
          <cell r="B1411" t="str">
            <v>4.1.01.06</v>
          </cell>
          <cell r="C1411" t="str">
            <v>Pajak Hotel</v>
          </cell>
          <cell r="D1411">
            <v>1027282105.55</v>
          </cell>
          <cell r="E1411">
            <v>0</v>
          </cell>
          <cell r="J1411">
            <v>0</v>
          </cell>
        </row>
        <row r="1412">
          <cell r="B1412" t="str">
            <v>4.1.01.06.01</v>
          </cell>
          <cell r="C1412" t="str">
            <v>Pajak Hotel</v>
          </cell>
          <cell r="D1412">
            <v>1027282105.55</v>
          </cell>
          <cell r="F1412">
            <v>0</v>
          </cell>
          <cell r="G1412">
            <v>0</v>
          </cell>
          <cell r="H1412">
            <v>0</v>
          </cell>
          <cell r="I1412">
            <v>0</v>
          </cell>
          <cell r="J1412">
            <v>0</v>
          </cell>
        </row>
        <row r="1413">
          <cell r="B1413" t="str">
            <v>4.1.01.06.02</v>
          </cell>
          <cell r="C1413" t="str">
            <v>Pajak Motel</v>
          </cell>
          <cell r="F1413">
            <v>0</v>
          </cell>
          <cell r="G1413">
            <v>0</v>
          </cell>
          <cell r="H1413">
            <v>0</v>
          </cell>
          <cell r="I1413">
            <v>0</v>
          </cell>
          <cell r="J1413">
            <v>0</v>
          </cell>
        </row>
        <row r="1414">
          <cell r="B1414" t="str">
            <v>4.1.01.06.03</v>
          </cell>
          <cell r="C1414" t="str">
            <v>Pajak Losmen</v>
          </cell>
          <cell r="F1414">
            <v>0</v>
          </cell>
          <cell r="G1414">
            <v>0</v>
          </cell>
          <cell r="H1414">
            <v>0</v>
          </cell>
          <cell r="I1414">
            <v>0</v>
          </cell>
          <cell r="J1414">
            <v>0</v>
          </cell>
        </row>
        <row r="1415">
          <cell r="B1415" t="str">
            <v>4.1.01.06.04</v>
          </cell>
          <cell r="C1415" t="str">
            <v>Pajak Gubuk Pariwisata</v>
          </cell>
          <cell r="F1415">
            <v>0</v>
          </cell>
          <cell r="G1415">
            <v>0</v>
          </cell>
          <cell r="H1415">
            <v>0</v>
          </cell>
          <cell r="I1415">
            <v>0</v>
          </cell>
          <cell r="J1415">
            <v>0</v>
          </cell>
        </row>
        <row r="1416">
          <cell r="B1416" t="str">
            <v>4.1.01.06.05</v>
          </cell>
          <cell r="C1416" t="str">
            <v>Pajak Wisma Pariwisata</v>
          </cell>
          <cell r="F1416">
            <v>0</v>
          </cell>
          <cell r="G1416">
            <v>0</v>
          </cell>
          <cell r="H1416">
            <v>0</v>
          </cell>
          <cell r="I1416">
            <v>0</v>
          </cell>
          <cell r="J1416">
            <v>0</v>
          </cell>
        </row>
        <row r="1417">
          <cell r="B1417" t="str">
            <v>4.1.01.06.06</v>
          </cell>
          <cell r="C1417" t="str">
            <v>Pajak Pesanggrahan</v>
          </cell>
          <cell r="F1417">
            <v>0</v>
          </cell>
          <cell r="G1417">
            <v>0</v>
          </cell>
          <cell r="H1417">
            <v>0</v>
          </cell>
          <cell r="I1417">
            <v>0</v>
          </cell>
          <cell r="J1417">
            <v>0</v>
          </cell>
        </row>
        <row r="1418">
          <cell r="B1418" t="str">
            <v>4.1.01.06.07</v>
          </cell>
          <cell r="C1418" t="str">
            <v>Pajak Rumah Penginapan dan Sejenisnya</v>
          </cell>
          <cell r="F1418">
            <v>0</v>
          </cell>
          <cell r="G1418">
            <v>0</v>
          </cell>
          <cell r="H1418">
            <v>0</v>
          </cell>
          <cell r="I1418">
            <v>0</v>
          </cell>
          <cell r="J1418">
            <v>0</v>
          </cell>
        </row>
        <row r="1419">
          <cell r="B1419" t="str">
            <v>4.1.01.06.08</v>
          </cell>
          <cell r="C1419" t="str">
            <v>Pajak Rumah Kos dengan Jumlah Kamar Lebih dari 10 (Sepuluh)</v>
          </cell>
          <cell r="F1419">
            <v>0</v>
          </cell>
          <cell r="G1419">
            <v>0</v>
          </cell>
          <cell r="H1419">
            <v>0</v>
          </cell>
          <cell r="I1419">
            <v>0</v>
          </cell>
          <cell r="J1419">
            <v>0</v>
          </cell>
        </row>
        <row r="1420">
          <cell r="B1420" t="str">
            <v>4.1.01.07</v>
          </cell>
          <cell r="C1420" t="str">
            <v>Pajak Restoran</v>
          </cell>
          <cell r="D1420">
            <v>191115916</v>
          </cell>
          <cell r="E1420">
            <v>0</v>
          </cell>
          <cell r="J1420">
            <v>0</v>
          </cell>
        </row>
        <row r="1421">
          <cell r="B1421" t="str">
            <v>4.1.01.07.01</v>
          </cell>
          <cell r="C1421" t="str">
            <v>Pajak Restoran dan Sejenisnya</v>
          </cell>
          <cell r="D1421">
            <v>14024735</v>
          </cell>
          <cell r="F1421">
            <v>0</v>
          </cell>
          <cell r="G1421">
            <v>0</v>
          </cell>
          <cell r="H1421">
            <v>0</v>
          </cell>
          <cell r="I1421">
            <v>0</v>
          </cell>
          <cell r="J1421">
            <v>0</v>
          </cell>
        </row>
        <row r="1422">
          <cell r="B1422" t="str">
            <v>4.1.01.07.02</v>
          </cell>
          <cell r="C1422" t="str">
            <v>Pajak Rumah Makan dan Sejenisnya</v>
          </cell>
          <cell r="D1422">
            <v>130241581</v>
          </cell>
          <cell r="F1422">
            <v>0</v>
          </cell>
          <cell r="G1422">
            <v>0</v>
          </cell>
          <cell r="H1422">
            <v>0</v>
          </cell>
          <cell r="I1422">
            <v>0</v>
          </cell>
          <cell r="J1422">
            <v>0</v>
          </cell>
        </row>
        <row r="1423">
          <cell r="B1423" t="str">
            <v>4.1.01.07.03</v>
          </cell>
          <cell r="C1423" t="str">
            <v>Pajak Kafetaria dan Sejenisnya</v>
          </cell>
          <cell r="F1423">
            <v>0</v>
          </cell>
          <cell r="G1423">
            <v>0</v>
          </cell>
          <cell r="H1423">
            <v>0</v>
          </cell>
          <cell r="I1423">
            <v>0</v>
          </cell>
          <cell r="J1423">
            <v>0</v>
          </cell>
        </row>
        <row r="1424">
          <cell r="B1424" t="str">
            <v>4.1.01.07.04</v>
          </cell>
          <cell r="C1424" t="str">
            <v>Pajak Kantin dan Sejenisnya</v>
          </cell>
          <cell r="F1424">
            <v>0</v>
          </cell>
          <cell r="G1424">
            <v>0</v>
          </cell>
          <cell r="H1424">
            <v>0</v>
          </cell>
          <cell r="I1424">
            <v>0</v>
          </cell>
          <cell r="J1424">
            <v>0</v>
          </cell>
        </row>
        <row r="1425">
          <cell r="B1425" t="str">
            <v>4.1.01.07.05</v>
          </cell>
          <cell r="C1425" t="str">
            <v>Pajak Warung dan Sejenisnya</v>
          </cell>
          <cell r="F1425">
            <v>0</v>
          </cell>
          <cell r="G1425">
            <v>0</v>
          </cell>
          <cell r="H1425">
            <v>0</v>
          </cell>
          <cell r="I1425">
            <v>0</v>
          </cell>
          <cell r="J1425">
            <v>0</v>
          </cell>
        </row>
        <row r="1426">
          <cell r="B1426" t="str">
            <v>4.1.01.07.06</v>
          </cell>
          <cell r="C1426" t="str">
            <v>Pajak Bar dan Sejenisnya</v>
          </cell>
          <cell r="F1426">
            <v>0</v>
          </cell>
          <cell r="G1426">
            <v>0</v>
          </cell>
          <cell r="H1426">
            <v>0</v>
          </cell>
          <cell r="I1426">
            <v>0</v>
          </cell>
          <cell r="J1426">
            <v>0</v>
          </cell>
        </row>
        <row r="1427">
          <cell r="B1427" t="str">
            <v>4.1.01.07.07</v>
          </cell>
          <cell r="C1427" t="str">
            <v>Pajak Jasa Boga/Katering dan Sejenisnya</v>
          </cell>
          <cell r="D1427">
            <v>46849600</v>
          </cell>
          <cell r="F1427">
            <v>0</v>
          </cell>
          <cell r="G1427">
            <v>0</v>
          </cell>
          <cell r="H1427">
            <v>0</v>
          </cell>
          <cell r="I1427">
            <v>0</v>
          </cell>
          <cell r="J1427">
            <v>0</v>
          </cell>
        </row>
        <row r="1428">
          <cell r="B1428" t="str">
            <v>4.1.01.08</v>
          </cell>
          <cell r="C1428" t="str">
            <v>Pajak Hiburan</v>
          </cell>
          <cell r="D1428">
            <v>3350000</v>
          </cell>
          <cell r="E1428">
            <v>1000000</v>
          </cell>
          <cell r="J1428">
            <v>1000000</v>
          </cell>
        </row>
        <row r="1429">
          <cell r="B1429" t="str">
            <v>4.1.01.08.01</v>
          </cell>
          <cell r="C1429" t="str">
            <v>Pajak Tontonan Film</v>
          </cell>
          <cell r="F1429">
            <v>0</v>
          </cell>
          <cell r="G1429">
            <v>0</v>
          </cell>
          <cell r="H1429">
            <v>0</v>
          </cell>
          <cell r="I1429">
            <v>0</v>
          </cell>
          <cell r="J1429">
            <v>0</v>
          </cell>
        </row>
        <row r="1430">
          <cell r="B1430" t="str">
            <v>4.1.01.08.02</v>
          </cell>
          <cell r="C1430" t="str">
            <v>Pajak Pagelaran Kesenian/Musik/Tari/Busana</v>
          </cell>
          <cell r="D1430">
            <v>3350000</v>
          </cell>
          <cell r="F1430">
            <v>0</v>
          </cell>
          <cell r="G1430">
            <v>0</v>
          </cell>
          <cell r="H1430">
            <v>0</v>
          </cell>
          <cell r="I1430">
            <v>0</v>
          </cell>
          <cell r="J1430">
            <v>0</v>
          </cell>
        </row>
        <row r="1431">
          <cell r="B1431" t="str">
            <v>4.1.01.08.03</v>
          </cell>
          <cell r="C1431" t="str">
            <v>Pajak Kontes Kecantikan, Binaraga, dan Sejenisnya</v>
          </cell>
          <cell r="F1431">
            <v>0</v>
          </cell>
          <cell r="G1431">
            <v>0</v>
          </cell>
          <cell r="H1431">
            <v>0</v>
          </cell>
          <cell r="I1431">
            <v>0</v>
          </cell>
          <cell r="J1431">
            <v>0</v>
          </cell>
        </row>
        <row r="1432">
          <cell r="B1432" t="str">
            <v>4.1.01.08.04</v>
          </cell>
          <cell r="C1432" t="str">
            <v>Pajak Pameran</v>
          </cell>
          <cell r="F1432">
            <v>0</v>
          </cell>
          <cell r="G1432">
            <v>0</v>
          </cell>
          <cell r="H1432">
            <v>0</v>
          </cell>
          <cell r="I1432">
            <v>0</v>
          </cell>
          <cell r="J1432">
            <v>0</v>
          </cell>
        </row>
        <row r="1433">
          <cell r="B1433" t="str">
            <v>4.1.01.08.05</v>
          </cell>
          <cell r="C1433" t="str">
            <v>Pajak Diskotik, Karaoke, Klub Malam, dan Sejenisnya</v>
          </cell>
          <cell r="F1433">
            <v>0</v>
          </cell>
          <cell r="G1433">
            <v>0</v>
          </cell>
          <cell r="H1433">
            <v>0</v>
          </cell>
          <cell r="I1433">
            <v>0</v>
          </cell>
          <cell r="J1433">
            <v>0</v>
          </cell>
        </row>
        <row r="1434">
          <cell r="B1434" t="str">
            <v>4.1.01.08.06</v>
          </cell>
          <cell r="C1434" t="str">
            <v>Pajak Sirkus/Akrobat/Sulap</v>
          </cell>
          <cell r="F1434">
            <v>0</v>
          </cell>
          <cell r="G1434">
            <v>0</v>
          </cell>
          <cell r="H1434">
            <v>0</v>
          </cell>
          <cell r="I1434">
            <v>0</v>
          </cell>
          <cell r="J1434">
            <v>0</v>
          </cell>
        </row>
        <row r="1435">
          <cell r="B1435" t="str">
            <v>4.1.01.08.07</v>
          </cell>
          <cell r="C1435" t="str">
            <v>Pajak Permainan Biliar dan Bowling</v>
          </cell>
          <cell r="F1435">
            <v>0</v>
          </cell>
          <cell r="G1435">
            <v>0</v>
          </cell>
          <cell r="H1435">
            <v>0</v>
          </cell>
          <cell r="I1435">
            <v>0</v>
          </cell>
          <cell r="J1435">
            <v>0</v>
          </cell>
        </row>
        <row r="1436">
          <cell r="B1436" t="str">
            <v>4.1.01.08.08</v>
          </cell>
          <cell r="C1436" t="str">
            <v>Pajak Pacuan Kuda, Kendaraan Bermotor, dan Permainan Ketangkasan</v>
          </cell>
          <cell r="E1436">
            <v>1000000</v>
          </cell>
          <cell r="F1436">
            <v>0</v>
          </cell>
          <cell r="G1436">
            <v>0</v>
          </cell>
          <cell r="H1436">
            <v>0</v>
          </cell>
          <cell r="I1436">
            <v>0</v>
          </cell>
          <cell r="J1436">
            <v>1000000</v>
          </cell>
        </row>
        <row r="1437">
          <cell r="B1437" t="str">
            <v>4.1.01.08.09</v>
          </cell>
          <cell r="C1437" t="str">
            <v>Pajak Panti Pijat, Refleksi, Mandi Uap/Spa dan Pusat Kebugaran (Fitness Center)</v>
          </cell>
          <cell r="F1437">
            <v>0</v>
          </cell>
          <cell r="G1437">
            <v>0</v>
          </cell>
          <cell r="H1437">
            <v>0</v>
          </cell>
          <cell r="I1437">
            <v>0</v>
          </cell>
          <cell r="J1437">
            <v>0</v>
          </cell>
        </row>
        <row r="1438">
          <cell r="B1438" t="str">
            <v>4.1.01.08.10</v>
          </cell>
          <cell r="C1438" t="str">
            <v>Pajak Pertandingan Olahraga</v>
          </cell>
          <cell r="F1438">
            <v>0</v>
          </cell>
          <cell r="G1438">
            <v>0</v>
          </cell>
          <cell r="H1438">
            <v>0</v>
          </cell>
          <cell r="I1438">
            <v>0</v>
          </cell>
          <cell r="J1438">
            <v>0</v>
          </cell>
        </row>
        <row r="1439">
          <cell r="B1439" t="str">
            <v>4.1.01.09</v>
          </cell>
          <cell r="C1439" t="str">
            <v>Pajak Reklame</v>
          </cell>
          <cell r="D1439">
            <v>213384600</v>
          </cell>
          <cell r="E1439">
            <v>169468000</v>
          </cell>
          <cell r="J1439">
            <v>169468000</v>
          </cell>
        </row>
        <row r="1440">
          <cell r="B1440" t="str">
            <v>4.1.01.09.01</v>
          </cell>
          <cell r="C1440" t="str">
            <v>Pajak Reklame Papan/Billboard/Videotron/Megatron</v>
          </cell>
          <cell r="D1440">
            <v>100986600</v>
          </cell>
          <cell r="E1440">
            <v>169468000</v>
          </cell>
          <cell r="F1440">
            <v>0</v>
          </cell>
          <cell r="G1440">
            <v>0</v>
          </cell>
          <cell r="H1440">
            <v>0</v>
          </cell>
          <cell r="I1440">
            <v>0</v>
          </cell>
          <cell r="J1440">
            <v>169468000</v>
          </cell>
        </row>
        <row r="1441">
          <cell r="B1441" t="str">
            <v>4.1.01.09.02</v>
          </cell>
          <cell r="C1441" t="str">
            <v>Pajak Reklame Kain</v>
          </cell>
          <cell r="D1441">
            <v>112398000</v>
          </cell>
          <cell r="E1441">
            <v>0</v>
          </cell>
          <cell r="F1441">
            <v>0</v>
          </cell>
          <cell r="G1441">
            <v>0</v>
          </cell>
          <cell r="H1441">
            <v>0</v>
          </cell>
          <cell r="I1441">
            <v>0</v>
          </cell>
          <cell r="J1441">
            <v>0</v>
          </cell>
        </row>
        <row r="1442">
          <cell r="B1442" t="str">
            <v>4.1.01.09.03</v>
          </cell>
          <cell r="C1442" t="str">
            <v>Pajak Reklame Melekat/Stiker</v>
          </cell>
          <cell r="F1442">
            <v>0</v>
          </cell>
          <cell r="G1442">
            <v>0</v>
          </cell>
          <cell r="H1442">
            <v>0</v>
          </cell>
          <cell r="I1442">
            <v>0</v>
          </cell>
          <cell r="J1442">
            <v>0</v>
          </cell>
        </row>
        <row r="1443">
          <cell r="B1443" t="str">
            <v>4.1.01.09.04</v>
          </cell>
          <cell r="C1443" t="str">
            <v>Pajak Reklame Selebaran</v>
          </cell>
          <cell r="F1443">
            <v>0</v>
          </cell>
          <cell r="G1443">
            <v>0</v>
          </cell>
          <cell r="H1443">
            <v>0</v>
          </cell>
          <cell r="I1443">
            <v>0</v>
          </cell>
          <cell r="J1443">
            <v>0</v>
          </cell>
        </row>
        <row r="1444">
          <cell r="B1444" t="str">
            <v>4.1.01.09.05</v>
          </cell>
          <cell r="C1444" t="str">
            <v>Pajak Reklame Berjalan</v>
          </cell>
          <cell r="F1444">
            <v>0</v>
          </cell>
          <cell r="G1444">
            <v>0</v>
          </cell>
          <cell r="H1444">
            <v>0</v>
          </cell>
          <cell r="I1444">
            <v>0</v>
          </cell>
          <cell r="J1444">
            <v>0</v>
          </cell>
        </row>
        <row r="1445">
          <cell r="B1445" t="str">
            <v>4.1.01.09.06</v>
          </cell>
          <cell r="C1445" t="str">
            <v>Pajak Reklame Udara</v>
          </cell>
          <cell r="F1445">
            <v>0</v>
          </cell>
          <cell r="G1445">
            <v>0</v>
          </cell>
          <cell r="H1445">
            <v>0</v>
          </cell>
          <cell r="I1445">
            <v>0</v>
          </cell>
          <cell r="J1445">
            <v>0</v>
          </cell>
        </row>
        <row r="1446">
          <cell r="B1446" t="str">
            <v>4.1.01.09.07</v>
          </cell>
          <cell r="C1446" t="str">
            <v>Pajak Reklame Apung</v>
          </cell>
          <cell r="F1446">
            <v>0</v>
          </cell>
          <cell r="G1446">
            <v>0</v>
          </cell>
          <cell r="H1446">
            <v>0</v>
          </cell>
          <cell r="I1446">
            <v>0</v>
          </cell>
          <cell r="J1446">
            <v>0</v>
          </cell>
        </row>
        <row r="1447">
          <cell r="B1447" t="str">
            <v>4.1.01.09.08</v>
          </cell>
          <cell r="C1447" t="str">
            <v>Pajak Reklame Suara</v>
          </cell>
          <cell r="F1447">
            <v>0</v>
          </cell>
          <cell r="G1447">
            <v>0</v>
          </cell>
          <cell r="H1447">
            <v>0</v>
          </cell>
          <cell r="I1447">
            <v>0</v>
          </cell>
          <cell r="J1447">
            <v>0</v>
          </cell>
        </row>
        <row r="1448">
          <cell r="B1448" t="str">
            <v>4.1.01.09.09</v>
          </cell>
          <cell r="C1448" t="str">
            <v>Pajak Reklame Film/Slide</v>
          </cell>
          <cell r="F1448">
            <v>0</v>
          </cell>
          <cell r="G1448">
            <v>0</v>
          </cell>
          <cell r="H1448">
            <v>0</v>
          </cell>
          <cell r="I1448">
            <v>0</v>
          </cell>
          <cell r="J1448">
            <v>0</v>
          </cell>
        </row>
        <row r="1449">
          <cell r="B1449" t="str">
            <v>4.1.01.09.10</v>
          </cell>
          <cell r="C1449" t="str">
            <v>Pajak Reklame Peragaan</v>
          </cell>
          <cell r="F1449">
            <v>0</v>
          </cell>
          <cell r="G1449">
            <v>0</v>
          </cell>
          <cell r="H1449">
            <v>0</v>
          </cell>
          <cell r="I1449">
            <v>0</v>
          </cell>
          <cell r="J1449">
            <v>0</v>
          </cell>
        </row>
        <row r="1450">
          <cell r="B1450" t="str">
            <v>4.1.01.10</v>
          </cell>
          <cell r="C1450" t="str">
            <v>Pajak Penerangan Jalan</v>
          </cell>
          <cell r="D1450">
            <v>11578186895</v>
          </cell>
          <cell r="E1450">
            <v>0</v>
          </cell>
          <cell r="J1450">
            <v>0</v>
          </cell>
        </row>
        <row r="1451">
          <cell r="B1451" t="str">
            <v>4.1.01.10.01</v>
          </cell>
          <cell r="C1451" t="str">
            <v>Pajak Penerangan Jalan Dihasilkan Sendiri</v>
          </cell>
          <cell r="F1451">
            <v>0</v>
          </cell>
          <cell r="G1451">
            <v>0</v>
          </cell>
          <cell r="H1451">
            <v>0</v>
          </cell>
          <cell r="I1451">
            <v>0</v>
          </cell>
          <cell r="J1451">
            <v>0</v>
          </cell>
        </row>
        <row r="1452">
          <cell r="B1452" t="str">
            <v>4.1.01.10.02</v>
          </cell>
          <cell r="C1452" t="str">
            <v>Pajak Penerangan Jalan Sumber Lain</v>
          </cell>
          <cell r="D1452">
            <v>11578186895</v>
          </cell>
          <cell r="F1452">
            <v>0</v>
          </cell>
          <cell r="G1452">
            <v>0</v>
          </cell>
          <cell r="H1452">
            <v>0</v>
          </cell>
          <cell r="I1452">
            <v>0</v>
          </cell>
          <cell r="J1452">
            <v>0</v>
          </cell>
        </row>
        <row r="1453">
          <cell r="B1453" t="str">
            <v>4.1.01.11</v>
          </cell>
          <cell r="C1453" t="str">
            <v>Pajak Parkir</v>
          </cell>
          <cell r="D1453">
            <v>46815200</v>
          </cell>
          <cell r="E1453">
            <v>0</v>
          </cell>
          <cell r="J1453">
            <v>0</v>
          </cell>
        </row>
        <row r="1454">
          <cell r="B1454" t="str">
            <v>4.1.01.11.01</v>
          </cell>
          <cell r="C1454" t="str">
            <v>Pajak Parkir</v>
          </cell>
          <cell r="D1454">
            <v>46815200</v>
          </cell>
          <cell r="F1454">
            <v>0</v>
          </cell>
          <cell r="G1454">
            <v>0</v>
          </cell>
          <cell r="H1454">
            <v>0</v>
          </cell>
          <cell r="I1454">
            <v>0</v>
          </cell>
          <cell r="J1454">
            <v>0</v>
          </cell>
        </row>
        <row r="1455">
          <cell r="B1455" t="str">
            <v>4.1.01.12</v>
          </cell>
          <cell r="C1455" t="str">
            <v>Pajak Air Tanah</v>
          </cell>
          <cell r="D1455">
            <v>59580000</v>
          </cell>
          <cell r="E1455">
            <v>59980000</v>
          </cell>
          <cell r="J1455">
            <v>59980000</v>
          </cell>
        </row>
        <row r="1456">
          <cell r="B1456" t="str">
            <v>4.1.01.12.01</v>
          </cell>
          <cell r="C1456" t="str">
            <v>Pajak Air Tanah</v>
          </cell>
          <cell r="D1456">
            <v>59580000</v>
          </cell>
          <cell r="E1456">
            <v>59980000</v>
          </cell>
          <cell r="F1456">
            <v>0</v>
          </cell>
          <cell r="G1456">
            <v>0</v>
          </cell>
          <cell r="H1456">
            <v>0</v>
          </cell>
          <cell r="I1456">
            <v>0</v>
          </cell>
          <cell r="J1456">
            <v>59980000</v>
          </cell>
        </row>
        <row r="1457">
          <cell r="B1457" t="str">
            <v>4.1.01.13</v>
          </cell>
          <cell r="C1457" t="str">
            <v>Pajak Sarang Burung Walet</v>
          </cell>
          <cell r="D1457">
            <v>3524000</v>
          </cell>
          <cell r="E1457">
            <v>6590000</v>
          </cell>
          <cell r="J1457">
            <v>6590000</v>
          </cell>
        </row>
        <row r="1458">
          <cell r="B1458" t="str">
            <v>4.1.01.13.01</v>
          </cell>
          <cell r="C1458" t="str">
            <v>Pajak Sarang Burung Walet</v>
          </cell>
          <cell r="D1458">
            <v>3524000</v>
          </cell>
          <cell r="E1458">
            <v>6590000</v>
          </cell>
          <cell r="F1458">
            <v>0</v>
          </cell>
          <cell r="G1458">
            <v>0</v>
          </cell>
          <cell r="H1458">
            <v>0</v>
          </cell>
          <cell r="I1458">
            <v>0</v>
          </cell>
          <cell r="J1458">
            <v>6590000</v>
          </cell>
        </row>
        <row r="1459">
          <cell r="B1459" t="str">
            <v>4.1.01.14</v>
          </cell>
          <cell r="C1459" t="str">
            <v>Pajak Mineral Bukan Logam dan Batuan</v>
          </cell>
          <cell r="D1459">
            <v>271985000</v>
          </cell>
          <cell r="E1459">
            <v>291413070.13999999</v>
          </cell>
          <cell r="J1459">
            <v>291413070.13999999</v>
          </cell>
        </row>
        <row r="1460">
          <cell r="B1460" t="str">
            <v>4.1.01.14.01</v>
          </cell>
          <cell r="C1460" t="str">
            <v>Pajak Asbes</v>
          </cell>
          <cell r="F1460">
            <v>0</v>
          </cell>
          <cell r="G1460">
            <v>0</v>
          </cell>
          <cell r="H1460">
            <v>0</v>
          </cell>
          <cell r="I1460">
            <v>0</v>
          </cell>
          <cell r="J1460">
            <v>0</v>
          </cell>
        </row>
        <row r="1461">
          <cell r="B1461" t="str">
            <v>4.1.01.14.02</v>
          </cell>
          <cell r="C1461" t="str">
            <v>Pajak Batu Tulis</v>
          </cell>
          <cell r="F1461">
            <v>0</v>
          </cell>
          <cell r="G1461">
            <v>0</v>
          </cell>
          <cell r="H1461">
            <v>0</v>
          </cell>
          <cell r="I1461">
            <v>0</v>
          </cell>
          <cell r="J1461">
            <v>0</v>
          </cell>
        </row>
        <row r="1462">
          <cell r="B1462" t="str">
            <v>4.1.01.14.03</v>
          </cell>
          <cell r="C1462" t="str">
            <v>Pajak Batu Setengah Permata</v>
          </cell>
          <cell r="F1462">
            <v>0</v>
          </cell>
          <cell r="G1462">
            <v>0</v>
          </cell>
          <cell r="H1462">
            <v>0</v>
          </cell>
          <cell r="I1462">
            <v>0</v>
          </cell>
          <cell r="J1462">
            <v>0</v>
          </cell>
        </row>
        <row r="1463">
          <cell r="B1463" t="str">
            <v>4.1.01.14.04</v>
          </cell>
          <cell r="C1463" t="str">
            <v>Pajak Batu Kapur</v>
          </cell>
          <cell r="F1463">
            <v>0</v>
          </cell>
          <cell r="G1463">
            <v>0</v>
          </cell>
          <cell r="H1463">
            <v>0</v>
          </cell>
          <cell r="I1463">
            <v>0</v>
          </cell>
          <cell r="J1463">
            <v>0</v>
          </cell>
        </row>
        <row r="1464">
          <cell r="B1464" t="str">
            <v>4.1.01.14.05</v>
          </cell>
          <cell r="C1464" t="str">
            <v>Pajak Batu Apung</v>
          </cell>
          <cell r="F1464">
            <v>0</v>
          </cell>
          <cell r="G1464">
            <v>0</v>
          </cell>
          <cell r="H1464">
            <v>0</v>
          </cell>
          <cell r="I1464">
            <v>0</v>
          </cell>
          <cell r="J1464">
            <v>0</v>
          </cell>
        </row>
        <row r="1465">
          <cell r="B1465" t="str">
            <v>4.1.01.14.06</v>
          </cell>
          <cell r="C1465" t="str">
            <v>Pajak Batu Permata</v>
          </cell>
          <cell r="F1465">
            <v>0</v>
          </cell>
          <cell r="G1465">
            <v>0</v>
          </cell>
          <cell r="H1465">
            <v>0</v>
          </cell>
          <cell r="I1465">
            <v>0</v>
          </cell>
          <cell r="J1465">
            <v>0</v>
          </cell>
        </row>
        <row r="1466">
          <cell r="B1466" t="str">
            <v>4.1.01.14.07</v>
          </cell>
          <cell r="C1466" t="str">
            <v>Pajak Bentonit</v>
          </cell>
          <cell r="F1466">
            <v>0</v>
          </cell>
          <cell r="G1466">
            <v>0</v>
          </cell>
          <cell r="H1466">
            <v>0</v>
          </cell>
          <cell r="I1466">
            <v>0</v>
          </cell>
          <cell r="J1466">
            <v>0</v>
          </cell>
        </row>
        <row r="1467">
          <cell r="B1467" t="str">
            <v>4.1.01.14.08</v>
          </cell>
          <cell r="C1467" t="str">
            <v>Pajak Dolomit</v>
          </cell>
          <cell r="F1467">
            <v>0</v>
          </cell>
          <cell r="G1467">
            <v>0</v>
          </cell>
          <cell r="H1467">
            <v>0</v>
          </cell>
          <cell r="I1467">
            <v>0</v>
          </cell>
          <cell r="J1467">
            <v>0</v>
          </cell>
        </row>
        <row r="1468">
          <cell r="B1468" t="str">
            <v>4.1.01.14.09</v>
          </cell>
          <cell r="C1468" t="str">
            <v>Pajak Felspar</v>
          </cell>
          <cell r="F1468">
            <v>0</v>
          </cell>
          <cell r="G1468">
            <v>0</v>
          </cell>
          <cell r="H1468">
            <v>0</v>
          </cell>
          <cell r="I1468">
            <v>0</v>
          </cell>
          <cell r="J1468">
            <v>0</v>
          </cell>
        </row>
        <row r="1469">
          <cell r="B1469" t="str">
            <v>4.1.01.14.10</v>
          </cell>
          <cell r="C1469" t="str">
            <v>Pajak Garam Batu (Halite)</v>
          </cell>
          <cell r="F1469">
            <v>0</v>
          </cell>
          <cell r="G1469">
            <v>0</v>
          </cell>
          <cell r="H1469">
            <v>0</v>
          </cell>
          <cell r="I1469">
            <v>0</v>
          </cell>
          <cell r="J1469">
            <v>0</v>
          </cell>
        </row>
        <row r="1470">
          <cell r="B1470" t="str">
            <v>4.1.01.14.11</v>
          </cell>
          <cell r="C1470" t="str">
            <v>Pajak Grafit</v>
          </cell>
          <cell r="F1470">
            <v>0</v>
          </cell>
          <cell r="G1470">
            <v>0</v>
          </cell>
          <cell r="H1470">
            <v>0</v>
          </cell>
          <cell r="I1470">
            <v>0</v>
          </cell>
          <cell r="J1470">
            <v>0</v>
          </cell>
        </row>
        <row r="1471">
          <cell r="B1471" t="str">
            <v>4.1.01.14.12</v>
          </cell>
          <cell r="C1471" t="str">
            <v>Pajak Granit/Andesit</v>
          </cell>
          <cell r="F1471">
            <v>0</v>
          </cell>
          <cell r="G1471">
            <v>0</v>
          </cell>
          <cell r="H1471">
            <v>0</v>
          </cell>
          <cell r="I1471">
            <v>0</v>
          </cell>
          <cell r="J1471">
            <v>0</v>
          </cell>
        </row>
        <row r="1472">
          <cell r="B1472" t="str">
            <v>4.1.01.14.13</v>
          </cell>
          <cell r="C1472" t="str">
            <v>Pajak Gips</v>
          </cell>
          <cell r="F1472">
            <v>0</v>
          </cell>
          <cell r="G1472">
            <v>0</v>
          </cell>
          <cell r="H1472">
            <v>0</v>
          </cell>
          <cell r="I1472">
            <v>0</v>
          </cell>
          <cell r="J1472">
            <v>0</v>
          </cell>
        </row>
        <row r="1473">
          <cell r="B1473" t="str">
            <v>4.1.01.14.14</v>
          </cell>
          <cell r="C1473" t="str">
            <v>Pajak Kalsit</v>
          </cell>
          <cell r="F1473">
            <v>0</v>
          </cell>
          <cell r="G1473">
            <v>0</v>
          </cell>
          <cell r="H1473">
            <v>0</v>
          </cell>
          <cell r="I1473">
            <v>0</v>
          </cell>
          <cell r="J1473">
            <v>0</v>
          </cell>
        </row>
        <row r="1474">
          <cell r="B1474" t="str">
            <v>4.1.01.14.15</v>
          </cell>
          <cell r="C1474" t="str">
            <v>Pajak Kaolin</v>
          </cell>
          <cell r="F1474">
            <v>0</v>
          </cell>
          <cell r="G1474">
            <v>0</v>
          </cell>
          <cell r="H1474">
            <v>0</v>
          </cell>
          <cell r="I1474">
            <v>0</v>
          </cell>
          <cell r="J1474">
            <v>0</v>
          </cell>
        </row>
        <row r="1475">
          <cell r="B1475" t="str">
            <v>4.1.01.14.16</v>
          </cell>
          <cell r="C1475" t="str">
            <v>Pajak Leusit</v>
          </cell>
          <cell r="F1475">
            <v>0</v>
          </cell>
          <cell r="G1475">
            <v>0</v>
          </cell>
          <cell r="H1475">
            <v>0</v>
          </cell>
          <cell r="I1475">
            <v>0</v>
          </cell>
          <cell r="J1475">
            <v>0</v>
          </cell>
        </row>
        <row r="1476">
          <cell r="B1476" t="str">
            <v>4.1.01.14.17</v>
          </cell>
          <cell r="C1476" t="str">
            <v>Pajak Magnesit</v>
          </cell>
          <cell r="F1476">
            <v>0</v>
          </cell>
          <cell r="G1476">
            <v>0</v>
          </cell>
          <cell r="H1476">
            <v>0</v>
          </cell>
          <cell r="I1476">
            <v>0</v>
          </cell>
          <cell r="J1476">
            <v>0</v>
          </cell>
        </row>
        <row r="1477">
          <cell r="B1477" t="str">
            <v>4.1.01.14.18</v>
          </cell>
          <cell r="C1477" t="str">
            <v>Pajak Mika</v>
          </cell>
          <cell r="F1477">
            <v>0</v>
          </cell>
          <cell r="G1477">
            <v>0</v>
          </cell>
          <cell r="H1477">
            <v>0</v>
          </cell>
          <cell r="I1477">
            <v>0</v>
          </cell>
          <cell r="J1477">
            <v>0</v>
          </cell>
        </row>
        <row r="1478">
          <cell r="B1478" t="str">
            <v>4.1.01.14.19</v>
          </cell>
          <cell r="C1478" t="str">
            <v>Pajak Marmer</v>
          </cell>
          <cell r="F1478">
            <v>0</v>
          </cell>
          <cell r="G1478">
            <v>0</v>
          </cell>
          <cell r="H1478">
            <v>0</v>
          </cell>
          <cell r="I1478">
            <v>0</v>
          </cell>
          <cell r="J1478">
            <v>0</v>
          </cell>
        </row>
        <row r="1479">
          <cell r="B1479" t="str">
            <v>4.1.01.14.20</v>
          </cell>
          <cell r="C1479" t="str">
            <v>Pajak Nitrat</v>
          </cell>
          <cell r="F1479">
            <v>0</v>
          </cell>
          <cell r="G1479">
            <v>0</v>
          </cell>
          <cell r="H1479">
            <v>0</v>
          </cell>
          <cell r="I1479">
            <v>0</v>
          </cell>
          <cell r="J1479">
            <v>0</v>
          </cell>
        </row>
        <row r="1480">
          <cell r="B1480" t="str">
            <v>4.1.01.14.21</v>
          </cell>
          <cell r="C1480" t="str">
            <v>Pajak Opsidien</v>
          </cell>
          <cell r="F1480">
            <v>0</v>
          </cell>
          <cell r="G1480">
            <v>0</v>
          </cell>
          <cell r="H1480">
            <v>0</v>
          </cell>
          <cell r="I1480">
            <v>0</v>
          </cell>
          <cell r="J1480">
            <v>0</v>
          </cell>
        </row>
        <row r="1481">
          <cell r="B1481" t="str">
            <v>4.1.01.14.22</v>
          </cell>
          <cell r="C1481" t="str">
            <v>Pajak Oker</v>
          </cell>
          <cell r="F1481">
            <v>0</v>
          </cell>
          <cell r="G1481">
            <v>0</v>
          </cell>
          <cell r="H1481">
            <v>0</v>
          </cell>
          <cell r="I1481">
            <v>0</v>
          </cell>
          <cell r="J1481">
            <v>0</v>
          </cell>
        </row>
        <row r="1482">
          <cell r="B1482" t="str">
            <v>4.1.01.14.23</v>
          </cell>
          <cell r="C1482" t="str">
            <v>Pajak Pasir dan Kerikil</v>
          </cell>
          <cell r="D1482">
            <v>94443000</v>
          </cell>
          <cell r="E1482">
            <v>139028159.5</v>
          </cell>
          <cell r="F1482">
            <v>0</v>
          </cell>
          <cell r="G1482">
            <v>0</v>
          </cell>
          <cell r="H1482">
            <v>0</v>
          </cell>
          <cell r="I1482">
            <v>0</v>
          </cell>
          <cell r="J1482">
            <v>139028159.5</v>
          </cell>
        </row>
        <row r="1483">
          <cell r="B1483" t="str">
            <v>4.1.01.14.24</v>
          </cell>
          <cell r="C1483" t="str">
            <v>Pajak Pasir Kuarsa</v>
          </cell>
          <cell r="F1483">
            <v>0</v>
          </cell>
          <cell r="G1483">
            <v>0</v>
          </cell>
          <cell r="H1483">
            <v>0</v>
          </cell>
          <cell r="I1483">
            <v>0</v>
          </cell>
          <cell r="J1483">
            <v>0</v>
          </cell>
        </row>
        <row r="1484">
          <cell r="B1484" t="str">
            <v>4.1.01.14.25</v>
          </cell>
          <cell r="C1484" t="str">
            <v>Pajak Perlit</v>
          </cell>
          <cell r="F1484">
            <v>0</v>
          </cell>
          <cell r="G1484">
            <v>0</v>
          </cell>
          <cell r="H1484">
            <v>0</v>
          </cell>
          <cell r="I1484">
            <v>0</v>
          </cell>
          <cell r="J1484">
            <v>0</v>
          </cell>
        </row>
        <row r="1485">
          <cell r="B1485" t="str">
            <v>4.1.01.14.26</v>
          </cell>
          <cell r="C1485" t="str">
            <v>Pajak Phospat</v>
          </cell>
          <cell r="F1485">
            <v>0</v>
          </cell>
          <cell r="G1485">
            <v>0</v>
          </cell>
          <cell r="H1485">
            <v>0</v>
          </cell>
          <cell r="I1485">
            <v>0</v>
          </cell>
          <cell r="J1485">
            <v>0</v>
          </cell>
        </row>
        <row r="1486">
          <cell r="B1486" t="str">
            <v>4.1.01.14.27</v>
          </cell>
          <cell r="C1486" t="str">
            <v>Pajak Talk</v>
          </cell>
          <cell r="F1486">
            <v>0</v>
          </cell>
          <cell r="G1486">
            <v>0</v>
          </cell>
          <cell r="H1486">
            <v>0</v>
          </cell>
          <cell r="I1486">
            <v>0</v>
          </cell>
          <cell r="J1486">
            <v>0</v>
          </cell>
        </row>
        <row r="1487">
          <cell r="B1487" t="str">
            <v>4.1.01.14.28</v>
          </cell>
          <cell r="C1487" t="str">
            <v>Pajak Tanah Serap (Fullers Earth)</v>
          </cell>
          <cell r="F1487">
            <v>0</v>
          </cell>
          <cell r="G1487">
            <v>0</v>
          </cell>
          <cell r="H1487">
            <v>0</v>
          </cell>
          <cell r="I1487">
            <v>0</v>
          </cell>
          <cell r="J1487">
            <v>0</v>
          </cell>
        </row>
        <row r="1488">
          <cell r="B1488" t="str">
            <v>4.1.01.14.29</v>
          </cell>
          <cell r="C1488" t="str">
            <v>Pajak Tanah Diatome</v>
          </cell>
          <cell r="F1488">
            <v>0</v>
          </cell>
          <cell r="G1488">
            <v>0</v>
          </cell>
          <cell r="H1488">
            <v>0</v>
          </cell>
          <cell r="I1488">
            <v>0</v>
          </cell>
          <cell r="J1488">
            <v>0</v>
          </cell>
        </row>
        <row r="1489">
          <cell r="B1489" t="str">
            <v>4.1.01.14.30</v>
          </cell>
          <cell r="C1489" t="str">
            <v>Pajak Tanah Liat</v>
          </cell>
          <cell r="D1489">
            <v>54289000</v>
          </cell>
          <cell r="E1489">
            <v>68900086.640000001</v>
          </cell>
          <cell r="F1489">
            <v>0</v>
          </cell>
          <cell r="G1489">
            <v>0</v>
          </cell>
          <cell r="H1489">
            <v>0</v>
          </cell>
          <cell r="I1489">
            <v>0</v>
          </cell>
          <cell r="J1489">
            <v>68900086.640000001</v>
          </cell>
        </row>
        <row r="1490">
          <cell r="B1490" t="str">
            <v>4.1.01.14.31</v>
          </cell>
          <cell r="C1490" t="str">
            <v>Pajak Tawas (Alum)</v>
          </cell>
          <cell r="F1490">
            <v>0</v>
          </cell>
          <cell r="G1490">
            <v>0</v>
          </cell>
          <cell r="H1490">
            <v>0</v>
          </cell>
          <cell r="I1490">
            <v>0</v>
          </cell>
          <cell r="J1490">
            <v>0</v>
          </cell>
        </row>
        <row r="1491">
          <cell r="B1491" t="str">
            <v>4.1.01.14.32</v>
          </cell>
          <cell r="C1491" t="str">
            <v>Pajak Tras</v>
          </cell>
          <cell r="F1491">
            <v>0</v>
          </cell>
          <cell r="G1491">
            <v>0</v>
          </cell>
          <cell r="H1491">
            <v>0</v>
          </cell>
          <cell r="I1491">
            <v>0</v>
          </cell>
          <cell r="J1491">
            <v>0</v>
          </cell>
        </row>
        <row r="1492">
          <cell r="B1492" t="str">
            <v>4.1.01.14.33</v>
          </cell>
          <cell r="C1492" t="str">
            <v>Pajak Yarosif</v>
          </cell>
          <cell r="F1492">
            <v>0</v>
          </cell>
          <cell r="G1492">
            <v>0</v>
          </cell>
          <cell r="H1492">
            <v>0</v>
          </cell>
          <cell r="I1492">
            <v>0</v>
          </cell>
          <cell r="J1492">
            <v>0</v>
          </cell>
        </row>
        <row r="1493">
          <cell r="B1493" t="str">
            <v>4.1.01.14.34</v>
          </cell>
          <cell r="C1493" t="str">
            <v>Pajak Zeolit</v>
          </cell>
          <cell r="F1493">
            <v>0</v>
          </cell>
          <cell r="G1493">
            <v>0</v>
          </cell>
          <cell r="H1493">
            <v>0</v>
          </cell>
          <cell r="I1493">
            <v>0</v>
          </cell>
          <cell r="J1493">
            <v>0</v>
          </cell>
        </row>
        <row r="1494">
          <cell r="B1494" t="str">
            <v>4.1.01.14.35</v>
          </cell>
          <cell r="C1494" t="str">
            <v>Pajak Basal</v>
          </cell>
          <cell r="F1494">
            <v>0</v>
          </cell>
          <cell r="G1494">
            <v>0</v>
          </cell>
          <cell r="H1494">
            <v>0</v>
          </cell>
          <cell r="I1494">
            <v>0</v>
          </cell>
          <cell r="J1494">
            <v>0</v>
          </cell>
        </row>
        <row r="1495">
          <cell r="B1495" t="str">
            <v>4.1.01.14.36</v>
          </cell>
          <cell r="C1495" t="str">
            <v>Pajak Trakit</v>
          </cell>
          <cell r="F1495">
            <v>0</v>
          </cell>
          <cell r="G1495">
            <v>0</v>
          </cell>
          <cell r="H1495">
            <v>0</v>
          </cell>
          <cell r="I1495">
            <v>0</v>
          </cell>
          <cell r="J1495">
            <v>0</v>
          </cell>
        </row>
        <row r="1496">
          <cell r="B1496" t="str">
            <v>4.1.01.14.37</v>
          </cell>
          <cell r="C1496" t="str">
            <v>Pajak Mineral bukan Logam dan Batuan Lainnya</v>
          </cell>
          <cell r="D1496">
            <v>123253000</v>
          </cell>
          <cell r="E1496">
            <v>83484824</v>
          </cell>
          <cell r="F1496">
            <v>0</v>
          </cell>
          <cell r="G1496">
            <v>0</v>
          </cell>
          <cell r="H1496">
            <v>0</v>
          </cell>
          <cell r="I1496">
            <v>0</v>
          </cell>
          <cell r="J1496">
            <v>83484824</v>
          </cell>
        </row>
        <row r="1497">
          <cell r="B1497" t="str">
            <v>4.1.01.14.38</v>
          </cell>
          <cell r="C1497" t="str">
            <v>Pajak Belerang</v>
          </cell>
          <cell r="F1497">
            <v>0</v>
          </cell>
          <cell r="G1497">
            <v>0</v>
          </cell>
          <cell r="H1497">
            <v>0</v>
          </cell>
          <cell r="I1497">
            <v>0</v>
          </cell>
          <cell r="J1497">
            <v>0</v>
          </cell>
        </row>
        <row r="1498">
          <cell r="B1498" t="str">
            <v>4.1.01.14.39</v>
          </cell>
          <cell r="C1498" t="str">
            <v>Pajak MBLB Ikutan Dalam Suatu Pertambangan Mineral</v>
          </cell>
          <cell r="F1498">
            <v>0</v>
          </cell>
          <cell r="G1498">
            <v>0</v>
          </cell>
          <cell r="H1498">
            <v>0</v>
          </cell>
          <cell r="I1498">
            <v>0</v>
          </cell>
          <cell r="J1498">
            <v>0</v>
          </cell>
        </row>
        <row r="1499">
          <cell r="B1499" t="str">
            <v>4.1.01.15</v>
          </cell>
          <cell r="C1499" t="str">
            <v>Pajak Bumi dan Bangunan Perdesaan dan Perkotaan (PBBP2)</v>
          </cell>
          <cell r="D1499">
            <v>2301037953</v>
          </cell>
          <cell r="E1499">
            <v>2194349205</v>
          </cell>
          <cell r="J1499">
            <v>2194349205</v>
          </cell>
        </row>
        <row r="1500">
          <cell r="B1500" t="str">
            <v>4.1.01.15.01</v>
          </cell>
          <cell r="C1500" t="str">
            <v>PBBP2</v>
          </cell>
          <cell r="D1500">
            <v>2301037953</v>
          </cell>
          <cell r="E1500">
            <v>2194349205</v>
          </cell>
          <cell r="F1500">
            <v>0</v>
          </cell>
          <cell r="G1500">
            <v>0</v>
          </cell>
          <cell r="H1500">
            <v>0</v>
          </cell>
          <cell r="I1500">
            <v>0</v>
          </cell>
          <cell r="J1500">
            <v>2194349205</v>
          </cell>
        </row>
        <row r="1501">
          <cell r="B1501" t="str">
            <v>4.1.01.16</v>
          </cell>
          <cell r="C1501" t="str">
            <v>Bea Perolehan Hak Atas Tanah dan Bangunan (BPHTB)</v>
          </cell>
          <cell r="D1501">
            <v>987888550</v>
          </cell>
          <cell r="E1501">
            <v>1835823339</v>
          </cell>
          <cell r="J1501">
            <v>1835823339</v>
          </cell>
        </row>
        <row r="1502">
          <cell r="B1502" t="str">
            <v>4.1.01.16.01</v>
          </cell>
          <cell r="C1502" t="str">
            <v>BPHTB-Pemindahan Hak</v>
          </cell>
          <cell r="D1502">
            <v>987888550</v>
          </cell>
          <cell r="E1502">
            <v>1835823339</v>
          </cell>
          <cell r="F1502">
            <v>0</v>
          </cell>
          <cell r="G1502">
            <v>0</v>
          </cell>
          <cell r="H1502">
            <v>0</v>
          </cell>
          <cell r="I1502">
            <v>0</v>
          </cell>
          <cell r="J1502">
            <v>1835823339</v>
          </cell>
        </row>
        <row r="1503">
          <cell r="B1503" t="str">
            <v>4.1.01.16.02</v>
          </cell>
          <cell r="C1503" t="str">
            <v>BPHTB-Pemberian Hak Baru</v>
          </cell>
          <cell r="F1503">
            <v>0</v>
          </cell>
          <cell r="G1503">
            <v>0</v>
          </cell>
          <cell r="H1503">
            <v>0</v>
          </cell>
          <cell r="I1503">
            <v>0</v>
          </cell>
          <cell r="J1503">
            <v>0</v>
          </cell>
        </row>
        <row r="1504">
          <cell r="B1504" t="str">
            <v>4.1.01.17</v>
          </cell>
          <cell r="C1504" t="str">
            <v>Pajak Alat Berat</v>
          </cell>
          <cell r="D1504">
            <v>0</v>
          </cell>
          <cell r="E1504">
            <v>0</v>
          </cell>
          <cell r="J1504">
            <v>0</v>
          </cell>
        </row>
        <row r="1505">
          <cell r="B1505" t="str">
            <v>4.1.01.17.01</v>
          </cell>
          <cell r="C1505" t="str">
            <v>Pajak Alat Berat</v>
          </cell>
          <cell r="F1505">
            <v>0</v>
          </cell>
          <cell r="G1505">
            <v>0</v>
          </cell>
          <cell r="H1505">
            <v>0</v>
          </cell>
          <cell r="I1505">
            <v>0</v>
          </cell>
          <cell r="J1505">
            <v>0</v>
          </cell>
        </row>
        <row r="1506">
          <cell r="B1506" t="str">
            <v>4.1.01.18</v>
          </cell>
          <cell r="C1506" t="str">
            <v>Opsen Pajak Mineral Bukan Logam dan Batuan (MBLB)</v>
          </cell>
          <cell r="D1506">
            <v>0</v>
          </cell>
          <cell r="E1506">
            <v>0</v>
          </cell>
          <cell r="J1506">
            <v>0</v>
          </cell>
        </row>
        <row r="1507">
          <cell r="B1507" t="str">
            <v>4.1.01.18.01</v>
          </cell>
          <cell r="C1507" t="str">
            <v>Opsen Pajak Mineral Bukan Logam dan Batuan (MBLB)</v>
          </cell>
          <cell r="F1507">
            <v>0</v>
          </cell>
          <cell r="G1507">
            <v>0</v>
          </cell>
          <cell r="H1507">
            <v>0</v>
          </cell>
          <cell r="I1507">
            <v>0</v>
          </cell>
          <cell r="J1507">
            <v>0</v>
          </cell>
        </row>
        <row r="1508">
          <cell r="B1508" t="str">
            <v>4.1.01.19</v>
          </cell>
          <cell r="C1508" t="str">
            <v>Pajak Barang dan Jasa Tertentu (PBJT)</v>
          </cell>
          <cell r="D1508">
            <v>0</v>
          </cell>
          <cell r="E1508">
            <v>14456788151.77</v>
          </cell>
          <cell r="J1508">
            <v>14456788151.77</v>
          </cell>
        </row>
        <row r="1509">
          <cell r="B1509" t="str">
            <v>4.1.01.19.01</v>
          </cell>
          <cell r="C1509" t="str">
            <v>PBJT-Makanan dan/atau Minuman</v>
          </cell>
          <cell r="E1509">
            <v>317312784</v>
          </cell>
          <cell r="F1509">
            <v>0</v>
          </cell>
          <cell r="G1509">
            <v>0</v>
          </cell>
          <cell r="H1509">
            <v>0</v>
          </cell>
          <cell r="I1509">
            <v>0</v>
          </cell>
          <cell r="J1509">
            <v>317312784</v>
          </cell>
        </row>
        <row r="1510">
          <cell r="B1510" t="str">
            <v>4.1.01.19.02</v>
          </cell>
          <cell r="C1510" t="str">
            <v>PBJT-Tenaga Listrik</v>
          </cell>
          <cell r="E1510">
            <v>12909014222</v>
          </cell>
          <cell r="F1510">
            <v>0</v>
          </cell>
          <cell r="G1510">
            <v>0</v>
          </cell>
          <cell r="H1510">
            <v>0</v>
          </cell>
          <cell r="I1510">
            <v>0</v>
          </cell>
          <cell r="J1510">
            <v>12909014222</v>
          </cell>
        </row>
        <row r="1511">
          <cell r="B1511" t="str">
            <v>4.1.01.19.03</v>
          </cell>
          <cell r="C1511" t="str">
            <v>PBJT-Jasa Perhotelan</v>
          </cell>
          <cell r="E1511">
            <v>1177202745.77</v>
          </cell>
          <cell r="F1511">
            <v>0</v>
          </cell>
          <cell r="G1511">
            <v>0</v>
          </cell>
          <cell r="H1511">
            <v>0</v>
          </cell>
          <cell r="I1511">
            <v>0</v>
          </cell>
          <cell r="J1511">
            <v>1177202745.77</v>
          </cell>
        </row>
        <row r="1512">
          <cell r="B1512" t="str">
            <v>4.1.01.19.04</v>
          </cell>
          <cell r="C1512" t="str">
            <v>PBJT-Jasa Parkir</v>
          </cell>
          <cell r="E1512">
            <v>49808400</v>
          </cell>
          <cell r="F1512">
            <v>0</v>
          </cell>
          <cell r="G1512">
            <v>0</v>
          </cell>
          <cell r="H1512">
            <v>0</v>
          </cell>
          <cell r="I1512">
            <v>0</v>
          </cell>
          <cell r="J1512">
            <v>49808400</v>
          </cell>
        </row>
        <row r="1513">
          <cell r="B1513" t="str">
            <v>4.1.01.19.05</v>
          </cell>
          <cell r="C1513" t="str">
            <v>PBJT-Jasa Kesenian dan Hiburan</v>
          </cell>
          <cell r="E1513">
            <v>3450000</v>
          </cell>
          <cell r="F1513">
            <v>0</v>
          </cell>
          <cell r="G1513">
            <v>0</v>
          </cell>
          <cell r="H1513">
            <v>0</v>
          </cell>
          <cell r="I1513">
            <v>0</v>
          </cell>
          <cell r="J1513">
            <v>3450000</v>
          </cell>
        </row>
        <row r="1514">
          <cell r="B1514" t="str">
            <v>4.1.01.20</v>
          </cell>
          <cell r="C1514" t="str">
            <v>Opsen Pajak Kendaraan Bermotor (PKB)</v>
          </cell>
          <cell r="D1514">
            <v>0</v>
          </cell>
          <cell r="E1514">
            <v>10528738682</v>
          </cell>
          <cell r="J1514">
            <v>10528738682</v>
          </cell>
        </row>
        <row r="1515">
          <cell r="B1515" t="str">
            <v>4.1.01.20.01</v>
          </cell>
          <cell r="C1515" t="str">
            <v>Opsen PKB</v>
          </cell>
          <cell r="E1515">
            <v>10528738682</v>
          </cell>
          <cell r="F1515">
            <v>0</v>
          </cell>
          <cell r="G1515">
            <v>0</v>
          </cell>
          <cell r="H1515">
            <v>0</v>
          </cell>
          <cell r="I1515">
            <v>0</v>
          </cell>
          <cell r="J1515">
            <v>10528738682</v>
          </cell>
        </row>
        <row r="1516">
          <cell r="B1516" t="str">
            <v>4.1.01.21</v>
          </cell>
          <cell r="C1516" t="str">
            <v>Opsen Bea Balik Nama Kendaraan Bermotor (BBNKB)</v>
          </cell>
          <cell r="D1516">
            <v>0</v>
          </cell>
          <cell r="E1516">
            <v>6242217017</v>
          </cell>
          <cell r="J1516">
            <v>6242217017</v>
          </cell>
        </row>
        <row r="1517">
          <cell r="B1517" t="str">
            <v>4.1.01.21.01</v>
          </cell>
          <cell r="C1517" t="str">
            <v>Opsen BBNKB</v>
          </cell>
          <cell r="E1517">
            <v>6242217017</v>
          </cell>
          <cell r="F1517">
            <v>0</v>
          </cell>
          <cell r="G1517">
            <v>0</v>
          </cell>
          <cell r="H1517">
            <v>0</v>
          </cell>
          <cell r="I1517">
            <v>0</v>
          </cell>
          <cell r="J1517">
            <v>6242217017</v>
          </cell>
        </row>
        <row r="1519">
          <cell r="B1519" t="str">
            <v>4.1.02</v>
          </cell>
          <cell r="C1519" t="str">
            <v>Retribusi Daerah</v>
          </cell>
          <cell r="D1519">
            <v>17699305005</v>
          </cell>
          <cell r="E1519">
            <v>156388618965.89999</v>
          </cell>
          <cell r="J1519">
            <v>156436905965.89999</v>
          </cell>
        </row>
        <row r="1520">
          <cell r="B1520" t="str">
            <v>4.1.02.01</v>
          </cell>
          <cell r="C1520" t="str">
            <v>Retribusi Jasa Umum</v>
          </cell>
          <cell r="D1520">
            <v>7754275035</v>
          </cell>
          <cell r="E1520">
            <v>144642794578.89999</v>
          </cell>
          <cell r="J1520">
            <v>144691956578.89999</v>
          </cell>
        </row>
        <row r="1521">
          <cell r="B1521" t="str">
            <v>4.1.02.01.01</v>
          </cell>
          <cell r="C1521" t="str">
            <v>Retribusi Pelayanan Kesehatan</v>
          </cell>
          <cell r="D1521">
            <v>6411719535</v>
          </cell>
          <cell r="E1521">
            <v>143546894578.89999</v>
          </cell>
          <cell r="F1521">
            <v>0</v>
          </cell>
          <cell r="G1521">
            <v>49162000</v>
          </cell>
          <cell r="H1521">
            <v>0</v>
          </cell>
          <cell r="I1521">
            <v>0</v>
          </cell>
          <cell r="J1521">
            <v>143596056578.89999</v>
          </cell>
        </row>
        <row r="1522">
          <cell r="B1522" t="str">
            <v>4.1.02.01.02</v>
          </cell>
          <cell r="C1522" t="str">
            <v>Retribusi Pelayanan Persampahan/Kebersihan</v>
          </cell>
          <cell r="D1522">
            <v>181000000</v>
          </cell>
          <cell r="E1522">
            <v>191100000</v>
          </cell>
          <cell r="F1522">
            <v>0</v>
          </cell>
          <cell r="G1522">
            <v>0</v>
          </cell>
          <cell r="H1522">
            <v>0</v>
          </cell>
          <cell r="I1522">
            <v>0</v>
          </cell>
          <cell r="J1522">
            <v>191100000</v>
          </cell>
        </row>
        <row r="1523">
          <cell r="B1523" t="str">
            <v>4.1.02.01.03</v>
          </cell>
          <cell r="C1523" t="str">
            <v>Retribusi Pelayanan Pemakaman dan Pengabuan Mayat</v>
          </cell>
          <cell r="F1523">
            <v>0</v>
          </cell>
          <cell r="G1523">
            <v>0</v>
          </cell>
          <cell r="H1523">
            <v>0</v>
          </cell>
          <cell r="I1523">
            <v>0</v>
          </cell>
          <cell r="J1523">
            <v>0</v>
          </cell>
        </row>
        <row r="1524">
          <cell r="B1524" t="str">
            <v>4.1.02.01.04</v>
          </cell>
          <cell r="C1524" t="str">
            <v>Retribusi Pelayanan Parkir di Tepi Jalan Umum</v>
          </cell>
          <cell r="D1524">
            <v>30653000</v>
          </cell>
          <cell r="E1524">
            <v>37300000</v>
          </cell>
          <cell r="F1524">
            <v>0</v>
          </cell>
          <cell r="G1524">
            <v>0</v>
          </cell>
          <cell r="H1524">
            <v>0</v>
          </cell>
          <cell r="I1524">
            <v>0</v>
          </cell>
          <cell r="J1524">
            <v>37300000</v>
          </cell>
        </row>
        <row r="1525">
          <cell r="B1525" t="str">
            <v>4.1.02.01.05</v>
          </cell>
          <cell r="C1525" t="str">
            <v>Retribusi Pelayanan Pasar</v>
          </cell>
          <cell r="D1525">
            <v>1130902500</v>
          </cell>
          <cell r="E1525">
            <v>867500000</v>
          </cell>
          <cell r="F1525">
            <v>0</v>
          </cell>
          <cell r="G1525">
            <v>0</v>
          </cell>
          <cell r="H1525">
            <v>0</v>
          </cell>
          <cell r="I1525">
            <v>0</v>
          </cell>
          <cell r="J1525">
            <v>867500000</v>
          </cell>
        </row>
        <row r="1526">
          <cell r="B1526" t="str">
            <v>4.1.02.01.06</v>
          </cell>
          <cell r="C1526" t="str">
            <v>Retribusi Pengujian Kendaraan Bermotor</v>
          </cell>
          <cell r="F1526">
            <v>0</v>
          </cell>
          <cell r="G1526">
            <v>0</v>
          </cell>
          <cell r="H1526">
            <v>0</v>
          </cell>
          <cell r="I1526">
            <v>0</v>
          </cell>
          <cell r="J1526">
            <v>0</v>
          </cell>
        </row>
        <row r="1527">
          <cell r="B1527" t="str">
            <v>4.1.02.01.07</v>
          </cell>
          <cell r="C1527" t="str">
            <v>Retribusi Pemeriksaan Alat Pemadam Kebakaran</v>
          </cell>
          <cell r="F1527">
            <v>0</v>
          </cell>
          <cell r="G1527">
            <v>0</v>
          </cell>
          <cell r="H1527">
            <v>0</v>
          </cell>
          <cell r="I1527">
            <v>0</v>
          </cell>
          <cell r="J1527">
            <v>0</v>
          </cell>
        </row>
        <row r="1528">
          <cell r="B1528" t="str">
            <v>4.1.02.01.08</v>
          </cell>
          <cell r="C1528" t="str">
            <v>Retribusi Penggantian Biaya Cetak Peta</v>
          </cell>
          <cell r="F1528">
            <v>0</v>
          </cell>
          <cell r="G1528">
            <v>0</v>
          </cell>
          <cell r="H1528">
            <v>0</v>
          </cell>
          <cell r="I1528">
            <v>0</v>
          </cell>
          <cell r="J1528">
            <v>0</v>
          </cell>
        </row>
        <row r="1529">
          <cell r="B1529" t="str">
            <v>4.1.02.01.09</v>
          </cell>
          <cell r="C1529" t="str">
            <v>Retribusi Penyediaan dan/atau Penyedotan Kakus</v>
          </cell>
          <cell r="F1529">
            <v>0</v>
          </cell>
          <cell r="G1529">
            <v>0</v>
          </cell>
          <cell r="H1529">
            <v>0</v>
          </cell>
          <cell r="I1529">
            <v>0</v>
          </cell>
          <cell r="J1529">
            <v>0</v>
          </cell>
        </row>
        <row r="1530">
          <cell r="B1530" t="str">
            <v>4.1.02.01.10</v>
          </cell>
          <cell r="C1530" t="str">
            <v>Retribusi Pengolahan Limbah Cair</v>
          </cell>
          <cell r="F1530">
            <v>0</v>
          </cell>
          <cell r="G1530">
            <v>0</v>
          </cell>
          <cell r="H1530">
            <v>0</v>
          </cell>
          <cell r="I1530">
            <v>0</v>
          </cell>
          <cell r="J1530">
            <v>0</v>
          </cell>
        </row>
        <row r="1531">
          <cell r="B1531" t="str">
            <v>4.1.02.01.11</v>
          </cell>
          <cell r="C1531" t="str">
            <v>Retribusi Pelayanan Tera/Tera Ulang</v>
          </cell>
          <cell r="F1531">
            <v>0</v>
          </cell>
          <cell r="G1531">
            <v>0</v>
          </cell>
          <cell r="H1531">
            <v>0</v>
          </cell>
          <cell r="I1531">
            <v>0</v>
          </cell>
          <cell r="J1531">
            <v>0</v>
          </cell>
        </row>
        <row r="1532">
          <cell r="B1532" t="str">
            <v>4.1.02.01.12</v>
          </cell>
          <cell r="C1532" t="str">
            <v>Retribusi Pelayanan Pendidikan</v>
          </cell>
          <cell r="F1532">
            <v>0</v>
          </cell>
          <cell r="G1532">
            <v>0</v>
          </cell>
          <cell r="H1532">
            <v>0</v>
          </cell>
          <cell r="I1532">
            <v>0</v>
          </cell>
          <cell r="J1532">
            <v>0</v>
          </cell>
        </row>
        <row r="1533">
          <cell r="B1533" t="str">
            <v>4.1.02.01.13</v>
          </cell>
          <cell r="C1533" t="str">
            <v>Retribusi Pengawasan dan Pengendalian Menara Telekomunikasi</v>
          </cell>
          <cell r="F1533">
            <v>0</v>
          </cell>
          <cell r="G1533">
            <v>0</v>
          </cell>
          <cell r="H1533">
            <v>0</v>
          </cell>
          <cell r="I1533">
            <v>0</v>
          </cell>
          <cell r="J1533">
            <v>0</v>
          </cell>
        </row>
        <row r="1534">
          <cell r="B1534" t="str">
            <v>4.1.02.01.14</v>
          </cell>
          <cell r="C1534" t="str">
            <v>Retribusi Pelayanan Kebersihan</v>
          </cell>
          <cell r="F1534">
            <v>0</v>
          </cell>
          <cell r="G1534">
            <v>0</v>
          </cell>
          <cell r="H1534">
            <v>0</v>
          </cell>
          <cell r="I1534">
            <v>0</v>
          </cell>
          <cell r="J1534">
            <v>0</v>
          </cell>
        </row>
        <row r="1535">
          <cell r="B1535" t="str">
            <v>4.1.02.01.15</v>
          </cell>
          <cell r="C1535" t="str">
            <v>Retribusi Pengendalian Lalu Lintas</v>
          </cell>
          <cell r="F1535">
            <v>0</v>
          </cell>
          <cell r="G1535">
            <v>0</v>
          </cell>
          <cell r="H1535">
            <v>0</v>
          </cell>
          <cell r="I1535">
            <v>0</v>
          </cell>
          <cell r="J1535">
            <v>0</v>
          </cell>
        </row>
        <row r="1536">
          <cell r="B1536" t="str">
            <v>4.1.02.02</v>
          </cell>
          <cell r="C1536" t="str">
            <v>Retribusi Jasa Usaha</v>
          </cell>
          <cell r="D1536">
            <v>9377639915</v>
          </cell>
          <cell r="E1536">
            <v>11183571700</v>
          </cell>
          <cell r="J1536">
            <v>11182696700</v>
          </cell>
        </row>
        <row r="1537">
          <cell r="B1537" t="str">
            <v>4.1.02.02.01</v>
          </cell>
          <cell r="C1537" t="str">
            <v>Retribusi Pemakaian Kekayaan Daerah</v>
          </cell>
          <cell r="D1537">
            <v>9105604915</v>
          </cell>
          <cell r="E1537">
            <v>10891271700</v>
          </cell>
          <cell r="F1537">
            <v>875000</v>
          </cell>
          <cell r="G1537">
            <v>0</v>
          </cell>
          <cell r="H1537">
            <v>0</v>
          </cell>
          <cell r="I1537">
            <v>0</v>
          </cell>
          <cell r="J1537">
            <v>10890396700</v>
          </cell>
        </row>
        <row r="1538">
          <cell r="B1538" t="str">
            <v>4.1.02.02.02</v>
          </cell>
          <cell r="C1538" t="str">
            <v>Retribusi Pasar Grosir dan/atau Pertokoan</v>
          </cell>
          <cell r="F1538">
            <v>0</v>
          </cell>
          <cell r="G1538">
            <v>0</v>
          </cell>
          <cell r="H1538">
            <v>0</v>
          </cell>
          <cell r="I1538">
            <v>0</v>
          </cell>
          <cell r="J1538">
            <v>0</v>
          </cell>
        </row>
        <row r="1539">
          <cell r="B1539" t="str">
            <v>4.1.02.02.03</v>
          </cell>
          <cell r="C1539" t="str">
            <v>Retribusi Tempat Pelelangan</v>
          </cell>
          <cell r="F1539">
            <v>0</v>
          </cell>
          <cell r="G1539">
            <v>0</v>
          </cell>
          <cell r="H1539">
            <v>0</v>
          </cell>
          <cell r="I1539">
            <v>0</v>
          </cell>
          <cell r="J1539">
            <v>0</v>
          </cell>
        </row>
        <row r="1540">
          <cell r="B1540" t="str">
            <v>4.1.02.02.04</v>
          </cell>
          <cell r="C1540" t="str">
            <v>Retribusi Terminal</v>
          </cell>
          <cell r="D1540">
            <v>5570000</v>
          </cell>
          <cell r="F1540">
            <v>0</v>
          </cell>
          <cell r="G1540">
            <v>0</v>
          </cell>
          <cell r="H1540">
            <v>0</v>
          </cell>
          <cell r="I1540">
            <v>0</v>
          </cell>
          <cell r="J1540">
            <v>0</v>
          </cell>
        </row>
        <row r="1541">
          <cell r="B1541" t="str">
            <v>4.1.02.02.05</v>
          </cell>
          <cell r="C1541" t="str">
            <v>Retribusi Tempat Khusus Parkir</v>
          </cell>
          <cell r="D1541">
            <v>24420000</v>
          </cell>
          <cell r="E1541">
            <v>35030000</v>
          </cell>
          <cell r="F1541">
            <v>0</v>
          </cell>
          <cell r="G1541">
            <v>0</v>
          </cell>
          <cell r="H1541">
            <v>0</v>
          </cell>
          <cell r="I1541">
            <v>0</v>
          </cell>
          <cell r="J1541">
            <v>35030000</v>
          </cell>
        </row>
        <row r="1542">
          <cell r="B1542" t="str">
            <v>4.1.02.02.06</v>
          </cell>
          <cell r="C1542" t="str">
            <v>Retribusi Tempat Penginapan/Pesanggrahan/Vila</v>
          </cell>
          <cell r="F1542">
            <v>0</v>
          </cell>
          <cell r="G1542">
            <v>0</v>
          </cell>
          <cell r="H1542">
            <v>0</v>
          </cell>
          <cell r="I1542">
            <v>0</v>
          </cell>
          <cell r="J1542">
            <v>0</v>
          </cell>
        </row>
        <row r="1543">
          <cell r="B1543" t="str">
            <v>4.1.02.02.07</v>
          </cell>
          <cell r="C1543" t="str">
            <v>Retribusi Rumah Potong Hewan</v>
          </cell>
          <cell r="D1543">
            <v>105460000</v>
          </cell>
          <cell r="F1543">
            <v>0</v>
          </cell>
          <cell r="G1543">
            <v>0</v>
          </cell>
          <cell r="H1543">
            <v>0</v>
          </cell>
          <cell r="I1543">
            <v>0</v>
          </cell>
          <cell r="J1543">
            <v>0</v>
          </cell>
        </row>
        <row r="1544">
          <cell r="B1544" t="str">
            <v>4.1.02.02.08</v>
          </cell>
          <cell r="C1544" t="str">
            <v>Retribusi Pelayanan Kepelabuhanan</v>
          </cell>
          <cell r="D1544">
            <v>2730000</v>
          </cell>
          <cell r="F1544">
            <v>0</v>
          </cell>
          <cell r="G1544">
            <v>0</v>
          </cell>
          <cell r="H1544">
            <v>0</v>
          </cell>
          <cell r="I1544">
            <v>0</v>
          </cell>
          <cell r="J1544">
            <v>0</v>
          </cell>
        </row>
        <row r="1545">
          <cell r="B1545" t="str">
            <v>4.1.02.02.09</v>
          </cell>
          <cell r="C1545" t="str">
            <v>Retribusi Tempat Rekreasi dan Olahraga</v>
          </cell>
          <cell r="D1545">
            <v>19355000</v>
          </cell>
          <cell r="E1545">
            <v>22400000</v>
          </cell>
          <cell r="F1545">
            <v>0</v>
          </cell>
          <cell r="G1545">
            <v>0</v>
          </cell>
          <cell r="H1545">
            <v>0</v>
          </cell>
          <cell r="I1545">
            <v>0</v>
          </cell>
          <cell r="J1545">
            <v>22400000</v>
          </cell>
        </row>
        <row r="1546">
          <cell r="B1546" t="str">
            <v>4.1.02.02.10</v>
          </cell>
          <cell r="C1546" t="str">
            <v>Retribusi Penyeberangan di Air</v>
          </cell>
          <cell r="F1546">
            <v>0</v>
          </cell>
          <cell r="G1546">
            <v>0</v>
          </cell>
          <cell r="H1546">
            <v>0</v>
          </cell>
          <cell r="I1546">
            <v>0</v>
          </cell>
          <cell r="J1546">
            <v>0</v>
          </cell>
        </row>
        <row r="1547">
          <cell r="B1547" t="str">
            <v>4.1.02.02.11</v>
          </cell>
          <cell r="C1547" t="str">
            <v>Retribusi Penjualan Produksi Usaha Daerah</v>
          </cell>
          <cell r="D1547">
            <v>114500000</v>
          </cell>
          <cell r="E1547">
            <v>93000000</v>
          </cell>
          <cell r="F1547">
            <v>0</v>
          </cell>
          <cell r="G1547">
            <v>0</v>
          </cell>
          <cell r="H1547">
            <v>0</v>
          </cell>
          <cell r="I1547">
            <v>0</v>
          </cell>
          <cell r="J1547">
            <v>93000000</v>
          </cell>
        </row>
        <row r="1548">
          <cell r="B1548" t="str">
            <v>4.1.02.02.12</v>
          </cell>
          <cell r="C1548" t="str">
            <v>Retribusi Penyediaan Tempat Kegiatan Usaha berupa Pasar, Grosir, Pertokoan, dan Tempat Kegiatan Usaha Lainnya</v>
          </cell>
          <cell r="F1548">
            <v>0</v>
          </cell>
          <cell r="G1548">
            <v>0</v>
          </cell>
          <cell r="H1548">
            <v>0</v>
          </cell>
          <cell r="I1548">
            <v>0</v>
          </cell>
          <cell r="J1548">
            <v>0</v>
          </cell>
        </row>
        <row r="1549">
          <cell r="B1549" t="str">
            <v>4.1.02.02.13</v>
          </cell>
          <cell r="C1549" t="str">
            <v>Retribusi Penyediaan Tempat Pelelangan Ikan, Ternak, Hasil Bumi, dan Hasil Hutan Termasuk Fasilitas Lainnya dalam Lingkungan Tempat Pelelangan</v>
          </cell>
          <cell r="F1549">
            <v>0</v>
          </cell>
          <cell r="G1549">
            <v>0</v>
          </cell>
          <cell r="H1549">
            <v>0</v>
          </cell>
          <cell r="I1549">
            <v>0</v>
          </cell>
          <cell r="J1549">
            <v>0</v>
          </cell>
        </row>
        <row r="1550">
          <cell r="B1550" t="str">
            <v>4.1.02.02.14</v>
          </cell>
          <cell r="C1550" t="str">
            <v>Retribusi Penyediaan Tempat Khusus Parkir Diluar Badan Jalan</v>
          </cell>
          <cell r="F1550">
            <v>0</v>
          </cell>
          <cell r="G1550">
            <v>0</v>
          </cell>
          <cell r="H1550">
            <v>0</v>
          </cell>
          <cell r="I1550">
            <v>0</v>
          </cell>
          <cell r="J1550">
            <v>0</v>
          </cell>
        </row>
        <row r="1551">
          <cell r="B1551" t="str">
            <v>4.1.02.02.15</v>
          </cell>
          <cell r="C1551" t="str">
            <v>Retribusi Pelayanan Rumah Pemotongan Hewan Ternak</v>
          </cell>
          <cell r="E1551">
            <v>84660000</v>
          </cell>
          <cell r="F1551">
            <v>0</v>
          </cell>
          <cell r="G1551">
            <v>0</v>
          </cell>
          <cell r="H1551">
            <v>0</v>
          </cell>
          <cell r="I1551">
            <v>0</v>
          </cell>
          <cell r="J1551">
            <v>84660000</v>
          </cell>
        </row>
        <row r="1552">
          <cell r="B1552" t="str">
            <v>4.1.02.02.16</v>
          </cell>
          <cell r="C1552" t="str">
            <v>Retribusi Pelayanan Jasa Kepelabuhanan</v>
          </cell>
          <cell r="E1552">
            <v>7210000</v>
          </cell>
          <cell r="F1552">
            <v>0</v>
          </cell>
          <cell r="G1552">
            <v>0</v>
          </cell>
          <cell r="H1552">
            <v>0</v>
          </cell>
          <cell r="I1552">
            <v>0</v>
          </cell>
          <cell r="J1552">
            <v>7210000</v>
          </cell>
        </row>
        <row r="1553">
          <cell r="B1553" t="str">
            <v>4.1.02.02.17</v>
          </cell>
          <cell r="C1553" t="str">
            <v>Retribusi Pelayanan Tempat Rekreasi, Pariwisata, dan Olahraga</v>
          </cell>
          <cell r="F1553">
            <v>0</v>
          </cell>
          <cell r="G1553">
            <v>0</v>
          </cell>
          <cell r="H1553">
            <v>0</v>
          </cell>
          <cell r="I1553">
            <v>0</v>
          </cell>
          <cell r="J1553">
            <v>0</v>
          </cell>
        </row>
        <row r="1554">
          <cell r="B1554" t="str">
            <v>4.1.02.02.18</v>
          </cell>
          <cell r="C1554" t="str">
            <v>Retribusi Pelayanan Penyeberangan Orang atau Barang dengan Menggunakan Kendaraan di Air</v>
          </cell>
          <cell r="F1554">
            <v>0</v>
          </cell>
          <cell r="G1554">
            <v>0</v>
          </cell>
          <cell r="H1554">
            <v>0</v>
          </cell>
          <cell r="I1554">
            <v>0</v>
          </cell>
          <cell r="J1554">
            <v>0</v>
          </cell>
        </row>
        <row r="1555">
          <cell r="B1555" t="str">
            <v>4.1.02.02.19</v>
          </cell>
          <cell r="C1555" t="str">
            <v>Retribusi Penjualan Hasil Produksi Usaha Pemerintah Daerah</v>
          </cell>
          <cell r="F1555">
            <v>0</v>
          </cell>
          <cell r="G1555">
            <v>0</v>
          </cell>
          <cell r="H1555">
            <v>0</v>
          </cell>
          <cell r="I1555">
            <v>0</v>
          </cell>
          <cell r="J1555">
            <v>0</v>
          </cell>
        </row>
        <row r="1556">
          <cell r="B1556" t="str">
            <v>4.1.02.02.20</v>
          </cell>
          <cell r="C1556" t="str">
            <v>Retribusi Pemanfaatan Aset Daerah</v>
          </cell>
          <cell r="E1556">
            <v>50000000</v>
          </cell>
          <cell r="F1556">
            <v>0</v>
          </cell>
          <cell r="G1556">
            <v>0</v>
          </cell>
          <cell r="H1556">
            <v>0</v>
          </cell>
          <cell r="I1556">
            <v>0</v>
          </cell>
          <cell r="J1556">
            <v>50000000</v>
          </cell>
        </row>
        <row r="1557">
          <cell r="B1557" t="str">
            <v>4.1.02.03</v>
          </cell>
          <cell r="C1557" t="str">
            <v>Retribusi Perizinan Tertentu</v>
          </cell>
          <cell r="D1557">
            <v>567390055</v>
          </cell>
          <cell r="E1557">
            <v>562252687</v>
          </cell>
          <cell r="J1557">
            <v>562252687</v>
          </cell>
        </row>
        <row r="1558">
          <cell r="B1558" t="str">
            <v>4.1.02.03.01</v>
          </cell>
          <cell r="C1558" t="str">
            <v>Retribusi Izin Mendirikan Bangunan</v>
          </cell>
          <cell r="F1558">
            <v>0</v>
          </cell>
          <cell r="G1558">
            <v>0</v>
          </cell>
          <cell r="H1558">
            <v>0</v>
          </cell>
          <cell r="I1558">
            <v>0</v>
          </cell>
          <cell r="J1558">
            <v>0</v>
          </cell>
        </row>
        <row r="1559">
          <cell r="B1559" t="str">
            <v>4.1.02.03.02</v>
          </cell>
          <cell r="C1559" t="str">
            <v>Retribusi Izin Tempat Penjualan Minuman Beralkohol</v>
          </cell>
          <cell r="F1559">
            <v>0</v>
          </cell>
          <cell r="G1559">
            <v>0</v>
          </cell>
          <cell r="H1559">
            <v>0</v>
          </cell>
          <cell r="I1559">
            <v>0</v>
          </cell>
          <cell r="J1559">
            <v>0</v>
          </cell>
        </row>
        <row r="1560">
          <cell r="B1560" t="str">
            <v>4.1.02.03.03</v>
          </cell>
          <cell r="C1560" t="str">
            <v>Retribusi Izin Trayek untuk Menyediakan Pelayanan Angkutan Umum</v>
          </cell>
          <cell r="D1560">
            <v>2700000</v>
          </cell>
          <cell r="F1560">
            <v>0</v>
          </cell>
          <cell r="G1560">
            <v>0</v>
          </cell>
          <cell r="H1560">
            <v>0</v>
          </cell>
          <cell r="I1560">
            <v>0</v>
          </cell>
          <cell r="J1560">
            <v>0</v>
          </cell>
        </row>
        <row r="1561">
          <cell r="B1561" t="str">
            <v>4.1.02.03.04</v>
          </cell>
          <cell r="C1561" t="str">
            <v>Retribusi Izin Usaha Perikanan</v>
          </cell>
          <cell r="F1561">
            <v>0</v>
          </cell>
          <cell r="G1561">
            <v>0</v>
          </cell>
          <cell r="H1561">
            <v>0</v>
          </cell>
          <cell r="I1561">
            <v>0</v>
          </cell>
          <cell r="J1561">
            <v>0</v>
          </cell>
        </row>
        <row r="1562">
          <cell r="B1562" t="str">
            <v>4.1.02.03.05</v>
          </cell>
          <cell r="C1562" t="str">
            <v>Retribusi Pengendalian Lalu Lintas</v>
          </cell>
          <cell r="F1562">
            <v>0</v>
          </cell>
          <cell r="G1562">
            <v>0</v>
          </cell>
          <cell r="H1562">
            <v>0</v>
          </cell>
          <cell r="I1562">
            <v>0</v>
          </cell>
          <cell r="J1562">
            <v>0</v>
          </cell>
        </row>
        <row r="1563">
          <cell r="B1563" t="str">
            <v>4.1.02.03.06</v>
          </cell>
          <cell r="C1563" t="str">
            <v>Retribusi Perpanjangan Izin Mempekerjakan Tenaga Kerja Asing (IMTA)</v>
          </cell>
          <cell r="F1563">
            <v>0</v>
          </cell>
          <cell r="G1563">
            <v>0</v>
          </cell>
          <cell r="H1563">
            <v>0</v>
          </cell>
          <cell r="I1563">
            <v>0</v>
          </cell>
          <cell r="J1563">
            <v>0</v>
          </cell>
        </row>
        <row r="1564">
          <cell r="B1564" t="str">
            <v>4.1.02.03.07</v>
          </cell>
          <cell r="C1564" t="str">
            <v>Retribusi Persetujuan Bangunan Gedung</v>
          </cell>
          <cell r="D1564">
            <v>564690055</v>
          </cell>
          <cell r="E1564">
            <v>542290687</v>
          </cell>
          <cell r="F1564">
            <v>0</v>
          </cell>
          <cell r="G1564">
            <v>0</v>
          </cell>
          <cell r="H1564">
            <v>0</v>
          </cell>
          <cell r="I1564">
            <v>0</v>
          </cell>
          <cell r="J1564">
            <v>542290687</v>
          </cell>
        </row>
        <row r="1565">
          <cell r="B1565" t="str">
            <v>4.1.02.03.08</v>
          </cell>
          <cell r="C1565" t="str">
            <v>Retribusi Penggunaan Tenaga Kerja Asing (TKA)</v>
          </cell>
          <cell r="E1565">
            <v>19962000</v>
          </cell>
          <cell r="F1565">
            <v>0</v>
          </cell>
          <cell r="G1565">
            <v>0</v>
          </cell>
          <cell r="H1565">
            <v>0</v>
          </cell>
          <cell r="I1565">
            <v>0</v>
          </cell>
          <cell r="J1565">
            <v>19962000</v>
          </cell>
        </row>
        <row r="1566">
          <cell r="B1566" t="str">
            <v>4.1.02.03.09</v>
          </cell>
          <cell r="C1566" t="str">
            <v>Retribusi Pertambangan Rakyat</v>
          </cell>
          <cell r="F1566">
            <v>0</v>
          </cell>
          <cell r="G1566">
            <v>0</v>
          </cell>
          <cell r="H1566">
            <v>0</v>
          </cell>
          <cell r="I1566">
            <v>0</v>
          </cell>
          <cell r="J1566">
            <v>0</v>
          </cell>
        </row>
        <row r="1568">
          <cell r="B1568" t="str">
            <v>4.1.03</v>
          </cell>
          <cell r="C1568" t="str">
            <v>Hasil Pengelolaan Kekayaan Daerah yang Dipisahkan</v>
          </cell>
          <cell r="D1568">
            <v>8152466371</v>
          </cell>
          <cell r="E1568">
            <v>8443342308</v>
          </cell>
          <cell r="J1568">
            <v>8443342308</v>
          </cell>
        </row>
        <row r="1569">
          <cell r="B1569" t="str">
            <v>4.1.03.01</v>
          </cell>
          <cell r="C1569" t="str">
            <v>Bagian Laba yang Dibagikan kepada Pemerintah Daerah (Dividen) atas Penyertaan Modal pada BUMN</v>
          </cell>
          <cell r="D1569">
            <v>0</v>
          </cell>
          <cell r="E1569">
            <v>0</v>
          </cell>
          <cell r="J1569">
            <v>0</v>
          </cell>
        </row>
        <row r="1570">
          <cell r="B1570" t="str">
            <v>4.1.03.01.01</v>
          </cell>
          <cell r="C1570" t="str">
            <v>Bagian Laba yang Dibagikan kepada Pemerintah Daerah (Dividen) atas Penyertaan Modal pada BUMN</v>
          </cell>
          <cell r="F1570">
            <v>0</v>
          </cell>
          <cell r="G1570">
            <v>0</v>
          </cell>
          <cell r="H1570">
            <v>0</v>
          </cell>
          <cell r="I1570">
            <v>0</v>
          </cell>
          <cell r="J1570">
            <v>0</v>
          </cell>
        </row>
        <row r="1571">
          <cell r="B1571" t="str">
            <v>4.1.03.02</v>
          </cell>
          <cell r="C1571" t="str">
            <v>Bagian Laba yang Dibagikan kepada Pemerintah Daerah (Dividen) atas Penyertaan Modal pada BUMD</v>
          </cell>
          <cell r="D1571">
            <v>8152466371</v>
          </cell>
          <cell r="E1571">
            <v>8443342308</v>
          </cell>
          <cell r="J1571">
            <v>8443342308</v>
          </cell>
        </row>
        <row r="1572">
          <cell r="B1572" t="str">
            <v>4.1.03.02.01</v>
          </cell>
          <cell r="C1572" t="str">
            <v>Bagian Laba yang Dibagikan kepada Pemerintah Daerah (Dividen) atas Penyertaan Modal pada BUMD (Lembaga Keuangan)</v>
          </cell>
          <cell r="D1572">
            <v>8152466371</v>
          </cell>
          <cell r="E1572">
            <v>8443342308</v>
          </cell>
          <cell r="F1572">
            <v>0</v>
          </cell>
          <cell r="G1572">
            <v>0</v>
          </cell>
          <cell r="H1572">
            <v>0</v>
          </cell>
          <cell r="I1572">
            <v>0</v>
          </cell>
          <cell r="J1572">
            <v>8443342308</v>
          </cell>
        </row>
        <row r="1573">
          <cell r="B1573" t="str">
            <v>4.1.03.02.02</v>
          </cell>
          <cell r="C1573" t="str">
            <v>Bagian Laba yang Dibagikan kepada Pemerintah Daerah (Dividen) atas Penyertaan Modal pada BUMD (Aneka Usaha)</v>
          </cell>
          <cell r="F1573">
            <v>0</v>
          </cell>
          <cell r="G1573">
            <v>0</v>
          </cell>
          <cell r="H1573">
            <v>0</v>
          </cell>
          <cell r="I1573">
            <v>0</v>
          </cell>
          <cell r="J1573">
            <v>0</v>
          </cell>
        </row>
        <row r="1574">
          <cell r="B1574" t="str">
            <v>4.1.03.02.03</v>
          </cell>
          <cell r="C1574" t="str">
            <v>Bagian Laba yang Dibagikan kepada Pemerintah Daerah (Dividen) atas Penyertaan Modal pada BUMD (Bidang Air Minum)</v>
          </cell>
          <cell r="F1574">
            <v>0</v>
          </cell>
          <cell r="G1574">
            <v>0</v>
          </cell>
          <cell r="H1574">
            <v>0</v>
          </cell>
          <cell r="I1574">
            <v>0</v>
          </cell>
          <cell r="J1574">
            <v>0</v>
          </cell>
        </row>
        <row r="1575">
          <cell r="B1575" t="str">
            <v>4.1.03.02.04</v>
          </cell>
          <cell r="C1575" t="str">
            <v>Bagian Laba yang Dibagikan kepada Pemerintah Daerah (Dividen) atas Penyertaan Modal pada BUMD (Bidang Limbah)</v>
          </cell>
          <cell r="F1575">
            <v>0</v>
          </cell>
          <cell r="G1575">
            <v>0</v>
          </cell>
          <cell r="H1575">
            <v>0</v>
          </cell>
          <cell r="I1575">
            <v>0</v>
          </cell>
          <cell r="J1575">
            <v>0</v>
          </cell>
        </row>
        <row r="1576">
          <cell r="B1576" t="str">
            <v>4.1.03.02.05</v>
          </cell>
          <cell r="C1576" t="str">
            <v>Bagian Laba yang Dibagikan kepada Pemerintah Daerah (Dividen) atas Penyertaan Modal pada BUMD (Bidang Sanitasi)</v>
          </cell>
          <cell r="F1576">
            <v>0</v>
          </cell>
          <cell r="G1576">
            <v>0</v>
          </cell>
          <cell r="H1576">
            <v>0</v>
          </cell>
          <cell r="I1576">
            <v>0</v>
          </cell>
          <cell r="J1576">
            <v>0</v>
          </cell>
        </row>
        <row r="1577">
          <cell r="B1577" t="str">
            <v>4.1.03.03</v>
          </cell>
          <cell r="C1577" t="str">
            <v>Bagian Laba yang dibagikan kepada Pemerintah Daerah (Dividen) atas Penyertaan Modal pada Perusahaan Milik Swasta</v>
          </cell>
          <cell r="D1577">
            <v>0</v>
          </cell>
          <cell r="E1577">
            <v>0</v>
          </cell>
          <cell r="J1577">
            <v>0</v>
          </cell>
        </row>
        <row r="1578">
          <cell r="B1578" t="str">
            <v>4.1.03.03.01</v>
          </cell>
          <cell r="C1578" t="str">
            <v>Bagian Laba yang Dibagikan kepada Pemerintah Daerah (Dividen) atas Penyertaan Modal pada Perusahaan Milik Swasta</v>
          </cell>
          <cell r="F1578">
            <v>0</v>
          </cell>
          <cell r="G1578">
            <v>0</v>
          </cell>
          <cell r="H1578">
            <v>0</v>
          </cell>
          <cell r="I1578">
            <v>0</v>
          </cell>
          <cell r="J1578">
            <v>0</v>
          </cell>
        </row>
        <row r="1580">
          <cell r="B1580" t="str">
            <v>4.1.04</v>
          </cell>
          <cell r="C1580" t="str">
            <v>Lain-lain PAD yang Sah</v>
          </cell>
          <cell r="D1580">
            <v>127390001344.87999</v>
          </cell>
          <cell r="E1580">
            <v>8846071038.8100014</v>
          </cell>
          <cell r="J1580">
            <v>8892463977.3100014</v>
          </cell>
        </row>
        <row r="1581">
          <cell r="B1581" t="str">
            <v>4.1.04.01</v>
          </cell>
          <cell r="C1581" t="str">
            <v>Hasil Penjualan BMD yang Tidak Dipisahkan</v>
          </cell>
          <cell r="D1581">
            <v>16400000</v>
          </cell>
          <cell r="E1581">
            <v>1104999500</v>
          </cell>
          <cell r="J1581">
            <v>1104999500</v>
          </cell>
        </row>
        <row r="1582">
          <cell r="B1582" t="str">
            <v>4.1.04.01.01</v>
          </cell>
          <cell r="C1582" t="str">
            <v>Hasil Penjualan Tanah</v>
          </cell>
          <cell r="F1582">
            <v>0</v>
          </cell>
          <cell r="G1582">
            <v>0</v>
          </cell>
          <cell r="H1582">
            <v>0</v>
          </cell>
          <cell r="I1582">
            <v>0</v>
          </cell>
          <cell r="J1582">
            <v>0</v>
          </cell>
        </row>
        <row r="1583">
          <cell r="B1583" t="str">
            <v>4.1.04.01.02</v>
          </cell>
          <cell r="C1583" t="str">
            <v>Hasil Penjualan Peralatan dan Mesin</v>
          </cell>
          <cell r="D1583">
            <v>0</v>
          </cell>
          <cell r="E1583">
            <v>512507500</v>
          </cell>
          <cell r="F1583">
            <v>0</v>
          </cell>
          <cell r="G1583">
            <v>0</v>
          </cell>
          <cell r="H1583">
            <v>0</v>
          </cell>
          <cell r="I1583">
            <v>0</v>
          </cell>
          <cell r="J1583">
            <v>512507500</v>
          </cell>
        </row>
        <row r="1584">
          <cell r="B1584" t="str">
            <v>4.1.04.01.03</v>
          </cell>
          <cell r="C1584" t="str">
            <v>Hasil Penjualan Gedung dan Bangunan</v>
          </cell>
          <cell r="D1584">
            <v>16400000</v>
          </cell>
          <cell r="E1584">
            <v>592492000</v>
          </cell>
          <cell r="F1584">
            <v>0</v>
          </cell>
          <cell r="G1584">
            <v>0</v>
          </cell>
          <cell r="H1584">
            <v>0</v>
          </cell>
          <cell r="I1584">
            <v>0</v>
          </cell>
          <cell r="J1584">
            <v>592492000</v>
          </cell>
        </row>
        <row r="1585">
          <cell r="B1585" t="str">
            <v>4.1.04.01.04</v>
          </cell>
          <cell r="C1585" t="str">
            <v>Hasil Penjualan Jalan, Jaringan, dan Irigasi</v>
          </cell>
          <cell r="F1585">
            <v>0</v>
          </cell>
          <cell r="G1585">
            <v>0</v>
          </cell>
          <cell r="H1585">
            <v>0</v>
          </cell>
          <cell r="I1585">
            <v>0</v>
          </cell>
          <cell r="J1585">
            <v>0</v>
          </cell>
        </row>
        <row r="1586">
          <cell r="B1586" t="str">
            <v>4.1.04.01.05</v>
          </cell>
          <cell r="C1586" t="str">
            <v>Hasil Penjualan Aset Tetap Lainnya</v>
          </cell>
          <cell r="F1586">
            <v>0</v>
          </cell>
          <cell r="G1586">
            <v>0</v>
          </cell>
          <cell r="H1586">
            <v>0</v>
          </cell>
          <cell r="I1586">
            <v>0</v>
          </cell>
          <cell r="J1586">
            <v>0</v>
          </cell>
        </row>
        <row r="1587">
          <cell r="B1587" t="str">
            <v>4.1.04.01.06</v>
          </cell>
          <cell r="C1587" t="str">
            <v>Hasil Penjualan Aset Lainnya</v>
          </cell>
          <cell r="F1587">
            <v>0</v>
          </cell>
          <cell r="G1587">
            <v>0</v>
          </cell>
          <cell r="H1587">
            <v>0</v>
          </cell>
          <cell r="I1587">
            <v>0</v>
          </cell>
          <cell r="J1587">
            <v>0</v>
          </cell>
        </row>
        <row r="1588">
          <cell r="B1588" t="str">
            <v>4.1.04.01.07</v>
          </cell>
          <cell r="C1588" t="str">
            <v>Hasil Penjualan Aset Tidak Berwujud</v>
          </cell>
          <cell r="F1588">
            <v>0</v>
          </cell>
          <cell r="G1588">
            <v>0</v>
          </cell>
          <cell r="H1588">
            <v>0</v>
          </cell>
          <cell r="I1588">
            <v>0</v>
          </cell>
          <cell r="J1588">
            <v>0</v>
          </cell>
        </row>
        <row r="1589">
          <cell r="B1589" t="str">
            <v>4.1.04.01.08</v>
          </cell>
          <cell r="C1589" t="str">
            <v>Hasil Penjualan Aset Lain-Lain</v>
          </cell>
          <cell r="F1589">
            <v>0</v>
          </cell>
          <cell r="G1589">
            <v>0</v>
          </cell>
          <cell r="H1589">
            <v>0</v>
          </cell>
          <cell r="I1589">
            <v>0</v>
          </cell>
          <cell r="J1589">
            <v>0</v>
          </cell>
        </row>
        <row r="1590">
          <cell r="B1590" t="str">
            <v>4.1.04.02</v>
          </cell>
          <cell r="C1590" t="str">
            <v>Hasil Selisih Lebih Tukar Menukar BMD yang Tidak Dipisahkan</v>
          </cell>
          <cell r="D1590">
            <v>0</v>
          </cell>
          <cell r="E1590">
            <v>0</v>
          </cell>
          <cell r="J1590">
            <v>0</v>
          </cell>
        </row>
        <row r="1591">
          <cell r="B1591" t="str">
            <v>4.1.04.02.01</v>
          </cell>
          <cell r="C1591" t="str">
            <v>Hasil Selisih Lebih Tukar Menukar Tanah</v>
          </cell>
          <cell r="F1591">
            <v>0</v>
          </cell>
          <cell r="G1591">
            <v>0</v>
          </cell>
          <cell r="H1591">
            <v>0</v>
          </cell>
          <cell r="I1591">
            <v>0</v>
          </cell>
          <cell r="J1591">
            <v>0</v>
          </cell>
        </row>
        <row r="1592">
          <cell r="B1592" t="str">
            <v>4.1.04.02.02</v>
          </cell>
          <cell r="C1592" t="str">
            <v>Hasil Selisih Lebih Tukar Menukar Peralatan dan Mesin</v>
          </cell>
          <cell r="F1592">
            <v>0</v>
          </cell>
          <cell r="G1592">
            <v>0</v>
          </cell>
          <cell r="H1592">
            <v>0</v>
          </cell>
          <cell r="I1592">
            <v>0</v>
          </cell>
          <cell r="J1592">
            <v>0</v>
          </cell>
        </row>
        <row r="1593">
          <cell r="B1593" t="str">
            <v>4.1.04.02.03</v>
          </cell>
          <cell r="C1593" t="str">
            <v>Hasil Selisih Lebih Tukar Menukar Gedung dan Bangunan</v>
          </cell>
          <cell r="F1593">
            <v>0</v>
          </cell>
          <cell r="G1593">
            <v>0</v>
          </cell>
          <cell r="H1593">
            <v>0</v>
          </cell>
          <cell r="I1593">
            <v>0</v>
          </cell>
          <cell r="J1593">
            <v>0</v>
          </cell>
        </row>
        <row r="1594">
          <cell r="B1594" t="str">
            <v>4.1.04.02.04</v>
          </cell>
          <cell r="C1594" t="str">
            <v>Hasil Selisih Lebih Tukar Menukar Jalan, Jaringan, dan Irigasi</v>
          </cell>
          <cell r="F1594">
            <v>0</v>
          </cell>
          <cell r="G1594">
            <v>0</v>
          </cell>
          <cell r="H1594">
            <v>0</v>
          </cell>
          <cell r="I1594">
            <v>0</v>
          </cell>
          <cell r="J1594">
            <v>0</v>
          </cell>
        </row>
        <row r="1595">
          <cell r="B1595" t="str">
            <v>4.1.04.02.05</v>
          </cell>
          <cell r="C1595" t="str">
            <v>Hasil Selisih Lebih Tukar Menukar Aset Tetap Lainnya</v>
          </cell>
          <cell r="F1595">
            <v>0</v>
          </cell>
          <cell r="G1595">
            <v>0</v>
          </cell>
          <cell r="H1595">
            <v>0</v>
          </cell>
          <cell r="I1595">
            <v>0</v>
          </cell>
          <cell r="J1595">
            <v>0</v>
          </cell>
        </row>
        <row r="1596">
          <cell r="B1596" t="str">
            <v>4.1.04.02.06</v>
          </cell>
          <cell r="C1596" t="str">
            <v>Hasil Selisih Lebih Tukar Menukar Aset Lainnya</v>
          </cell>
          <cell r="F1596">
            <v>0</v>
          </cell>
          <cell r="G1596">
            <v>0</v>
          </cell>
          <cell r="H1596">
            <v>0</v>
          </cell>
          <cell r="I1596">
            <v>0</v>
          </cell>
          <cell r="J1596">
            <v>0</v>
          </cell>
        </row>
        <row r="1597">
          <cell r="B1597" t="str">
            <v>4.1.04.02.07</v>
          </cell>
          <cell r="C1597" t="str">
            <v>Hasil Selisih Lebih Tukar Menukar Aset Tidak Berwujud</v>
          </cell>
          <cell r="F1597">
            <v>0</v>
          </cell>
          <cell r="G1597">
            <v>0</v>
          </cell>
          <cell r="H1597">
            <v>0</v>
          </cell>
          <cell r="I1597">
            <v>0</v>
          </cell>
          <cell r="J1597">
            <v>0</v>
          </cell>
        </row>
        <row r="1598">
          <cell r="B1598" t="str">
            <v>4.1.04.02.08</v>
          </cell>
          <cell r="C1598" t="str">
            <v>Hasil Selisih Lebih Tukar Menukar Aset Lain-Lain</v>
          </cell>
          <cell r="F1598">
            <v>0</v>
          </cell>
          <cell r="G1598">
            <v>0</v>
          </cell>
          <cell r="H1598">
            <v>0</v>
          </cell>
          <cell r="I1598">
            <v>0</v>
          </cell>
          <cell r="J1598">
            <v>0</v>
          </cell>
        </row>
        <row r="1599">
          <cell r="B1599" t="str">
            <v>4.1.04.03</v>
          </cell>
          <cell r="C1599" t="str">
            <v>Hasil Pemanfaatan BMD yang Tidak Dipisahkan</v>
          </cell>
          <cell r="D1599">
            <v>200000000</v>
          </cell>
          <cell r="E1599">
            <v>0</v>
          </cell>
          <cell r="J1599">
            <v>0</v>
          </cell>
        </row>
        <row r="1600">
          <cell r="B1600" t="str">
            <v>4.1.04.03.01</v>
          </cell>
          <cell r="C1600" t="str">
            <v>Hasil Sewa BMD</v>
          </cell>
          <cell r="F1600">
            <v>0</v>
          </cell>
          <cell r="G1600">
            <v>0</v>
          </cell>
          <cell r="H1600">
            <v>0</v>
          </cell>
          <cell r="I1600">
            <v>0</v>
          </cell>
          <cell r="J1600">
            <v>0</v>
          </cell>
        </row>
        <row r="1601">
          <cell r="B1601" t="str">
            <v>4.1.04.03.02</v>
          </cell>
          <cell r="C1601" t="str">
            <v>Hasil Kerja Sama Pemanfaatan BMD</v>
          </cell>
          <cell r="D1601">
            <v>200000000</v>
          </cell>
          <cell r="F1601">
            <v>0</v>
          </cell>
          <cell r="G1601">
            <v>0</v>
          </cell>
          <cell r="H1601">
            <v>0</v>
          </cell>
          <cell r="I1601">
            <v>0</v>
          </cell>
          <cell r="J1601">
            <v>0</v>
          </cell>
        </row>
        <row r="1602">
          <cell r="B1602" t="str">
            <v>4.1.04.03.03</v>
          </cell>
          <cell r="C1602" t="str">
            <v>Hasil dari Bangun Guna Serah</v>
          </cell>
          <cell r="F1602">
            <v>0</v>
          </cell>
          <cell r="G1602">
            <v>0</v>
          </cell>
          <cell r="H1602">
            <v>0</v>
          </cell>
          <cell r="I1602">
            <v>0</v>
          </cell>
          <cell r="J1602">
            <v>0</v>
          </cell>
        </row>
        <row r="1603">
          <cell r="B1603" t="str">
            <v>4.1.04.03.04</v>
          </cell>
          <cell r="C1603" t="str">
            <v>Hasil dari Bangun Serah Guna</v>
          </cell>
          <cell r="F1603">
            <v>0</v>
          </cell>
          <cell r="G1603">
            <v>0</v>
          </cell>
          <cell r="H1603">
            <v>0</v>
          </cell>
          <cell r="I1603">
            <v>0</v>
          </cell>
          <cell r="J1603">
            <v>0</v>
          </cell>
        </row>
        <row r="1604">
          <cell r="B1604" t="str">
            <v>4.1.04.03.05</v>
          </cell>
          <cell r="C1604" t="str">
            <v>Hasil dari Kerja Sama Penyediaan Infrastruktur</v>
          </cell>
          <cell r="F1604">
            <v>0</v>
          </cell>
          <cell r="G1604">
            <v>0</v>
          </cell>
          <cell r="H1604">
            <v>0</v>
          </cell>
          <cell r="I1604">
            <v>0</v>
          </cell>
          <cell r="J1604">
            <v>0</v>
          </cell>
        </row>
        <row r="1605">
          <cell r="B1605" t="str">
            <v>4.1.04.04</v>
          </cell>
          <cell r="C1605" t="str">
            <v>Hasil Kerja Sama Daerah</v>
          </cell>
          <cell r="D1605">
            <v>0</v>
          </cell>
          <cell r="E1605">
            <v>0</v>
          </cell>
          <cell r="J1605">
            <v>0</v>
          </cell>
        </row>
        <row r="1606">
          <cell r="B1606" t="str">
            <v>4.1.04.04.01</v>
          </cell>
          <cell r="C1606" t="str">
            <v>Hasil Kerja Sama Daerah</v>
          </cell>
          <cell r="F1606">
            <v>0</v>
          </cell>
          <cell r="G1606">
            <v>0</v>
          </cell>
          <cell r="H1606">
            <v>0</v>
          </cell>
          <cell r="I1606">
            <v>0</v>
          </cell>
          <cell r="J1606">
            <v>0</v>
          </cell>
        </row>
        <row r="1607">
          <cell r="B1607" t="str">
            <v>4.1.04.05</v>
          </cell>
          <cell r="C1607" t="str">
            <v>Jasa Giro</v>
          </cell>
          <cell r="D1607">
            <v>2308728676.3000002</v>
          </cell>
          <cell r="E1607">
            <v>2216059559.9099998</v>
          </cell>
          <cell r="J1607">
            <v>2219360170.8199997</v>
          </cell>
        </row>
        <row r="1608">
          <cell r="B1608" t="str">
            <v>4.1.04.05.01</v>
          </cell>
          <cell r="C1608" t="str">
            <v>Jasa Giro pada Kas Daerah</v>
          </cell>
          <cell r="D1608">
            <v>2308397645.6500001</v>
          </cell>
          <cell r="E1608">
            <v>2216059559.9099998</v>
          </cell>
          <cell r="F1608">
            <v>0</v>
          </cell>
          <cell r="G1608">
            <v>0</v>
          </cell>
          <cell r="H1608">
            <v>0</v>
          </cell>
          <cell r="I1608">
            <v>0</v>
          </cell>
          <cell r="J1608">
            <v>2216059559.9099998</v>
          </cell>
        </row>
        <row r="1609">
          <cell r="B1609" t="str">
            <v>4.1.04.05.02</v>
          </cell>
          <cell r="C1609" t="str">
            <v>Jasa Giro pada Kas di Bendahara</v>
          </cell>
          <cell r="F1609">
            <v>0</v>
          </cell>
          <cell r="G1609">
            <v>0</v>
          </cell>
          <cell r="H1609">
            <v>0</v>
          </cell>
          <cell r="I1609">
            <v>0</v>
          </cell>
          <cell r="J1609">
            <v>0</v>
          </cell>
        </row>
        <row r="1610">
          <cell r="B1610" t="str">
            <v>4.1.04.05.03</v>
          </cell>
          <cell r="C1610" t="str">
            <v>Jasa Giro pada Rekening Dana Cadangan</v>
          </cell>
          <cell r="F1610">
            <v>0</v>
          </cell>
          <cell r="G1610">
            <v>0</v>
          </cell>
          <cell r="H1610">
            <v>0</v>
          </cell>
          <cell r="I1610">
            <v>0</v>
          </cell>
          <cell r="J1610">
            <v>0</v>
          </cell>
        </row>
        <row r="1611">
          <cell r="B1611" t="str">
            <v>4.1.04.05.04</v>
          </cell>
          <cell r="C1611" t="str">
            <v>Jasa Giro pada Rekening Dana BOS</v>
          </cell>
          <cell r="D1611">
            <v>331030.65000000002</v>
          </cell>
          <cell r="F1611">
            <v>0</v>
          </cell>
          <cell r="G1611">
            <v>3300610.9100000006</v>
          </cell>
          <cell r="H1611">
            <v>0</v>
          </cell>
          <cell r="I1611">
            <v>0</v>
          </cell>
          <cell r="J1611">
            <v>3300610.9100000006</v>
          </cell>
        </row>
        <row r="1612">
          <cell r="B1612" t="str">
            <v>4.1.04.05.05</v>
          </cell>
          <cell r="C1612" t="str">
            <v>Jasa Giro Dana Kapitasi pada FKTP</v>
          </cell>
          <cell r="F1612">
            <v>0</v>
          </cell>
          <cell r="G1612">
            <v>0</v>
          </cell>
          <cell r="H1612">
            <v>0</v>
          </cell>
          <cell r="I1612">
            <v>0</v>
          </cell>
          <cell r="J1612">
            <v>0</v>
          </cell>
        </row>
        <row r="1613">
          <cell r="B1613" t="str">
            <v>4.1.04.05.06</v>
          </cell>
          <cell r="C1613" t="str">
            <v>Pendapatan Jasa Giro pada Rekening Dana BOSP</v>
          </cell>
          <cell r="F1613">
            <v>0</v>
          </cell>
          <cell r="G1613">
            <v>0</v>
          </cell>
          <cell r="H1613">
            <v>0</v>
          </cell>
          <cell r="I1613">
            <v>0</v>
          </cell>
          <cell r="J1613">
            <v>0</v>
          </cell>
        </row>
        <row r="1614">
          <cell r="B1614" t="str">
            <v>4.1.04.05.07</v>
          </cell>
          <cell r="C1614" t="str">
            <v>Pendapatan Jasa Giro pada Rekening Dana BOK Puskesmas</v>
          </cell>
          <cell r="F1614">
            <v>0</v>
          </cell>
          <cell r="G1614">
            <v>0</v>
          </cell>
          <cell r="H1614">
            <v>0</v>
          </cell>
          <cell r="I1614">
            <v>0</v>
          </cell>
          <cell r="J1614">
            <v>0</v>
          </cell>
        </row>
        <row r="1615">
          <cell r="B1615" t="str">
            <v>4.1.04.05.08</v>
          </cell>
          <cell r="C1615" t="str">
            <v>Jasa Giro pada Rekening Kas Otonomi Khusus</v>
          </cell>
          <cell r="F1615">
            <v>0</v>
          </cell>
          <cell r="G1615">
            <v>0</v>
          </cell>
          <cell r="H1615">
            <v>0</v>
          </cell>
          <cell r="I1615">
            <v>0</v>
          </cell>
          <cell r="J1615">
            <v>0</v>
          </cell>
        </row>
        <row r="1616">
          <cell r="B1616" t="str">
            <v>4.1.04.05.09</v>
          </cell>
          <cell r="C1616" t="str">
            <v>Jasa Giro pada Rekening Kas Dana Abadi Daerah</v>
          </cell>
          <cell r="F1616">
            <v>0</v>
          </cell>
          <cell r="G1616">
            <v>0</v>
          </cell>
          <cell r="H1616">
            <v>0</v>
          </cell>
          <cell r="I1616">
            <v>0</v>
          </cell>
          <cell r="J1616">
            <v>0</v>
          </cell>
        </row>
        <row r="1617">
          <cell r="B1617" t="str">
            <v>4.1.04.06</v>
          </cell>
          <cell r="C1617" t="str">
            <v>Hasil Pengelolaan Dana Bergulir</v>
          </cell>
          <cell r="D1617">
            <v>0</v>
          </cell>
          <cell r="E1617">
            <v>0</v>
          </cell>
          <cell r="J1617">
            <v>0</v>
          </cell>
        </row>
        <row r="1618">
          <cell r="B1618" t="str">
            <v>4.1.04.06.01</v>
          </cell>
          <cell r="C1618" t="str">
            <v>Hasil Pengelolaan Dana Bergulir</v>
          </cell>
          <cell r="F1618">
            <v>0</v>
          </cell>
          <cell r="G1618">
            <v>0</v>
          </cell>
          <cell r="H1618">
            <v>0</v>
          </cell>
          <cell r="I1618">
            <v>0</v>
          </cell>
          <cell r="J1618">
            <v>0</v>
          </cell>
        </row>
        <row r="1619">
          <cell r="B1619" t="str">
            <v>4.1.04.07</v>
          </cell>
          <cell r="C1619" t="str">
            <v>Pendapatan Bunga</v>
          </cell>
          <cell r="D1619">
            <v>358358851</v>
          </cell>
          <cell r="E1619">
            <v>0</v>
          </cell>
          <cell r="J1619">
            <v>40558908</v>
          </cell>
        </row>
        <row r="1620">
          <cell r="B1620" t="str">
            <v>4.1.04.07.01</v>
          </cell>
          <cell r="C1620" t="str">
            <v>Pendapatan Bunga atas Penempatan Uang Pemerintah Daerah</v>
          </cell>
          <cell r="D1620">
            <v>358358851</v>
          </cell>
          <cell r="F1620">
            <v>0</v>
          </cell>
          <cell r="G1620">
            <v>40558908</v>
          </cell>
          <cell r="H1620">
            <v>0</v>
          </cell>
          <cell r="I1620">
            <v>0</v>
          </cell>
          <cell r="J1620">
            <v>40558908</v>
          </cell>
        </row>
        <row r="1621">
          <cell r="B1621" t="str">
            <v>4.1.04.08</v>
          </cell>
          <cell r="C1621" t="str">
            <v>Penerimaan atas Tuntutan Ganti Kerugian Keuangan Daerah</v>
          </cell>
          <cell r="D1621">
            <v>1018570851.1</v>
          </cell>
          <cell r="E1621">
            <v>1707511431.1800001</v>
          </cell>
          <cell r="J1621">
            <v>1707511431.1800001</v>
          </cell>
        </row>
        <row r="1622">
          <cell r="B1622" t="str">
            <v>4.1.04.08.01</v>
          </cell>
          <cell r="C1622" t="str">
            <v>Tuntutan Ganti Kerugian Daerah terhadap Bendahara</v>
          </cell>
          <cell r="F1622">
            <v>0</v>
          </cell>
          <cell r="G1622">
            <v>0</v>
          </cell>
          <cell r="H1622">
            <v>0</v>
          </cell>
          <cell r="I1622">
            <v>0</v>
          </cell>
          <cell r="J1622">
            <v>0</v>
          </cell>
        </row>
        <row r="1623">
          <cell r="B1623" t="str">
            <v>4.1.04.08.02</v>
          </cell>
          <cell r="C1623" t="str">
            <v>Tuntutan Ganti Kerugian Daerah terhadap Pegawai Negeri Bukan Bendahara atau Pejabat Lain</v>
          </cell>
          <cell r="D1623">
            <v>1018570851.1</v>
          </cell>
          <cell r="E1623">
            <v>1707511431.1800001</v>
          </cell>
          <cell r="F1623">
            <v>0</v>
          </cell>
          <cell r="G1623">
            <v>0</v>
          </cell>
          <cell r="H1623">
            <v>0</v>
          </cell>
          <cell r="I1623">
            <v>0</v>
          </cell>
          <cell r="J1623">
            <v>1707511431.1800001</v>
          </cell>
        </row>
        <row r="1624">
          <cell r="B1624" t="str">
            <v>4.1.04.09</v>
          </cell>
          <cell r="C1624" t="str">
            <v>Penerimaan Komisi, Potongan, atau Bentuk Lain</v>
          </cell>
          <cell r="D1624">
            <v>1462910751.1999969</v>
          </cell>
          <cell r="E1624">
            <v>2554193894.9400001</v>
          </cell>
          <cell r="J1624">
            <v>2500851914.5300002</v>
          </cell>
        </row>
        <row r="1625">
          <cell r="B1625" t="str">
            <v>4.1.04.09.01</v>
          </cell>
          <cell r="C1625" t="str">
            <v>Penerimaan Komisi, Potongan, atau Bentuk Lain</v>
          </cell>
          <cell r="D1625">
            <v>1462910751.1999969</v>
          </cell>
          <cell r="E1625">
            <v>2554193894.9400001</v>
          </cell>
          <cell r="F1625">
            <v>58020463.019999996</v>
          </cell>
          <cell r="G1625">
            <v>4678482.6099999212</v>
          </cell>
          <cell r="H1625">
            <v>0</v>
          </cell>
          <cell r="I1625">
            <v>0</v>
          </cell>
          <cell r="J1625">
            <v>2500851914.5300002</v>
          </cell>
        </row>
        <row r="1626">
          <cell r="B1626" t="str">
            <v>4.1.04.10</v>
          </cell>
          <cell r="C1626" t="str">
            <v>Penerimaan Keuntungan dari Selisih Nilai Tukar Rupiah terhadap Mata Uang Asing</v>
          </cell>
          <cell r="D1626">
            <v>4069826337</v>
          </cell>
          <cell r="E1626">
            <v>0</v>
          </cell>
          <cell r="J1626">
            <v>0</v>
          </cell>
        </row>
        <row r="1627">
          <cell r="B1627" t="str">
            <v>4.1.04.10.01</v>
          </cell>
          <cell r="C1627" t="str">
            <v>Penerimaan Keuntungan dari Selisih Nilai Tukar Rupiah terhadap Mata Uang Asing</v>
          </cell>
          <cell r="D1627">
            <v>4069826337</v>
          </cell>
          <cell r="F1627">
            <v>0</v>
          </cell>
          <cell r="G1627">
            <v>0</v>
          </cell>
          <cell r="H1627">
            <v>0</v>
          </cell>
          <cell r="I1627">
            <v>0</v>
          </cell>
          <cell r="J1627">
            <v>0</v>
          </cell>
        </row>
        <row r="1628">
          <cell r="B1628" t="str">
            <v>4.1.04.11</v>
          </cell>
          <cell r="C1628" t="str">
            <v>Pendapatan Denda atas Keterlambatan Pelaksanaan Pekerjaan</v>
          </cell>
          <cell r="D1628">
            <v>56374292.710000001</v>
          </cell>
          <cell r="E1628">
            <v>1263306652.78</v>
          </cell>
          <cell r="J1628">
            <v>1263306652.78</v>
          </cell>
        </row>
        <row r="1629">
          <cell r="B1629" t="str">
            <v>4.1.04.11.01</v>
          </cell>
          <cell r="C1629" t="str">
            <v>Pendapatan Denda atas Keterlambatan Pelaksanaan Pekerjaan</v>
          </cell>
          <cell r="D1629">
            <v>56374292.710000001</v>
          </cell>
          <cell r="E1629">
            <v>1263306652.78</v>
          </cell>
          <cell r="F1629">
            <v>0</v>
          </cell>
          <cell r="G1629">
            <v>0</v>
          </cell>
          <cell r="H1629">
            <v>0</v>
          </cell>
          <cell r="I1629">
            <v>0</v>
          </cell>
          <cell r="J1629">
            <v>1263306652.78</v>
          </cell>
        </row>
        <row r="1630">
          <cell r="B1630" t="str">
            <v>4.1.04.12</v>
          </cell>
          <cell r="C1630" t="str">
            <v>Pendapatan Denda Pajak Daerah</v>
          </cell>
          <cell r="D1630">
            <v>0</v>
          </cell>
          <cell r="E1630">
            <v>0</v>
          </cell>
          <cell r="J1630">
            <v>0</v>
          </cell>
        </row>
        <row r="1631">
          <cell r="B1631" t="str">
            <v>4.1.04.12.01</v>
          </cell>
          <cell r="C1631" t="str">
            <v>Pendapatan Denda Pajak Kendaraan Bermotor (PKB)</v>
          </cell>
          <cell r="F1631">
            <v>0</v>
          </cell>
          <cell r="G1631">
            <v>0</v>
          </cell>
          <cell r="H1631">
            <v>0</v>
          </cell>
          <cell r="I1631">
            <v>0</v>
          </cell>
          <cell r="J1631">
            <v>0</v>
          </cell>
        </row>
        <row r="1632">
          <cell r="B1632" t="str">
            <v>4.1.04.12.02</v>
          </cell>
          <cell r="C1632" t="str">
            <v>Pendapatan Denda Bea Balik Nama Kendaraan Bermotor (BBNKB)</v>
          </cell>
          <cell r="F1632">
            <v>0</v>
          </cell>
          <cell r="G1632">
            <v>0</v>
          </cell>
          <cell r="H1632">
            <v>0</v>
          </cell>
          <cell r="I1632">
            <v>0</v>
          </cell>
          <cell r="J1632">
            <v>0</v>
          </cell>
        </row>
        <row r="1633">
          <cell r="B1633" t="str">
            <v>4.1.04.12.03</v>
          </cell>
          <cell r="C1633" t="str">
            <v>Pendapatan Denda Pajak Bahan Bakar Kendaraan Bermotor (PBBKB)</v>
          </cell>
          <cell r="F1633">
            <v>0</v>
          </cell>
          <cell r="G1633">
            <v>0</v>
          </cell>
          <cell r="H1633">
            <v>0</v>
          </cell>
          <cell r="I1633">
            <v>0</v>
          </cell>
          <cell r="J1633">
            <v>0</v>
          </cell>
        </row>
        <row r="1634">
          <cell r="B1634" t="str">
            <v>4.1.04.12.04</v>
          </cell>
          <cell r="C1634" t="str">
            <v>Pendapatan Denda Pajak Air Permukaan</v>
          </cell>
          <cell r="F1634">
            <v>0</v>
          </cell>
          <cell r="G1634">
            <v>0</v>
          </cell>
          <cell r="H1634">
            <v>0</v>
          </cell>
          <cell r="I1634">
            <v>0</v>
          </cell>
          <cell r="J1634">
            <v>0</v>
          </cell>
        </row>
        <row r="1635">
          <cell r="B1635" t="str">
            <v>4.1.04.12.05</v>
          </cell>
          <cell r="C1635" t="str">
            <v>Pendapatan Denda Pajak Rokok</v>
          </cell>
          <cell r="F1635">
            <v>0</v>
          </cell>
          <cell r="G1635">
            <v>0</v>
          </cell>
          <cell r="H1635">
            <v>0</v>
          </cell>
          <cell r="I1635">
            <v>0</v>
          </cell>
          <cell r="J1635">
            <v>0</v>
          </cell>
        </row>
        <row r="1636">
          <cell r="B1636" t="str">
            <v>4.1.04.12.06</v>
          </cell>
          <cell r="C1636" t="str">
            <v>Pendapatan Denda Pajak Hotel</v>
          </cell>
          <cell r="F1636">
            <v>0</v>
          </cell>
          <cell r="G1636">
            <v>0</v>
          </cell>
          <cell r="H1636">
            <v>0</v>
          </cell>
          <cell r="I1636">
            <v>0</v>
          </cell>
          <cell r="J1636">
            <v>0</v>
          </cell>
        </row>
        <row r="1637">
          <cell r="B1637" t="str">
            <v>4.1.04.12.07</v>
          </cell>
          <cell r="C1637" t="str">
            <v>Pendapatan Denda Pajak Restoran</v>
          </cell>
          <cell r="F1637">
            <v>0</v>
          </cell>
          <cell r="G1637">
            <v>0</v>
          </cell>
          <cell r="H1637">
            <v>0</v>
          </cell>
          <cell r="I1637">
            <v>0</v>
          </cell>
          <cell r="J1637">
            <v>0</v>
          </cell>
        </row>
        <row r="1638">
          <cell r="B1638" t="str">
            <v>4.1.04.12.08</v>
          </cell>
          <cell r="C1638" t="str">
            <v>Pendapatan Denda Pajak Hiburan</v>
          </cell>
          <cell r="F1638">
            <v>0</v>
          </cell>
          <cell r="G1638">
            <v>0</v>
          </cell>
          <cell r="H1638">
            <v>0</v>
          </cell>
          <cell r="I1638">
            <v>0</v>
          </cell>
          <cell r="J1638">
            <v>0</v>
          </cell>
        </row>
        <row r="1639">
          <cell r="B1639" t="str">
            <v>4.1.04.12.09</v>
          </cell>
          <cell r="C1639" t="str">
            <v>Pendapatan Denda Pajak Reklame</v>
          </cell>
          <cell r="F1639">
            <v>0</v>
          </cell>
          <cell r="G1639">
            <v>0</v>
          </cell>
          <cell r="H1639">
            <v>0</v>
          </cell>
          <cell r="I1639">
            <v>0</v>
          </cell>
          <cell r="J1639">
            <v>0</v>
          </cell>
        </row>
        <row r="1640">
          <cell r="B1640" t="str">
            <v>4.1.04.12.10</v>
          </cell>
          <cell r="C1640" t="str">
            <v>Pendapatan Denda Pajak Penerangan Jalan</v>
          </cell>
          <cell r="F1640">
            <v>0</v>
          </cell>
          <cell r="G1640">
            <v>0</v>
          </cell>
          <cell r="H1640">
            <v>0</v>
          </cell>
          <cell r="I1640">
            <v>0</v>
          </cell>
          <cell r="J1640">
            <v>0</v>
          </cell>
        </row>
        <row r="1641">
          <cell r="B1641" t="str">
            <v>4.1.04.12.11</v>
          </cell>
          <cell r="C1641" t="str">
            <v>Pendapatan Denda Pajak Parkir</v>
          </cell>
          <cell r="F1641">
            <v>0</v>
          </cell>
          <cell r="G1641">
            <v>0</v>
          </cell>
          <cell r="H1641">
            <v>0</v>
          </cell>
          <cell r="I1641">
            <v>0</v>
          </cell>
          <cell r="J1641">
            <v>0</v>
          </cell>
        </row>
        <row r="1642">
          <cell r="B1642" t="str">
            <v>4.1.04.12.12</v>
          </cell>
          <cell r="C1642" t="str">
            <v>Pendapatan Denda Pajak Air Tanah</v>
          </cell>
          <cell r="F1642">
            <v>0</v>
          </cell>
          <cell r="G1642">
            <v>0</v>
          </cell>
          <cell r="H1642">
            <v>0</v>
          </cell>
          <cell r="I1642">
            <v>0</v>
          </cell>
          <cell r="J1642">
            <v>0</v>
          </cell>
        </row>
        <row r="1643">
          <cell r="B1643" t="str">
            <v>4.1.04.12.13</v>
          </cell>
          <cell r="C1643" t="str">
            <v>Pendapatan Denda Pajak Sarang Burung Walet</v>
          </cell>
          <cell r="F1643">
            <v>0</v>
          </cell>
          <cell r="G1643">
            <v>0</v>
          </cell>
          <cell r="H1643">
            <v>0</v>
          </cell>
          <cell r="I1643">
            <v>0</v>
          </cell>
          <cell r="J1643">
            <v>0</v>
          </cell>
        </row>
        <row r="1644">
          <cell r="B1644" t="str">
            <v>4.1.04.12.14</v>
          </cell>
          <cell r="C1644" t="str">
            <v>Pendapatan Denda Pajak Mineral Bukan Logam dan Batuan</v>
          </cell>
          <cell r="F1644">
            <v>0</v>
          </cell>
          <cell r="G1644">
            <v>0</v>
          </cell>
          <cell r="H1644">
            <v>0</v>
          </cell>
          <cell r="I1644">
            <v>0</v>
          </cell>
          <cell r="J1644">
            <v>0</v>
          </cell>
        </row>
        <row r="1645">
          <cell r="B1645" t="str">
            <v>4.1.04.12.15</v>
          </cell>
          <cell r="C1645" t="str">
            <v>Pendapatan Denda Pajak Bumi dan Bangunan Perdesaan dan Perkotaan (PBBP2)</v>
          </cell>
          <cell r="F1645">
            <v>0</v>
          </cell>
          <cell r="G1645">
            <v>0</v>
          </cell>
          <cell r="H1645">
            <v>0</v>
          </cell>
          <cell r="I1645">
            <v>0</v>
          </cell>
          <cell r="J1645">
            <v>0</v>
          </cell>
        </row>
        <row r="1646">
          <cell r="B1646" t="str">
            <v>4.1.04.12.16</v>
          </cell>
          <cell r="C1646" t="str">
            <v>Pendapatan Denda Bea Perolehan Hak atas Tanah dan Bangunan (BPHTB)</v>
          </cell>
          <cell r="F1646">
            <v>0</v>
          </cell>
          <cell r="G1646">
            <v>0</v>
          </cell>
          <cell r="H1646">
            <v>0</v>
          </cell>
          <cell r="I1646">
            <v>0</v>
          </cell>
          <cell r="J1646">
            <v>0</v>
          </cell>
        </row>
        <row r="1647">
          <cell r="B1647" t="str">
            <v>4.1.04.12.17</v>
          </cell>
          <cell r="C1647" t="str">
            <v>Pendapatan Denda Pajak Alat Berat</v>
          </cell>
          <cell r="F1647">
            <v>0</v>
          </cell>
          <cell r="G1647">
            <v>0</v>
          </cell>
          <cell r="H1647">
            <v>0</v>
          </cell>
          <cell r="I1647">
            <v>0</v>
          </cell>
          <cell r="J1647">
            <v>0</v>
          </cell>
        </row>
        <row r="1648">
          <cell r="B1648" t="str">
            <v>4.1.04.12.18</v>
          </cell>
          <cell r="C1648" t="str">
            <v>Pendapatan Denda Opsen Pajak Mineral Bukan Logam dan Batuan (MBLB)</v>
          </cell>
          <cell r="F1648">
            <v>0</v>
          </cell>
          <cell r="G1648">
            <v>0</v>
          </cell>
          <cell r="H1648">
            <v>0</v>
          </cell>
          <cell r="I1648">
            <v>0</v>
          </cell>
          <cell r="J1648">
            <v>0</v>
          </cell>
        </row>
        <row r="1649">
          <cell r="B1649" t="str">
            <v>4.1.04.12.19</v>
          </cell>
          <cell r="C1649" t="str">
            <v>Pendapatan Denda Pajak Barang dan Jasa Tertentu (PBJT)</v>
          </cell>
          <cell r="F1649">
            <v>0</v>
          </cell>
          <cell r="G1649">
            <v>0</v>
          </cell>
          <cell r="H1649">
            <v>0</v>
          </cell>
          <cell r="I1649">
            <v>0</v>
          </cell>
          <cell r="J1649">
            <v>0</v>
          </cell>
        </row>
        <row r="1650">
          <cell r="B1650" t="str">
            <v>4.1.04.12.20</v>
          </cell>
          <cell r="C1650" t="str">
            <v>Pendapatan Denda Opsen Pajak Kendaraan Bermotor (PKB)</v>
          </cell>
          <cell r="F1650">
            <v>0</v>
          </cell>
          <cell r="G1650">
            <v>0</v>
          </cell>
          <cell r="H1650">
            <v>0</v>
          </cell>
          <cell r="I1650">
            <v>0</v>
          </cell>
          <cell r="J1650">
            <v>0</v>
          </cell>
        </row>
        <row r="1651">
          <cell r="B1651" t="str">
            <v>4.1.04.12.21</v>
          </cell>
          <cell r="C1651" t="str">
            <v>Pendapatan Denda Opsen Bea Balik Nama Kendaraan Bermotor (BBNKB)</v>
          </cell>
          <cell r="F1651">
            <v>0</v>
          </cell>
          <cell r="G1651">
            <v>0</v>
          </cell>
          <cell r="H1651">
            <v>0</v>
          </cell>
          <cell r="I1651">
            <v>0</v>
          </cell>
          <cell r="J1651">
            <v>0</v>
          </cell>
        </row>
        <row r="1652">
          <cell r="B1652" t="str">
            <v>4.1.04.13</v>
          </cell>
          <cell r="C1652" t="str">
            <v>Pendapatan Denda Retribusi Daerah</v>
          </cell>
          <cell r="D1652">
            <v>0</v>
          </cell>
          <cell r="E1652">
            <v>0</v>
          </cell>
          <cell r="J1652">
            <v>0</v>
          </cell>
        </row>
        <row r="1653">
          <cell r="B1653" t="str">
            <v>4.1.04.13.01</v>
          </cell>
          <cell r="C1653" t="str">
            <v>Pendapatan Denda Retribusi Jasa Umum</v>
          </cell>
          <cell r="F1653">
            <v>0</v>
          </cell>
          <cell r="G1653">
            <v>0</v>
          </cell>
          <cell r="H1653">
            <v>0</v>
          </cell>
          <cell r="I1653">
            <v>0</v>
          </cell>
          <cell r="J1653">
            <v>0</v>
          </cell>
        </row>
        <row r="1654">
          <cell r="B1654" t="str">
            <v>4.1.04.13.02</v>
          </cell>
          <cell r="C1654" t="str">
            <v>Pendapatan Denda Retribusi Jasa Usaha</v>
          </cell>
          <cell r="F1654">
            <v>0</v>
          </cell>
          <cell r="G1654">
            <v>0</v>
          </cell>
          <cell r="H1654">
            <v>0</v>
          </cell>
          <cell r="I1654">
            <v>0</v>
          </cell>
          <cell r="J1654">
            <v>0</v>
          </cell>
        </row>
        <row r="1655">
          <cell r="B1655" t="str">
            <v>4.1.04.13.03</v>
          </cell>
          <cell r="C1655" t="str">
            <v>Pendapatan Denda Retribusi Perizinan Tertentu</v>
          </cell>
          <cell r="F1655">
            <v>0</v>
          </cell>
          <cell r="G1655">
            <v>0</v>
          </cell>
          <cell r="H1655">
            <v>0</v>
          </cell>
          <cell r="I1655">
            <v>0</v>
          </cell>
          <cell r="J1655">
            <v>0</v>
          </cell>
        </row>
        <row r="1656">
          <cell r="B1656" t="str">
            <v>4.1.04.14</v>
          </cell>
          <cell r="C1656" t="str">
            <v>Pendapatan Hasil Eksekusi atas Jaminan</v>
          </cell>
          <cell r="D1656">
            <v>0</v>
          </cell>
          <cell r="E1656">
            <v>0</v>
          </cell>
          <cell r="J1656">
            <v>0</v>
          </cell>
        </row>
        <row r="1657">
          <cell r="B1657" t="str">
            <v>4.1.04.14.01</v>
          </cell>
          <cell r="C1657" t="str">
            <v>Hasil Eksekusi atas Jaminan atas Pengadaan Barang/Jasa</v>
          </cell>
          <cell r="F1657">
            <v>0</v>
          </cell>
          <cell r="G1657">
            <v>0</v>
          </cell>
          <cell r="H1657">
            <v>0</v>
          </cell>
          <cell r="I1657">
            <v>0</v>
          </cell>
          <cell r="J1657">
            <v>0</v>
          </cell>
        </row>
        <row r="1658">
          <cell r="B1658" t="str">
            <v>4.1.04.15</v>
          </cell>
          <cell r="C1658" t="str">
            <v>Pendapatan dari Pengembalian</v>
          </cell>
          <cell r="D1658">
            <v>0</v>
          </cell>
          <cell r="E1658">
            <v>0</v>
          </cell>
          <cell r="J1658">
            <v>55875400</v>
          </cell>
        </row>
        <row r="1659">
          <cell r="B1659" t="str">
            <v>4.1.04.15.01</v>
          </cell>
          <cell r="C1659" t="str">
            <v>Pendapatan dari Pengembalian Kelebihan Pembayaran Pajak Penghasilan Pasal 21</v>
          </cell>
          <cell r="F1659">
            <v>0</v>
          </cell>
          <cell r="G1659">
            <v>0</v>
          </cell>
          <cell r="H1659">
            <v>0</v>
          </cell>
          <cell r="I1659">
            <v>0</v>
          </cell>
          <cell r="J1659">
            <v>0</v>
          </cell>
        </row>
        <row r="1660">
          <cell r="B1660" t="str">
            <v>4.1.04.15.02</v>
          </cell>
          <cell r="C1660" t="str">
            <v>Pendapatan dari Pengembalian Kelebihan Pembayaran Iuran Simpanan Peserta Tabungan Perumahan Rakyat ASN</v>
          </cell>
          <cell r="F1660">
            <v>0</v>
          </cell>
          <cell r="G1660">
            <v>0</v>
          </cell>
          <cell r="H1660">
            <v>0</v>
          </cell>
          <cell r="I1660">
            <v>0</v>
          </cell>
          <cell r="J1660">
            <v>0</v>
          </cell>
        </row>
        <row r="1661">
          <cell r="B1661" t="str">
            <v>4.1.04.15.03</v>
          </cell>
          <cell r="C1661" t="str">
            <v>Pendapatan dari Pengembalian Kelebihan Pembayaran Gaji dan Tunjangan</v>
          </cell>
          <cell r="F1661">
            <v>0</v>
          </cell>
          <cell r="G1661">
            <v>0</v>
          </cell>
          <cell r="H1661">
            <v>0</v>
          </cell>
          <cell r="I1661">
            <v>0</v>
          </cell>
          <cell r="J1661">
            <v>0</v>
          </cell>
        </row>
        <row r="1662">
          <cell r="B1662" t="str">
            <v>4.1.04.15.04</v>
          </cell>
          <cell r="C1662" t="str">
            <v>Pendapatan dari Pengembalian Kelebihan Pembayaran Perjalanan Dinas</v>
          </cell>
          <cell r="F1662">
            <v>0</v>
          </cell>
          <cell r="G1662">
            <v>0</v>
          </cell>
          <cell r="H1662">
            <v>0</v>
          </cell>
          <cell r="I1662">
            <v>0</v>
          </cell>
          <cell r="J1662">
            <v>0</v>
          </cell>
        </row>
        <row r="1663">
          <cell r="B1663" t="str">
            <v>4.1.04.15.05</v>
          </cell>
          <cell r="C1663" t="str">
            <v>Pendapatan dari Pengembalian Kelebihan Pembayaran Jaminan Kecelakaan Kerja (JKK)</v>
          </cell>
          <cell r="F1663">
            <v>0</v>
          </cell>
          <cell r="G1663">
            <v>0</v>
          </cell>
          <cell r="H1663">
            <v>0</v>
          </cell>
          <cell r="I1663">
            <v>0</v>
          </cell>
          <cell r="J1663">
            <v>0</v>
          </cell>
        </row>
        <row r="1664">
          <cell r="B1664" t="str">
            <v>4.1.04.15.06</v>
          </cell>
          <cell r="C1664" t="str">
            <v>Pendapatan dari Pengembalian Kelebihan Pembayaran Jaminan Kematian (JKM)</v>
          </cell>
          <cell r="F1664">
            <v>0</v>
          </cell>
          <cell r="G1664">
            <v>0</v>
          </cell>
          <cell r="H1664">
            <v>0</v>
          </cell>
          <cell r="I1664">
            <v>0</v>
          </cell>
          <cell r="J1664">
            <v>0</v>
          </cell>
        </row>
        <row r="1665">
          <cell r="B1665" t="str">
            <v>4.1.04.15.07</v>
          </cell>
          <cell r="C1665" t="str">
            <v>Pendapatan dari Pengembalian Kelebihan Pembayaran Jaminan Kesehatan Nasional (JKN)</v>
          </cell>
          <cell r="F1665">
            <v>0</v>
          </cell>
          <cell r="G1665">
            <v>0</v>
          </cell>
          <cell r="H1665">
            <v>0</v>
          </cell>
          <cell r="I1665">
            <v>0</v>
          </cell>
          <cell r="J1665">
            <v>0</v>
          </cell>
        </row>
        <row r="1666">
          <cell r="B1666" t="str">
            <v>4.1.04.15.08</v>
          </cell>
          <cell r="C1666" t="str">
            <v>Pendapatan dari Pengembalian Kelebihan Pembayaran Belanja Gaji dan Tunjangan ASN</v>
          </cell>
          <cell r="F1666">
            <v>0</v>
          </cell>
          <cell r="G1666">
            <v>0</v>
          </cell>
          <cell r="H1666">
            <v>0</v>
          </cell>
          <cell r="I1666">
            <v>0</v>
          </cell>
          <cell r="J1666">
            <v>0</v>
          </cell>
        </row>
        <row r="1667">
          <cell r="B1667" t="str">
            <v>4.1.04.15.09</v>
          </cell>
          <cell r="C1667" t="str">
            <v>Pendapatan dari Pengembalian Kelebihan Pembayaran Belanja Tambahan Penghasilan ASN</v>
          </cell>
          <cell r="F1667">
            <v>0</v>
          </cell>
          <cell r="G1667">
            <v>0</v>
          </cell>
          <cell r="H1667">
            <v>0</v>
          </cell>
          <cell r="I1667">
            <v>0</v>
          </cell>
          <cell r="J1667">
            <v>0</v>
          </cell>
        </row>
        <row r="1668">
          <cell r="B1668" t="str">
            <v>4.1.04.15.10</v>
          </cell>
          <cell r="C1668" t="str">
            <v>Pendapatan dari Pengembalian Kelebihan Pembayaran Belanja Tambahan Penghasilan berdasarkan Pertimbangan Objektif Lainnya ASN</v>
          </cell>
          <cell r="F1668">
            <v>0</v>
          </cell>
          <cell r="G1668">
            <v>0</v>
          </cell>
          <cell r="H1668">
            <v>0</v>
          </cell>
          <cell r="I1668">
            <v>0</v>
          </cell>
          <cell r="J1668">
            <v>0</v>
          </cell>
        </row>
        <row r="1669">
          <cell r="B1669" t="str">
            <v>4.1.04.15.11</v>
          </cell>
          <cell r="C1669" t="str">
            <v>Pendapatan dari Pengembalian Kelebihan Pembayaran Belanja Gaji dan Tunjangan DPRD</v>
          </cell>
          <cell r="F1669">
            <v>0</v>
          </cell>
          <cell r="G1669">
            <v>0</v>
          </cell>
          <cell r="H1669">
            <v>0</v>
          </cell>
          <cell r="I1669">
            <v>0</v>
          </cell>
          <cell r="J1669">
            <v>0</v>
          </cell>
        </row>
        <row r="1670">
          <cell r="B1670" t="str">
            <v>4.1.04.15.12</v>
          </cell>
          <cell r="C1670" t="str">
            <v>Pendapatan dari Pengembalian Kelebihan Pembayaran Belanja Gaji dan Tunjangan KDH/WKDH</v>
          </cell>
          <cell r="F1670">
            <v>0</v>
          </cell>
          <cell r="G1670">
            <v>0</v>
          </cell>
          <cell r="H1670">
            <v>0</v>
          </cell>
          <cell r="I1670">
            <v>0</v>
          </cell>
          <cell r="J1670">
            <v>0</v>
          </cell>
        </row>
        <row r="1671">
          <cell r="B1671" t="str">
            <v>4.1.04.15.13</v>
          </cell>
          <cell r="C1671" t="str">
            <v>Pendapatan dari Pengembalian Kelebihan Pembayaran Belanja Penerimaan Lainnya Pimpinan DPRD serta KDH/WKDH</v>
          </cell>
          <cell r="F1671">
            <v>0</v>
          </cell>
          <cell r="G1671">
            <v>0</v>
          </cell>
          <cell r="H1671">
            <v>0</v>
          </cell>
          <cell r="I1671">
            <v>0</v>
          </cell>
          <cell r="J1671">
            <v>0</v>
          </cell>
        </row>
        <row r="1672">
          <cell r="B1672" t="str">
            <v>4.1.04.15.14</v>
          </cell>
          <cell r="C1672" t="str">
            <v>Pendapatan dari Pengembalian Kelebihan Pembayaran Belanja Gaji dan Tunjangan MRP</v>
          </cell>
          <cell r="F1672">
            <v>0</v>
          </cell>
          <cell r="G1672">
            <v>0</v>
          </cell>
          <cell r="H1672">
            <v>0</v>
          </cell>
          <cell r="I1672">
            <v>0</v>
          </cell>
          <cell r="J1672">
            <v>0</v>
          </cell>
        </row>
        <row r="1673">
          <cell r="B1673" t="str">
            <v>4.1.04.15.15</v>
          </cell>
          <cell r="C1673" t="str">
            <v>Pendapatan dari Pengembalian Kelebihan Pembayaran Belanja Barang</v>
          </cell>
          <cell r="F1673">
            <v>0</v>
          </cell>
          <cell r="G1673">
            <v>0</v>
          </cell>
          <cell r="H1673">
            <v>0</v>
          </cell>
          <cell r="I1673">
            <v>0</v>
          </cell>
          <cell r="J1673">
            <v>0</v>
          </cell>
        </row>
        <row r="1674">
          <cell r="B1674" t="str">
            <v>4.1.04.15.16</v>
          </cell>
          <cell r="C1674" t="str">
            <v>Pendapatan dari Pengembalian Kelebihan Pembayaran Belanja Jasa</v>
          </cell>
          <cell r="F1674">
            <v>0</v>
          </cell>
          <cell r="G1674">
            <v>0</v>
          </cell>
          <cell r="H1674">
            <v>0</v>
          </cell>
          <cell r="I1674">
            <v>0</v>
          </cell>
          <cell r="J1674">
            <v>0</v>
          </cell>
        </row>
        <row r="1675">
          <cell r="B1675" t="str">
            <v>4.1.04.15.17</v>
          </cell>
          <cell r="C1675" t="str">
            <v>Pendapatan dari Pengembalian Kelebihan Pembayaran Belanja Pemeliharaan</v>
          </cell>
          <cell r="F1675">
            <v>0</v>
          </cell>
          <cell r="G1675">
            <v>0</v>
          </cell>
          <cell r="H1675">
            <v>0</v>
          </cell>
          <cell r="I1675">
            <v>0</v>
          </cell>
          <cell r="J1675">
            <v>0</v>
          </cell>
        </row>
        <row r="1676">
          <cell r="B1676" t="str">
            <v>4.1.04.15.18</v>
          </cell>
          <cell r="C1676" t="str">
            <v>Pendapatan dari Pengembalian Kelebihan Pembayaran Belanja Uang dan/atau Jasa untuk Diberikan kepada Pihak Ketiga/Pihak Lain/Masyarakat</v>
          </cell>
          <cell r="F1676">
            <v>0</v>
          </cell>
          <cell r="G1676">
            <v>0</v>
          </cell>
          <cell r="H1676">
            <v>0</v>
          </cell>
          <cell r="I1676">
            <v>0</v>
          </cell>
          <cell r="J1676">
            <v>0</v>
          </cell>
        </row>
        <row r="1677">
          <cell r="B1677" t="str">
            <v>4.1.04.15.19</v>
          </cell>
          <cell r="C1677" t="str">
            <v>Pendapatan dari Pengembalian Kelebihan Pembayaran Belanja Penunjang Otonomi Khusus*)</v>
          </cell>
          <cell r="F1677">
            <v>0</v>
          </cell>
          <cell r="G1677">
            <v>0</v>
          </cell>
          <cell r="H1677">
            <v>0</v>
          </cell>
          <cell r="I1677">
            <v>0</v>
          </cell>
          <cell r="J1677">
            <v>0</v>
          </cell>
        </row>
        <row r="1678">
          <cell r="B1678" t="str">
            <v>4.1.04.15.20</v>
          </cell>
          <cell r="C1678" t="str">
            <v>Pendapatan dari Pengembalian Kelebihan Pembayaran Belanja Bunga Utang Pinjaman kepada Pemerintah Pusat</v>
          </cell>
          <cell r="F1678">
            <v>0</v>
          </cell>
          <cell r="G1678">
            <v>0</v>
          </cell>
          <cell r="H1678">
            <v>0</v>
          </cell>
          <cell r="I1678">
            <v>0</v>
          </cell>
          <cell r="J1678">
            <v>0</v>
          </cell>
        </row>
        <row r="1679">
          <cell r="B1679" t="str">
            <v>4.1.04.15.21</v>
          </cell>
          <cell r="C1679" t="str">
            <v>Pendapatan dari Pengembalian Kelebihan Pembayaran Belanja Bunga Utang Pinjaman kepada Pemerintah Daerah Lain</v>
          </cell>
          <cell r="F1679">
            <v>0</v>
          </cell>
          <cell r="G1679">
            <v>0</v>
          </cell>
          <cell r="H1679">
            <v>0</v>
          </cell>
          <cell r="I1679">
            <v>0</v>
          </cell>
          <cell r="J1679">
            <v>0</v>
          </cell>
        </row>
        <row r="1680">
          <cell r="B1680" t="str">
            <v>4.1.04.15.22</v>
          </cell>
          <cell r="C1680" t="str">
            <v>Pendapatan dari Pengembalian Kelebihan Pembayaran Belanja Bunga Utang Pinjaman kepada Lembaga Keuangan Bank (LKB)</v>
          </cell>
          <cell r="F1680">
            <v>0</v>
          </cell>
          <cell r="G1680">
            <v>0</v>
          </cell>
          <cell r="H1680">
            <v>0</v>
          </cell>
          <cell r="I1680">
            <v>0</v>
          </cell>
          <cell r="J1680">
            <v>0</v>
          </cell>
        </row>
        <row r="1681">
          <cell r="B1681" t="str">
            <v>4.1.04.15.23</v>
          </cell>
          <cell r="C1681" t="str">
            <v>Pendapatan dari Pengembalian Kelebihan Pembayaran Belanja Bunga Utang Pinjaman kepada Lembaga Keuangan Bukan Bank (LKBB)</v>
          </cell>
          <cell r="F1681">
            <v>0</v>
          </cell>
          <cell r="G1681">
            <v>0</v>
          </cell>
          <cell r="H1681">
            <v>0</v>
          </cell>
          <cell r="I1681">
            <v>0</v>
          </cell>
          <cell r="J1681">
            <v>0</v>
          </cell>
        </row>
        <row r="1682">
          <cell r="B1682" t="str">
            <v>4.1.04.15.24</v>
          </cell>
          <cell r="C1682" t="str">
            <v>Pendapatan dari Pengembalian Kelebihan Pembayaran Belanja Bunga Utang Kepada Masyarakat (Obligasi)</v>
          </cell>
          <cell r="F1682">
            <v>0</v>
          </cell>
          <cell r="G1682">
            <v>0</v>
          </cell>
          <cell r="H1682">
            <v>0</v>
          </cell>
          <cell r="I1682">
            <v>0</v>
          </cell>
          <cell r="J1682">
            <v>0</v>
          </cell>
        </row>
        <row r="1683">
          <cell r="B1683" t="str">
            <v>4.1.04.15.25</v>
          </cell>
          <cell r="C1683" t="str">
            <v>Pendapatan dari Pengembalian Kelebihan Pembayaran Belanja Bunga Utang Pinjaman melalui BLUD</v>
          </cell>
          <cell r="F1683">
            <v>0</v>
          </cell>
          <cell r="G1683">
            <v>0</v>
          </cell>
          <cell r="H1683">
            <v>0</v>
          </cell>
          <cell r="I1683">
            <v>0</v>
          </cell>
          <cell r="J1683">
            <v>0</v>
          </cell>
        </row>
        <row r="1684">
          <cell r="B1684" t="str">
            <v>4.1.04.15.26</v>
          </cell>
          <cell r="C1684" t="str">
            <v>Pendapatan dari Pengembalian Kelebihan Pembayaran Belanja Subsidi kepada BUMN</v>
          </cell>
          <cell r="F1684">
            <v>0</v>
          </cell>
          <cell r="G1684">
            <v>0</v>
          </cell>
          <cell r="H1684">
            <v>0</v>
          </cell>
          <cell r="I1684">
            <v>0</v>
          </cell>
          <cell r="J1684">
            <v>0</v>
          </cell>
        </row>
        <row r="1685">
          <cell r="B1685" t="str">
            <v>4.1.04.15.27</v>
          </cell>
          <cell r="C1685" t="str">
            <v>Pendapatan dari Pengembalian Kelebihan Pembayaran Belanja Subsidi kepada BUMD</v>
          </cell>
          <cell r="F1685">
            <v>0</v>
          </cell>
          <cell r="G1685">
            <v>0</v>
          </cell>
          <cell r="H1685">
            <v>0</v>
          </cell>
          <cell r="I1685">
            <v>0</v>
          </cell>
          <cell r="J1685">
            <v>0</v>
          </cell>
        </row>
        <row r="1686">
          <cell r="B1686" t="str">
            <v>4.1.04.15.28</v>
          </cell>
          <cell r="C1686" t="str">
            <v>Pendapatan dari Pengembalian Kelebihan Pembayaran Belanja Subsidi kepada Badan Usaha Milik Swasta</v>
          </cell>
          <cell r="F1686">
            <v>0</v>
          </cell>
          <cell r="G1686">
            <v>0</v>
          </cell>
          <cell r="H1686">
            <v>0</v>
          </cell>
          <cell r="I1686">
            <v>0</v>
          </cell>
          <cell r="J1686">
            <v>0</v>
          </cell>
        </row>
        <row r="1687">
          <cell r="B1687" t="str">
            <v>4.1.04.15.29</v>
          </cell>
          <cell r="C1687" t="str">
            <v>Pendapatan dari Pengembalian Kelebihan Pembayaran Belanja Subsidi kepada Koperasi</v>
          </cell>
          <cell r="F1687">
            <v>0</v>
          </cell>
          <cell r="G1687">
            <v>0</v>
          </cell>
          <cell r="H1687">
            <v>0</v>
          </cell>
          <cell r="I1687">
            <v>0</v>
          </cell>
          <cell r="J1687">
            <v>0</v>
          </cell>
        </row>
        <row r="1688">
          <cell r="B1688" t="str">
            <v>4.1.04.15.30</v>
          </cell>
          <cell r="C1688" t="str">
            <v>Pendapatan dari Pengembalian Kelebihan Pembayaran Belanja Hibah kepada Pemerintah Pusat</v>
          </cell>
          <cell r="F1688">
            <v>0</v>
          </cell>
          <cell r="G1688">
            <v>0</v>
          </cell>
          <cell r="H1688">
            <v>0</v>
          </cell>
          <cell r="I1688">
            <v>0</v>
          </cell>
          <cell r="J1688">
            <v>0</v>
          </cell>
        </row>
        <row r="1689">
          <cell r="B1689" t="str">
            <v>4.1.04.15.31</v>
          </cell>
          <cell r="C1689" t="str">
            <v>Pendapatan dari Pengembalian Kelebihan Pembayaran Belanja Hibah kepada Pemerintah Daerah Lainnya</v>
          </cell>
          <cell r="F1689">
            <v>0</v>
          </cell>
          <cell r="G1689">
            <v>0</v>
          </cell>
          <cell r="H1689">
            <v>0</v>
          </cell>
          <cell r="I1689">
            <v>0</v>
          </cell>
          <cell r="J1689">
            <v>0</v>
          </cell>
        </row>
        <row r="1690">
          <cell r="B1690" t="str">
            <v>4.1.04.15.32</v>
          </cell>
          <cell r="C1690" t="str">
            <v>Pendapatan dari Pengembalian Kelebihan Pembayaran Belanja Hibah kepada BUMN</v>
          </cell>
          <cell r="F1690">
            <v>0</v>
          </cell>
          <cell r="G1690">
            <v>0</v>
          </cell>
          <cell r="H1690">
            <v>0</v>
          </cell>
          <cell r="I1690">
            <v>0</v>
          </cell>
          <cell r="J1690">
            <v>0</v>
          </cell>
        </row>
        <row r="1691">
          <cell r="B1691" t="str">
            <v>4.1.04.15.33</v>
          </cell>
          <cell r="C1691" t="str">
            <v>Pendapatan dari Pengembalian Kelebihan Pembayaran Belanja Hibah kepada BUMD</v>
          </cell>
          <cell r="F1691">
            <v>0</v>
          </cell>
          <cell r="G1691">
            <v>0</v>
          </cell>
          <cell r="H1691">
            <v>0</v>
          </cell>
          <cell r="I1691">
            <v>0</v>
          </cell>
          <cell r="J1691">
            <v>0</v>
          </cell>
        </row>
        <row r="1692">
          <cell r="B1692" t="str">
            <v>4.1.04.15.34</v>
          </cell>
          <cell r="C1692" t="str">
            <v>Pendapatan dari Pengembalian Kelebihan Pembayaran Belanja Hibah kepada Badan, Lembaga, Organisasi Kemasyarakatan yang Berbadan Hukum Indonesia</v>
          </cell>
          <cell r="F1692">
            <v>0</v>
          </cell>
          <cell r="G1692">
            <v>0</v>
          </cell>
          <cell r="H1692">
            <v>0</v>
          </cell>
          <cell r="I1692">
            <v>0</v>
          </cell>
          <cell r="J1692">
            <v>0</v>
          </cell>
        </row>
        <row r="1693">
          <cell r="B1693" t="str">
            <v>4.1.04.15.35</v>
          </cell>
          <cell r="C1693" t="str">
            <v>Pendapatan dari Pengembalian Kelebihan Pembayaran Belanja Hibah Dana BOS</v>
          </cell>
          <cell r="F1693">
            <v>0</v>
          </cell>
          <cell r="G1693">
            <v>0</v>
          </cell>
          <cell r="H1693">
            <v>0</v>
          </cell>
          <cell r="I1693">
            <v>0</v>
          </cell>
          <cell r="J1693">
            <v>0</v>
          </cell>
        </row>
        <row r="1694">
          <cell r="B1694" t="str">
            <v>4.1.04.15.36</v>
          </cell>
          <cell r="C1694" t="str">
            <v>Pendapatan dari Pengembalian Kelebihan Pembayaran Belanja Hibah Bantuan Keuangan kepada Partai Politik</v>
          </cell>
          <cell r="F1694">
            <v>0</v>
          </cell>
          <cell r="G1694">
            <v>0</v>
          </cell>
          <cell r="H1694">
            <v>0</v>
          </cell>
          <cell r="I1694">
            <v>0</v>
          </cell>
          <cell r="J1694">
            <v>0</v>
          </cell>
        </row>
        <row r="1695">
          <cell r="B1695" t="str">
            <v>4.1.04.15.37</v>
          </cell>
          <cell r="C1695" t="str">
            <v>Pendapatan dari Pengembalian Kelebihan Pembayaran Belanja Bantuan Sosial kepada Individu</v>
          </cell>
          <cell r="F1695">
            <v>0</v>
          </cell>
          <cell r="G1695">
            <v>0</v>
          </cell>
          <cell r="H1695">
            <v>0</v>
          </cell>
          <cell r="I1695">
            <v>0</v>
          </cell>
          <cell r="J1695">
            <v>0</v>
          </cell>
        </row>
        <row r="1696">
          <cell r="B1696" t="str">
            <v>4.1.04.15.38</v>
          </cell>
          <cell r="C1696" t="str">
            <v>Pendapatan dari Pengembalian Kelebihan Pembayaran Belanja Bantuan Sosial kepada Keluarga</v>
          </cell>
          <cell r="F1696">
            <v>0</v>
          </cell>
          <cell r="G1696">
            <v>0</v>
          </cell>
          <cell r="H1696">
            <v>0</v>
          </cell>
          <cell r="I1696">
            <v>0</v>
          </cell>
          <cell r="J1696">
            <v>0</v>
          </cell>
        </row>
        <row r="1697">
          <cell r="B1697" t="str">
            <v>4.1.04.15.39</v>
          </cell>
          <cell r="C1697" t="str">
            <v>Pendapatan dari Pengembalian Kelebihan Pembayaran Belanja Bantuan Sosial kepada Kelompok Masyarakat</v>
          </cell>
          <cell r="F1697">
            <v>0</v>
          </cell>
          <cell r="G1697">
            <v>0</v>
          </cell>
          <cell r="H1697">
            <v>0</v>
          </cell>
          <cell r="I1697">
            <v>0</v>
          </cell>
          <cell r="J1697">
            <v>0</v>
          </cell>
        </row>
        <row r="1698">
          <cell r="B1698" t="str">
            <v>4.1.04.15.40</v>
          </cell>
          <cell r="C1698" t="str">
            <v>Pendapatan dari Pengembalian Kelebihan Pembayaran Belanja Bantuan Sosial-Bantuan Sosial kepada Lembaga Non Pemerintahan (Bidang Pendidikan, Keagamaan dan Bidang Lainnya)</v>
          </cell>
          <cell r="F1698">
            <v>0</v>
          </cell>
          <cell r="G1698">
            <v>0</v>
          </cell>
          <cell r="H1698">
            <v>0</v>
          </cell>
          <cell r="I1698">
            <v>0</v>
          </cell>
          <cell r="J1698">
            <v>0</v>
          </cell>
        </row>
        <row r="1699">
          <cell r="B1699" t="str">
            <v>4.1.04.15.41</v>
          </cell>
          <cell r="C1699" t="str">
            <v>Pendapatan dari Pengembalian Kelebihan Pembayaran Belanja Modal Tanah</v>
          </cell>
          <cell r="F1699">
            <v>0</v>
          </cell>
          <cell r="G1699">
            <v>0</v>
          </cell>
          <cell r="H1699">
            <v>0</v>
          </cell>
          <cell r="I1699">
            <v>0</v>
          </cell>
          <cell r="J1699">
            <v>0</v>
          </cell>
        </row>
        <row r="1700">
          <cell r="B1700" t="str">
            <v>4.1.04.15.42</v>
          </cell>
          <cell r="C1700" t="str">
            <v>Pendapatan dari Pengembalian Kelebihan Pembayaran Belanja Modal Peralatan dan Mesin-Alat Besar</v>
          </cell>
          <cell r="F1700">
            <v>0</v>
          </cell>
          <cell r="G1700">
            <v>0</v>
          </cell>
          <cell r="H1700">
            <v>0</v>
          </cell>
          <cell r="I1700">
            <v>0</v>
          </cell>
          <cell r="J1700">
            <v>0</v>
          </cell>
        </row>
        <row r="1701">
          <cell r="B1701" t="str">
            <v>4.1.04.15.43</v>
          </cell>
          <cell r="C1701" t="str">
            <v>Pendapatan dari Pengembalian Kelebihan Pembayaran Belanja Modal Peralatan dan Mesin-Alat Angkutan</v>
          </cell>
          <cell r="F1701">
            <v>0</v>
          </cell>
          <cell r="G1701">
            <v>0</v>
          </cell>
          <cell r="H1701">
            <v>0</v>
          </cell>
          <cell r="I1701">
            <v>0</v>
          </cell>
          <cell r="J1701">
            <v>0</v>
          </cell>
        </row>
        <row r="1702">
          <cell r="B1702" t="str">
            <v>4.1.04.15.44</v>
          </cell>
          <cell r="C1702" t="str">
            <v>Pendapatan dari Pengembalian Kelebihan Pembayaran Belanja Modal Peralatan dan Mesin-Alat Bengkel dan Alat Ukur</v>
          </cell>
          <cell r="F1702">
            <v>0</v>
          </cell>
          <cell r="G1702">
            <v>0</v>
          </cell>
          <cell r="H1702">
            <v>0</v>
          </cell>
          <cell r="I1702">
            <v>0</v>
          </cell>
          <cell r="J1702">
            <v>0</v>
          </cell>
        </row>
        <row r="1703">
          <cell r="B1703" t="str">
            <v>4.1.04.15.45</v>
          </cell>
          <cell r="C1703" t="str">
            <v>Pendapatan dari Pengembalian Kelebihan Pembayaran Belanja Modal Peralatan dan Mesin-Alat Pertanian</v>
          </cell>
          <cell r="F1703">
            <v>0</v>
          </cell>
          <cell r="G1703">
            <v>0</v>
          </cell>
          <cell r="H1703">
            <v>0</v>
          </cell>
          <cell r="I1703">
            <v>0</v>
          </cell>
          <cell r="J1703">
            <v>0</v>
          </cell>
        </row>
        <row r="1704">
          <cell r="B1704" t="str">
            <v>4.1.04.15.46</v>
          </cell>
          <cell r="C1704" t="str">
            <v>Pendapatan dari Pengembalian Kelebihan Pembayaran Belanja Modal Peralatan dan Mesin-Alat Kantor dan Rumah Tangga</v>
          </cell>
          <cell r="F1704">
            <v>0</v>
          </cell>
          <cell r="G1704">
            <v>0</v>
          </cell>
          <cell r="H1704">
            <v>0</v>
          </cell>
          <cell r="I1704">
            <v>0</v>
          </cell>
          <cell r="J1704">
            <v>0</v>
          </cell>
        </row>
        <row r="1705">
          <cell r="B1705" t="str">
            <v>4.1.04.15.47</v>
          </cell>
          <cell r="C1705" t="str">
            <v>Pendapatan dari Pengembalian Kelebihan Pembayaran Belanja Modal Peralatan dan Mesin-Alat Studio, Komunikasi, dan Pemancar</v>
          </cell>
          <cell r="F1705">
            <v>0</v>
          </cell>
          <cell r="G1705">
            <v>0</v>
          </cell>
          <cell r="H1705">
            <v>0</v>
          </cell>
          <cell r="I1705">
            <v>0</v>
          </cell>
          <cell r="J1705">
            <v>0</v>
          </cell>
        </row>
        <row r="1706">
          <cell r="B1706" t="str">
            <v>4.1.04.15.48</v>
          </cell>
          <cell r="C1706" t="str">
            <v>Pendapatan dari Pengembalian Kelebihan Pembayaran Belanja Modal Peralatan dan Mesin-Alat Kedokteran dan Kesehatan</v>
          </cell>
          <cell r="F1706">
            <v>0</v>
          </cell>
          <cell r="G1706">
            <v>0</v>
          </cell>
          <cell r="H1706">
            <v>0</v>
          </cell>
          <cell r="I1706">
            <v>0</v>
          </cell>
          <cell r="J1706">
            <v>0</v>
          </cell>
        </row>
        <row r="1707">
          <cell r="B1707" t="str">
            <v>4.1.04.15.49</v>
          </cell>
          <cell r="C1707" t="str">
            <v>Pendapatan dari Pengembalian Kelebihan Pembayaran Belanja Modal Peralatan dan Mesin-Alat Laboratorium</v>
          </cell>
          <cell r="F1707">
            <v>0</v>
          </cell>
          <cell r="G1707">
            <v>0</v>
          </cell>
          <cell r="H1707">
            <v>0</v>
          </cell>
          <cell r="I1707">
            <v>0</v>
          </cell>
          <cell r="J1707">
            <v>0</v>
          </cell>
        </row>
        <row r="1708">
          <cell r="B1708" t="str">
            <v>4.1.04.15.51</v>
          </cell>
          <cell r="C1708" t="str">
            <v>Pendapatan dari Pengembalian Kelebihan Pembayaran Belanja Modal Peralatan dan Mesin-Komputer</v>
          </cell>
          <cell r="F1708">
            <v>0</v>
          </cell>
          <cell r="G1708">
            <v>0</v>
          </cell>
          <cell r="H1708">
            <v>0</v>
          </cell>
          <cell r="I1708">
            <v>0</v>
          </cell>
          <cell r="J1708">
            <v>0</v>
          </cell>
        </row>
        <row r="1709">
          <cell r="B1709" t="str">
            <v>4.1.04.15.52</v>
          </cell>
          <cell r="C1709" t="str">
            <v>Pendapatan dari Pengembalian Kelebihan Pembayaran Belanja Modal Peralatan dan Mesin-Alat Eksplorasi</v>
          </cell>
          <cell r="F1709">
            <v>0</v>
          </cell>
          <cell r="G1709">
            <v>0</v>
          </cell>
          <cell r="H1709">
            <v>0</v>
          </cell>
          <cell r="I1709">
            <v>0</v>
          </cell>
          <cell r="J1709">
            <v>0</v>
          </cell>
        </row>
        <row r="1710">
          <cell r="B1710" t="str">
            <v>4.1.04.15.53</v>
          </cell>
          <cell r="C1710" t="str">
            <v>Pendapatan dari Pengembalian Kelebihan Pembayaran Belanja Modal Peralatan dan Mesin-Alat Pengeboran</v>
          </cell>
          <cell r="F1710">
            <v>0</v>
          </cell>
          <cell r="G1710">
            <v>0</v>
          </cell>
          <cell r="H1710">
            <v>0</v>
          </cell>
          <cell r="I1710">
            <v>0</v>
          </cell>
          <cell r="J1710">
            <v>0</v>
          </cell>
        </row>
        <row r="1711">
          <cell r="B1711" t="str">
            <v>4.1.04.15.54</v>
          </cell>
          <cell r="C1711" t="str">
            <v>Pendapatan dari Pengembalian Kelebihan Pembayaran Belanja Modal Peralatan dan Mesin-Alat Produksi, Pengolahan, dan Pemurnian</v>
          </cell>
          <cell r="F1711">
            <v>0</v>
          </cell>
          <cell r="G1711">
            <v>0</v>
          </cell>
          <cell r="H1711">
            <v>0</v>
          </cell>
          <cell r="I1711">
            <v>0</v>
          </cell>
          <cell r="J1711">
            <v>0</v>
          </cell>
        </row>
        <row r="1712">
          <cell r="B1712" t="str">
            <v>4.1.04.15.55</v>
          </cell>
          <cell r="C1712" t="str">
            <v>Pendapatan dari Pengembalian Kelebihan Pembayaran Belanja Modal Peralatan dan Mesin-Alat Bantu Eksplorasi</v>
          </cell>
          <cell r="F1712">
            <v>0</v>
          </cell>
          <cell r="G1712">
            <v>0</v>
          </cell>
          <cell r="H1712">
            <v>0</v>
          </cell>
          <cell r="I1712">
            <v>0</v>
          </cell>
          <cell r="J1712">
            <v>0</v>
          </cell>
        </row>
        <row r="1713">
          <cell r="B1713" t="str">
            <v>4.1.04.15.56</v>
          </cell>
          <cell r="C1713" t="str">
            <v>Pendapatan dari Pengembalian Kelebihan Pembayaran Belanja Modal Peralatan dan Mesin-Alat Keselamatan Kerja</v>
          </cell>
          <cell r="F1713">
            <v>0</v>
          </cell>
          <cell r="G1713">
            <v>0</v>
          </cell>
          <cell r="H1713">
            <v>0</v>
          </cell>
          <cell r="I1713">
            <v>0</v>
          </cell>
          <cell r="J1713">
            <v>0</v>
          </cell>
        </row>
        <row r="1714">
          <cell r="B1714" t="str">
            <v>4.1.04.15.57</v>
          </cell>
          <cell r="C1714" t="str">
            <v>Pendapatan dari Pengembalian Kelebihan Pembayaran Belanja Modal Peralatan dan Mesin-Alat Peraga</v>
          </cell>
          <cell r="F1714">
            <v>0</v>
          </cell>
          <cell r="G1714">
            <v>0</v>
          </cell>
          <cell r="H1714">
            <v>0</v>
          </cell>
          <cell r="I1714">
            <v>0</v>
          </cell>
          <cell r="J1714">
            <v>0</v>
          </cell>
        </row>
        <row r="1715">
          <cell r="B1715" t="str">
            <v>4.1.04.15.58</v>
          </cell>
          <cell r="C1715" t="str">
            <v>Pendapatan dari Pengembalian Kelebihan Pembayaran Belanja Modal Peralatan dan Mesin-Peralatan Proses/Produksi</v>
          </cell>
          <cell r="F1715">
            <v>0</v>
          </cell>
          <cell r="G1715">
            <v>0</v>
          </cell>
          <cell r="H1715">
            <v>0</v>
          </cell>
          <cell r="I1715">
            <v>0</v>
          </cell>
          <cell r="J1715">
            <v>0</v>
          </cell>
        </row>
        <row r="1716">
          <cell r="B1716" t="str">
            <v>4.1.04.15.59</v>
          </cell>
          <cell r="C1716" t="str">
            <v>Pendapatan dari Pengembalian Kelebihan Pembayaran Belanja Modal Peralatan dan Mesin-Rambu-Rambu</v>
          </cell>
          <cell r="F1716">
            <v>0</v>
          </cell>
          <cell r="G1716">
            <v>0</v>
          </cell>
          <cell r="H1716">
            <v>0</v>
          </cell>
          <cell r="I1716">
            <v>0</v>
          </cell>
          <cell r="J1716">
            <v>0</v>
          </cell>
        </row>
        <row r="1717">
          <cell r="B1717" t="str">
            <v>4.1.04.15.60</v>
          </cell>
          <cell r="C1717" t="str">
            <v>Pendapatan dari Pengembalian Kelebihan Pembayaran Belanja Modal Peralatan dan Mesin-Peralatan Olahraga</v>
          </cell>
          <cell r="F1717">
            <v>0</v>
          </cell>
          <cell r="G1717">
            <v>0</v>
          </cell>
          <cell r="H1717">
            <v>0</v>
          </cell>
          <cell r="I1717">
            <v>0</v>
          </cell>
          <cell r="J1717">
            <v>0</v>
          </cell>
        </row>
        <row r="1718">
          <cell r="B1718" t="str">
            <v>4.1.04.15.61</v>
          </cell>
          <cell r="C1718" t="str">
            <v>Pendapatan dari Pengembalian Kelebihan Pembayaran Belanja Modal Gedung dan Bangunan-Bangunan Gedung</v>
          </cell>
          <cell r="F1718">
            <v>0</v>
          </cell>
          <cell r="G1718">
            <v>0</v>
          </cell>
          <cell r="H1718">
            <v>0</v>
          </cell>
          <cell r="I1718">
            <v>0</v>
          </cell>
          <cell r="J1718">
            <v>0</v>
          </cell>
        </row>
        <row r="1719">
          <cell r="B1719" t="str">
            <v>4.1.04.15.62</v>
          </cell>
          <cell r="C1719" t="str">
            <v>Pendapatan dari Pengembalian Kelebihan Pembayaran Belanja Modal Gedung dan Bangunan-Monumen</v>
          </cell>
          <cell r="F1719">
            <v>0</v>
          </cell>
          <cell r="G1719">
            <v>0</v>
          </cell>
          <cell r="H1719">
            <v>0</v>
          </cell>
          <cell r="I1719">
            <v>0</v>
          </cell>
          <cell r="J1719">
            <v>0</v>
          </cell>
        </row>
        <row r="1720">
          <cell r="B1720" t="str">
            <v>4.1.04.15.63</v>
          </cell>
          <cell r="C1720" t="str">
            <v>Pendapatan dari Pengembalian Kelebihan Pembayaran Belanja Modal Gedung dan Bangunan-Bangunan Menara</v>
          </cell>
          <cell r="F1720">
            <v>0</v>
          </cell>
          <cell r="G1720">
            <v>0</v>
          </cell>
          <cell r="H1720">
            <v>0</v>
          </cell>
          <cell r="I1720">
            <v>0</v>
          </cell>
          <cell r="J1720">
            <v>0</v>
          </cell>
        </row>
        <row r="1721">
          <cell r="B1721" t="str">
            <v>4.1.04.15.64</v>
          </cell>
          <cell r="C1721" t="str">
            <v>Pendapatan dari Pengembalian Kelebihan Pembayaran Belanja Modal Gedung dan Bangunan-Tugu Titik Kontrol/Pasti</v>
          </cell>
          <cell r="F1721">
            <v>0</v>
          </cell>
          <cell r="G1721">
            <v>0</v>
          </cell>
          <cell r="H1721">
            <v>0</v>
          </cell>
          <cell r="I1721">
            <v>0</v>
          </cell>
          <cell r="J1721">
            <v>0</v>
          </cell>
        </row>
        <row r="1722">
          <cell r="B1722" t="str">
            <v>4.1.04.15.65</v>
          </cell>
          <cell r="C1722" t="str">
            <v>Pendapatan dari Pengembalian Kelebihan Pembayaran Belanja Modal Jalan, Jaringan, dan Irigasi-Jalan dan Jembatan</v>
          </cell>
          <cell r="F1722">
            <v>0</v>
          </cell>
          <cell r="G1722">
            <v>0</v>
          </cell>
          <cell r="H1722">
            <v>0</v>
          </cell>
          <cell r="I1722">
            <v>0</v>
          </cell>
          <cell r="J1722">
            <v>0</v>
          </cell>
        </row>
        <row r="1723">
          <cell r="B1723" t="str">
            <v>4.1.04.15.66</v>
          </cell>
          <cell r="C1723" t="str">
            <v>Pendapatan dari Pengembalian Kelebihan Pembayaran Belanja Modal Jalan, Jaringan, dan Irigasi-Bangunan Air</v>
          </cell>
          <cell r="F1723">
            <v>0</v>
          </cell>
          <cell r="G1723">
            <v>0</v>
          </cell>
          <cell r="H1723">
            <v>0</v>
          </cell>
          <cell r="I1723">
            <v>0</v>
          </cell>
          <cell r="J1723">
            <v>0</v>
          </cell>
        </row>
        <row r="1724">
          <cell r="B1724" t="str">
            <v>4.1.04.15.67</v>
          </cell>
          <cell r="C1724" t="str">
            <v>Pendapatan dari Pengembalian Kelebihan Pembayaran Belanja Jalan, Jaringan, dan Instalasi-Instalasi</v>
          </cell>
          <cell r="F1724">
            <v>0</v>
          </cell>
          <cell r="G1724">
            <v>0</v>
          </cell>
          <cell r="H1724">
            <v>0</v>
          </cell>
          <cell r="I1724">
            <v>0</v>
          </cell>
          <cell r="J1724">
            <v>0</v>
          </cell>
        </row>
        <row r="1725">
          <cell r="B1725" t="str">
            <v>4.1.04.15.68</v>
          </cell>
          <cell r="C1725" t="str">
            <v>Pendapatan dari Pengembalian Kelebihan Pembayaran Belanja Modal Jalan, Jaringan, dan Irigasi-Jaringan</v>
          </cell>
          <cell r="F1725">
            <v>0</v>
          </cell>
          <cell r="G1725">
            <v>0</v>
          </cell>
          <cell r="H1725">
            <v>0</v>
          </cell>
          <cell r="I1725">
            <v>0</v>
          </cell>
          <cell r="J1725">
            <v>0</v>
          </cell>
        </row>
        <row r="1726">
          <cell r="B1726" t="str">
            <v>4.1.04.15.69</v>
          </cell>
          <cell r="C1726" t="str">
            <v>Pendapatan dari Pengembalian Kelebihan Pembayaran Belanja Modal Aset Tetap Lainnya-Bahan Perpustakaan</v>
          </cell>
          <cell r="F1726">
            <v>0</v>
          </cell>
          <cell r="G1726">
            <v>0</v>
          </cell>
          <cell r="H1726">
            <v>0</v>
          </cell>
          <cell r="I1726">
            <v>0</v>
          </cell>
          <cell r="J1726">
            <v>0</v>
          </cell>
        </row>
        <row r="1727">
          <cell r="B1727" t="str">
            <v>4.1.04.15.70</v>
          </cell>
          <cell r="C1727" t="str">
            <v>Pendapatan dari Pengembalian Kelebihan Pembayaran Belanja Modal Aset Tetap Lainnya-Barang Bercorak Kesenian/Kebudayaan/Olahraga</v>
          </cell>
          <cell r="F1727">
            <v>0</v>
          </cell>
          <cell r="G1727">
            <v>0</v>
          </cell>
          <cell r="H1727">
            <v>0</v>
          </cell>
          <cell r="I1727">
            <v>0</v>
          </cell>
          <cell r="J1727">
            <v>0</v>
          </cell>
        </row>
        <row r="1728">
          <cell r="B1728" t="str">
            <v>4.1.04.15.71</v>
          </cell>
          <cell r="C1728" t="str">
            <v>Pendapatan dari Pengembalian Kelebihan Pembayaran Belanja Modal Aset Tetap Lainnya-Hewan</v>
          </cell>
          <cell r="F1728">
            <v>0</v>
          </cell>
          <cell r="G1728">
            <v>0</v>
          </cell>
          <cell r="H1728">
            <v>0</v>
          </cell>
          <cell r="I1728">
            <v>0</v>
          </cell>
          <cell r="J1728">
            <v>0</v>
          </cell>
        </row>
        <row r="1729">
          <cell r="B1729" t="str">
            <v>4.1.04.15.72</v>
          </cell>
          <cell r="C1729" t="str">
            <v>Pendapatan dari Pengembalian Kelebihan Pembayaran Belanja Modal Aset Tetap Lainnya-Biota Perairan</v>
          </cell>
          <cell r="F1729">
            <v>0</v>
          </cell>
          <cell r="G1729">
            <v>0</v>
          </cell>
          <cell r="H1729">
            <v>0</v>
          </cell>
          <cell r="I1729">
            <v>0</v>
          </cell>
          <cell r="J1729">
            <v>0</v>
          </cell>
        </row>
        <row r="1730">
          <cell r="B1730" t="str">
            <v>4.1.04.15.73</v>
          </cell>
          <cell r="C1730" t="str">
            <v>Pendapatan dari Pengembalian Kelebihan Pembayaran Belanja Modal Aset Tetap Lainnya-Tanaman</v>
          </cell>
          <cell r="F1730">
            <v>0</v>
          </cell>
          <cell r="G1730">
            <v>0</v>
          </cell>
          <cell r="H1730">
            <v>0</v>
          </cell>
          <cell r="I1730">
            <v>0</v>
          </cell>
          <cell r="J1730">
            <v>0</v>
          </cell>
        </row>
        <row r="1731">
          <cell r="B1731" t="str">
            <v>4.1.04.15.74</v>
          </cell>
          <cell r="C1731" t="str">
            <v>Pendapatan dari Pengembalian Kelebihan Pembayaran Belanja Modal Aset Tetap Lainnya-Barang Koleksi Non Budaya</v>
          </cell>
          <cell r="F1731">
            <v>0</v>
          </cell>
          <cell r="G1731">
            <v>0</v>
          </cell>
          <cell r="H1731">
            <v>0</v>
          </cell>
          <cell r="I1731">
            <v>0</v>
          </cell>
          <cell r="J1731">
            <v>0</v>
          </cell>
        </row>
        <row r="1732">
          <cell r="B1732" t="str">
            <v>4.1.04.15.75</v>
          </cell>
          <cell r="C1732" t="str">
            <v>Pendapatan dari Pengembalian Kelebihan Pembayaran Belanja Modal Aset Tetap Lainnya-Aset Tetap dalam Renovasi</v>
          </cell>
          <cell r="F1732">
            <v>0</v>
          </cell>
          <cell r="G1732">
            <v>0</v>
          </cell>
          <cell r="H1732">
            <v>0</v>
          </cell>
          <cell r="I1732">
            <v>0</v>
          </cell>
          <cell r="J1732">
            <v>0</v>
          </cell>
        </row>
        <row r="1733">
          <cell r="B1733" t="str">
            <v>4.1.04.15.76</v>
          </cell>
          <cell r="C1733" t="str">
            <v>Pendapatan dari Pengembalian Kelebihan Pembayaran Belanja Modal Aset Lainnya-Aset Tidak Berwujud</v>
          </cell>
          <cell r="F1733">
            <v>0</v>
          </cell>
          <cell r="G1733">
            <v>0</v>
          </cell>
          <cell r="H1733">
            <v>0</v>
          </cell>
          <cell r="I1733">
            <v>0</v>
          </cell>
          <cell r="J1733">
            <v>0</v>
          </cell>
        </row>
        <row r="1734">
          <cell r="B1734" t="str">
            <v>4.1.04.15.77</v>
          </cell>
          <cell r="C1734" t="str">
            <v>Pendapatan dari Pengembalian Kelebihan Pembayaran Belanja Tidak Terduga</v>
          </cell>
          <cell r="F1734">
            <v>0</v>
          </cell>
          <cell r="G1734">
            <v>0</v>
          </cell>
          <cell r="H1734">
            <v>0</v>
          </cell>
          <cell r="I1734">
            <v>0</v>
          </cell>
          <cell r="J1734">
            <v>0</v>
          </cell>
        </row>
        <row r="1735">
          <cell r="B1735" t="str">
            <v>4.1.04.15.78</v>
          </cell>
          <cell r="C1735" t="str">
            <v>Pendapatan dari Pengembalian Kelebihan Pembayaran Belanja Bagi Hasil Pajak Daerah Kepada Pemerintahan Kabupaten/Kota dan Desa</v>
          </cell>
          <cell r="F1735">
            <v>0</v>
          </cell>
          <cell r="G1735">
            <v>0</v>
          </cell>
          <cell r="H1735">
            <v>0</v>
          </cell>
          <cell r="I1735">
            <v>0</v>
          </cell>
          <cell r="J1735">
            <v>0</v>
          </cell>
        </row>
        <row r="1736">
          <cell r="B1736" t="str">
            <v>4.1.04.15.79</v>
          </cell>
          <cell r="C1736" t="str">
            <v>Pendapatan dari Pengembalian Kelebihan Pembayaran Belanja Bagi Hasil Retribusi Daerah Kabupaten/Kota Kepada Pemerintah Desa</v>
          </cell>
          <cell r="F1736">
            <v>0</v>
          </cell>
          <cell r="G1736">
            <v>0</v>
          </cell>
          <cell r="H1736">
            <v>0</v>
          </cell>
          <cell r="I1736">
            <v>0</v>
          </cell>
          <cell r="J1736">
            <v>0</v>
          </cell>
        </row>
        <row r="1737">
          <cell r="B1737" t="str">
            <v>4.1.04.15.80</v>
          </cell>
          <cell r="C1737" t="str">
            <v>Pendapatan dari Pengembalian Kelebihan Pembayaran Belanja Bantuan Keuangan antar Daerah Provinsi</v>
          </cell>
          <cell r="F1737">
            <v>0</v>
          </cell>
          <cell r="G1737">
            <v>0</v>
          </cell>
          <cell r="H1737">
            <v>0</v>
          </cell>
          <cell r="I1737">
            <v>0</v>
          </cell>
          <cell r="J1737">
            <v>0</v>
          </cell>
        </row>
        <row r="1738">
          <cell r="B1738" t="str">
            <v>4.1.04.15.81</v>
          </cell>
          <cell r="C1738" t="str">
            <v>Pendapatan dari Pengembalian Kelebihan Pembayaran Belanja Bantuan Keuangan antar Daerah Kabupaten/Kota</v>
          </cell>
          <cell r="F1738">
            <v>0</v>
          </cell>
          <cell r="G1738">
            <v>0</v>
          </cell>
          <cell r="H1738">
            <v>0</v>
          </cell>
          <cell r="I1738">
            <v>0</v>
          </cell>
          <cell r="J1738">
            <v>0</v>
          </cell>
        </row>
        <row r="1739">
          <cell r="B1739" t="str">
            <v>4.1.04.15.82</v>
          </cell>
          <cell r="C1739" t="str">
            <v>Pendapatan dari Pengembalian Kelebihan Pembayaran Belanja Bantuan Keuangan Daerah Provinsi ke Kabupaten/Kota</v>
          </cell>
          <cell r="F1739">
            <v>0</v>
          </cell>
          <cell r="G1739">
            <v>0</v>
          </cell>
          <cell r="H1739">
            <v>0</v>
          </cell>
          <cell r="I1739">
            <v>0</v>
          </cell>
          <cell r="J1739">
            <v>0</v>
          </cell>
        </row>
        <row r="1740">
          <cell r="B1740" t="str">
            <v>4.1.04.15.83</v>
          </cell>
          <cell r="C1740" t="str">
            <v>Pendapatan dari Pengembalian Kelebihan Pembayaran Belanja Bantuan Keuangan Kabupaten/Kota ke Daerah Provinsi</v>
          </cell>
          <cell r="F1740">
            <v>0</v>
          </cell>
          <cell r="G1740">
            <v>0</v>
          </cell>
          <cell r="H1740">
            <v>0</v>
          </cell>
          <cell r="I1740">
            <v>0</v>
          </cell>
          <cell r="J1740">
            <v>0</v>
          </cell>
        </row>
        <row r="1741">
          <cell r="B1741" t="str">
            <v>4.1.04.15.84</v>
          </cell>
          <cell r="C1741" t="str">
            <v>Pendapatan dari Pengembalian Kelebihan Pembayaran Belanja Bantuan Keuangan Daerah Provinsi atau Kabupaten/Kota kepada Desa</v>
          </cell>
          <cell r="F1741">
            <v>0</v>
          </cell>
          <cell r="G1741">
            <v>0</v>
          </cell>
          <cell r="H1741">
            <v>0</v>
          </cell>
          <cell r="I1741">
            <v>0</v>
          </cell>
          <cell r="J1741">
            <v>0</v>
          </cell>
        </row>
        <row r="1742">
          <cell r="B1742" t="str">
            <v>4.1.04.15.85</v>
          </cell>
          <cell r="C1742" t="str">
            <v>Pendapatan dari Pengembalian Kelebihan Pembayaran Belanja Transfer Dana Otonomi Khusus Provinsi kepada Kabupaten/Kota</v>
          </cell>
          <cell r="F1742">
            <v>0</v>
          </cell>
          <cell r="G1742">
            <v>0</v>
          </cell>
          <cell r="H1742">
            <v>0</v>
          </cell>
          <cell r="I1742">
            <v>0</v>
          </cell>
          <cell r="J1742">
            <v>0</v>
          </cell>
        </row>
        <row r="1743">
          <cell r="B1743" t="str">
            <v>4.1.04.15.86</v>
          </cell>
          <cell r="C1743" t="str">
            <v>Pendapatan dari Pengembalian Kelebihan Pembayaran Belanja Gaji dan Tunjangan Perangkat Lembaga Wali Nanggroe</v>
          </cell>
          <cell r="F1743">
            <v>0</v>
          </cell>
          <cell r="G1743">
            <v>0</v>
          </cell>
          <cell r="H1743">
            <v>0</v>
          </cell>
          <cell r="I1743">
            <v>0</v>
          </cell>
          <cell r="J1743">
            <v>0</v>
          </cell>
        </row>
        <row r="1744">
          <cell r="B1744" t="str">
            <v>4.1.04.15.87</v>
          </cell>
          <cell r="C1744" t="str">
            <v>Pendapatan dari Pengembalian Kelebihan Pembayaran Belanja Hibah Dana BOSP</v>
          </cell>
          <cell r="F1744">
            <v>0</v>
          </cell>
          <cell r="G1744">
            <v>0</v>
          </cell>
          <cell r="H1744">
            <v>0</v>
          </cell>
          <cell r="I1744">
            <v>0</v>
          </cell>
          <cell r="J1744">
            <v>0</v>
          </cell>
        </row>
        <row r="1745">
          <cell r="B1745" t="str">
            <v>4.1.04.15.88</v>
          </cell>
          <cell r="C1745" t="str">
            <v>Pendapatan dari Pengembalian Kelebihan Pembayaran Belanja Pegawai BOS, Belanja Barang dan Jasa BOS, Belanja Modal Peralatan dan Mesin BOS, serta Belanja Modal Aset Tetap Lainnya BOS</v>
          </cell>
          <cell r="F1745">
            <v>0</v>
          </cell>
          <cell r="G1745">
            <v>0</v>
          </cell>
          <cell r="H1745">
            <v>0</v>
          </cell>
          <cell r="I1745">
            <v>0</v>
          </cell>
          <cell r="J1745">
            <v>0</v>
          </cell>
        </row>
        <row r="1746">
          <cell r="B1746" t="str">
            <v>4.1.04.15.89</v>
          </cell>
          <cell r="C1746" t="str">
            <v>Pendapatan dari Pengembalian Kelebihan Pembayaran Belanja Pegawai BOSP, Belanja Barang dan Jasa BOSP, Belanja Modal Peralatan dan Mesin BOSP, dan Belanja Modal Aset Tetap Lainnya BOSP</v>
          </cell>
          <cell r="F1746">
            <v>0</v>
          </cell>
          <cell r="G1746">
            <v>55875400</v>
          </cell>
          <cell r="H1746">
            <v>0</v>
          </cell>
          <cell r="I1746">
            <v>0</v>
          </cell>
          <cell r="J1746">
            <v>55875400</v>
          </cell>
        </row>
        <row r="1747">
          <cell r="B1747" t="str">
            <v>4.1.04.15.90</v>
          </cell>
          <cell r="C1747" t="str">
            <v>Pendapatan dari Pengembalian Kelebihan Pembayaran Belanja Barang dan Jasa BOK Puskesmas</v>
          </cell>
          <cell r="F1747">
            <v>0</v>
          </cell>
          <cell r="G1747">
            <v>0</v>
          </cell>
          <cell r="H1747">
            <v>0</v>
          </cell>
          <cell r="I1747">
            <v>0</v>
          </cell>
          <cell r="J1747">
            <v>0</v>
          </cell>
        </row>
        <row r="1748">
          <cell r="B1748" t="str">
            <v>4.1.04.15.91</v>
          </cell>
          <cell r="C1748" t="str">
            <v>Pendapatan dari Pengembalian Kelebihan Pembayaran Belanja Hibah kepada BUMDesa</v>
          </cell>
          <cell r="F1748">
            <v>0</v>
          </cell>
          <cell r="G1748">
            <v>0</v>
          </cell>
          <cell r="H1748">
            <v>0</v>
          </cell>
          <cell r="I1748">
            <v>0</v>
          </cell>
          <cell r="J1748">
            <v>0</v>
          </cell>
        </row>
        <row r="1749">
          <cell r="B1749" t="str">
            <v>4.1.04.15.92</v>
          </cell>
          <cell r="C1749" t="str">
            <v>Pendapatan dari Pengembalian Kelebihan Pembayaran Belanja Hibah kepada Koperasi</v>
          </cell>
          <cell r="F1749">
            <v>0</v>
          </cell>
          <cell r="G1749">
            <v>0</v>
          </cell>
          <cell r="H1749">
            <v>0</v>
          </cell>
          <cell r="I1749">
            <v>0</v>
          </cell>
          <cell r="J1749">
            <v>0</v>
          </cell>
        </row>
        <row r="1750">
          <cell r="B1750" t="str">
            <v>4.1.04.15.93</v>
          </cell>
          <cell r="C1750" t="str">
            <v>Pendapatan dari Pengembalian Kelebihan Pembayaran Belanja Imbalan-Imbalan Sukuk Daerah</v>
          </cell>
          <cell r="F1750">
            <v>0</v>
          </cell>
          <cell r="G1750">
            <v>0</v>
          </cell>
          <cell r="H1750">
            <v>0</v>
          </cell>
          <cell r="I1750">
            <v>0</v>
          </cell>
          <cell r="J1750">
            <v>0</v>
          </cell>
        </row>
        <row r="1751">
          <cell r="B1751" t="str">
            <v>4.1.04.15.94</v>
          </cell>
          <cell r="C1751" t="str">
            <v>Pendapatan dari Pengembalian Kelebihan Pembayaran Belanja Bunga Pembiayaan Utang Daerah-Pinjaman Daerah</v>
          </cell>
          <cell r="F1751">
            <v>0</v>
          </cell>
          <cell r="G1751">
            <v>0</v>
          </cell>
          <cell r="H1751">
            <v>0</v>
          </cell>
          <cell r="I1751">
            <v>0</v>
          </cell>
          <cell r="J1751">
            <v>0</v>
          </cell>
        </row>
        <row r="1752">
          <cell r="B1752" t="str">
            <v>4.1.04.15.95</v>
          </cell>
          <cell r="C1752" t="str">
            <v>Pendapatan dari Pengembalian Kelebihan Pembayaran Belanja Bunga Pembiayaan Utang Daerah-Obligasi Daerah</v>
          </cell>
          <cell r="F1752">
            <v>0</v>
          </cell>
          <cell r="G1752">
            <v>0</v>
          </cell>
          <cell r="H1752">
            <v>0</v>
          </cell>
          <cell r="I1752">
            <v>0</v>
          </cell>
          <cell r="J1752">
            <v>0</v>
          </cell>
        </row>
        <row r="1753">
          <cell r="B1753" t="str">
            <v>4.1.04.15.99</v>
          </cell>
          <cell r="C1753"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F1753">
            <v>0</v>
          </cell>
          <cell r="G1753">
            <v>0</v>
          </cell>
          <cell r="H1753">
            <v>0</v>
          </cell>
          <cell r="I1753">
            <v>0</v>
          </cell>
          <cell r="J1753">
            <v>0</v>
          </cell>
        </row>
        <row r="1754">
          <cell r="B1754" t="str">
            <v>4.1.04.16</v>
          </cell>
          <cell r="C1754" t="str">
            <v>Pendapatan BLUD</v>
          </cell>
          <cell r="D1754">
            <v>92242904575.569992</v>
          </cell>
          <cell r="E1754">
            <v>0</v>
          </cell>
          <cell r="J1754">
            <v>0</v>
          </cell>
        </row>
        <row r="1755">
          <cell r="B1755" t="str">
            <v>4.1.04.16.01</v>
          </cell>
          <cell r="C1755" t="str">
            <v>Pendapatan BLUD</v>
          </cell>
          <cell r="F1755">
            <v>0</v>
          </cell>
          <cell r="G1755">
            <v>0</v>
          </cell>
          <cell r="H1755">
            <v>0</v>
          </cell>
          <cell r="I1755">
            <v>0</v>
          </cell>
          <cell r="J1755">
            <v>0</v>
          </cell>
        </row>
        <row r="1756">
          <cell r="B1756" t="str">
            <v>4.1.04.16.02</v>
          </cell>
          <cell r="C1756" t="str">
            <v>Pendapatan BLUD dari Jasa Layanan</v>
          </cell>
          <cell r="D1756">
            <v>91903373407.009995</v>
          </cell>
          <cell r="F1756">
            <v>0</v>
          </cell>
          <cell r="G1756">
            <v>0</v>
          </cell>
          <cell r="H1756">
            <v>0</v>
          </cell>
          <cell r="I1756">
            <v>0</v>
          </cell>
          <cell r="J1756">
            <v>0</v>
          </cell>
        </row>
        <row r="1757">
          <cell r="B1757" t="str">
            <v>4.1.04.16.03</v>
          </cell>
          <cell r="C1757" t="str">
            <v>Pendapatan BLUD dari Hibah</v>
          </cell>
          <cell r="D1757">
            <v>130000</v>
          </cell>
          <cell r="F1757">
            <v>0</v>
          </cell>
          <cell r="G1757">
            <v>0</v>
          </cell>
          <cell r="H1757">
            <v>0</v>
          </cell>
          <cell r="I1757">
            <v>0</v>
          </cell>
          <cell r="J1757">
            <v>0</v>
          </cell>
        </row>
        <row r="1758">
          <cell r="B1758" t="str">
            <v>4.1.04.16.04</v>
          </cell>
          <cell r="C1758" t="str">
            <v>Pendapatan BLUD dari Hasil Kerja Sama dengan Pihak Lain</v>
          </cell>
          <cell r="D1758">
            <v>51768000</v>
          </cell>
          <cell r="F1758">
            <v>0</v>
          </cell>
          <cell r="G1758">
            <v>0</v>
          </cell>
          <cell r="H1758">
            <v>0</v>
          </cell>
          <cell r="I1758">
            <v>0</v>
          </cell>
          <cell r="J1758">
            <v>0</v>
          </cell>
        </row>
        <row r="1759">
          <cell r="B1759" t="str">
            <v>4.1.04.16.05</v>
          </cell>
          <cell r="C1759" t="str">
            <v>Pendapatan BLUD dari APBD</v>
          </cell>
          <cell r="F1759">
            <v>0</v>
          </cell>
          <cell r="G1759">
            <v>0</v>
          </cell>
          <cell r="H1759">
            <v>0</v>
          </cell>
          <cell r="I1759">
            <v>0</v>
          </cell>
          <cell r="J1759">
            <v>0</v>
          </cell>
        </row>
        <row r="1760">
          <cell r="B1760" t="str">
            <v>4.1.04.16.06</v>
          </cell>
          <cell r="C1760" t="str">
            <v>Pendapatan BLUD dari Lain-Lain Pendapatan BLUD yang Sah</v>
          </cell>
          <cell r="D1760">
            <v>287633168.56</v>
          </cell>
          <cell r="F1760">
            <v>0</v>
          </cell>
          <cell r="G1760">
            <v>0</v>
          </cell>
          <cell r="H1760">
            <v>0</v>
          </cell>
          <cell r="I1760">
            <v>0</v>
          </cell>
          <cell r="J1760">
            <v>0</v>
          </cell>
        </row>
        <row r="1761">
          <cell r="B1761" t="str">
            <v>4.1.04.17</v>
          </cell>
          <cell r="C1761" t="str">
            <v>Pendapatan Denda Pemanfaatan BMD yang tidak Dipisahkan</v>
          </cell>
          <cell r="D1761">
            <v>0</v>
          </cell>
          <cell r="E1761">
            <v>0</v>
          </cell>
          <cell r="J1761">
            <v>0</v>
          </cell>
        </row>
        <row r="1762">
          <cell r="B1762" t="str">
            <v>4.1.04.17.01</v>
          </cell>
          <cell r="C1762" t="str">
            <v>Pendapatan Denda Pengakhiran Sewa BMD</v>
          </cell>
          <cell r="F1762">
            <v>0</v>
          </cell>
          <cell r="G1762">
            <v>0</v>
          </cell>
          <cell r="H1762">
            <v>0</v>
          </cell>
          <cell r="I1762">
            <v>0</v>
          </cell>
          <cell r="J1762">
            <v>0</v>
          </cell>
        </row>
        <row r="1763">
          <cell r="B1763" t="str">
            <v>4.1.04.17.02</v>
          </cell>
          <cell r="C1763" t="str">
            <v>Pendapatan Denda Hasil dari Kerja Sama Penyediaan Infrastruktur</v>
          </cell>
          <cell r="F1763">
            <v>0</v>
          </cell>
          <cell r="G1763">
            <v>0</v>
          </cell>
          <cell r="H1763">
            <v>0</v>
          </cell>
          <cell r="I1763">
            <v>0</v>
          </cell>
          <cell r="J1763">
            <v>0</v>
          </cell>
        </row>
        <row r="1764">
          <cell r="B1764" t="str">
            <v>4.1.04.18</v>
          </cell>
          <cell r="C1764" t="str">
            <v>Pendapatan Dana Kapitasi Jaminan Kesehatan Nasional (JKN) pada Fasilitas Kesehatan Tingkat Pertama (FKTP)</v>
          </cell>
          <cell r="D1764">
            <v>25655927010</v>
          </cell>
          <cell r="E1764">
            <v>0</v>
          </cell>
          <cell r="J1764">
            <v>0</v>
          </cell>
        </row>
        <row r="1765">
          <cell r="B1765" t="str">
            <v>4.1.04.18.01</v>
          </cell>
          <cell r="C1765" t="str">
            <v>Pendapatan Dana Kapitasi JKN pada FKTP</v>
          </cell>
          <cell r="D1765">
            <v>25655927010</v>
          </cell>
          <cell r="F1765">
            <v>0</v>
          </cell>
          <cell r="G1765">
            <v>0</v>
          </cell>
          <cell r="H1765">
            <v>0</v>
          </cell>
          <cell r="I1765">
            <v>0</v>
          </cell>
          <cell r="J1765">
            <v>0</v>
          </cell>
        </row>
        <row r="1766">
          <cell r="B1766" t="str">
            <v>4.1.04.19</v>
          </cell>
          <cell r="C1766" t="str">
            <v>Pendapatan Hasil Pengelolaan Dana Bergulir</v>
          </cell>
          <cell r="D1766">
            <v>0</v>
          </cell>
          <cell r="E1766">
            <v>0</v>
          </cell>
          <cell r="J1766">
            <v>0</v>
          </cell>
        </row>
        <row r="1767">
          <cell r="B1767" t="str">
            <v>4.1.04.19.01</v>
          </cell>
          <cell r="C1767" t="str">
            <v>Pendapatan Hasil Pengelolaan Dana Bergulir</v>
          </cell>
          <cell r="F1767">
            <v>0</v>
          </cell>
          <cell r="G1767">
            <v>0</v>
          </cell>
          <cell r="H1767">
            <v>0</v>
          </cell>
          <cell r="I1767">
            <v>0</v>
          </cell>
          <cell r="J1767">
            <v>0</v>
          </cell>
        </row>
        <row r="1768">
          <cell r="B1768" t="str">
            <v>4.1.04.20</v>
          </cell>
          <cell r="C1768" t="str">
            <v>Pendapatan Berdasarkan Putusan Pengadilan (Inkracht)</v>
          </cell>
          <cell r="D1768">
            <v>0</v>
          </cell>
          <cell r="E1768">
            <v>0</v>
          </cell>
          <cell r="J1768">
            <v>0</v>
          </cell>
        </row>
        <row r="1769">
          <cell r="B1769" t="str">
            <v>4.1.04.20.01</v>
          </cell>
          <cell r="C1769" t="str">
            <v>Pendapatan Berdasarkan Putusan Pengadilan (Inkracht)</v>
          </cell>
          <cell r="F1769">
            <v>0</v>
          </cell>
          <cell r="G1769">
            <v>0</v>
          </cell>
          <cell r="H1769">
            <v>0</v>
          </cell>
          <cell r="I1769">
            <v>0</v>
          </cell>
          <cell r="J1769">
            <v>0</v>
          </cell>
        </row>
        <row r="1770">
          <cell r="B1770" t="str">
            <v>4.1.04.21</v>
          </cell>
          <cell r="C1770" t="str">
            <v>Pendapatan Denda atas Pelanggaran Peraturan Daerah</v>
          </cell>
          <cell r="D1770">
            <v>0</v>
          </cell>
          <cell r="E1770">
            <v>0</v>
          </cell>
          <cell r="J1770">
            <v>0</v>
          </cell>
        </row>
        <row r="1771">
          <cell r="B1771" t="str">
            <v>4.1.04.21.01</v>
          </cell>
          <cell r="C1771" t="str">
            <v>Pendapatan Denda atas Pelanggaran Peraturan Daerah</v>
          </cell>
          <cell r="F1771">
            <v>0</v>
          </cell>
          <cell r="G1771">
            <v>0</v>
          </cell>
          <cell r="H1771">
            <v>0</v>
          </cell>
          <cell r="I1771">
            <v>0</v>
          </cell>
          <cell r="J1771">
            <v>0</v>
          </cell>
        </row>
        <row r="1772">
          <cell r="B1772" t="str">
            <v>4.1.04.22</v>
          </cell>
          <cell r="C1772" t="str">
            <v>Pendapatan Zakat, Infaq, Shadaqah, dan Wakaf</v>
          </cell>
          <cell r="D1772">
            <v>0</v>
          </cell>
          <cell r="E1772">
            <v>0</v>
          </cell>
          <cell r="J1772">
            <v>0</v>
          </cell>
        </row>
        <row r="1773">
          <cell r="B1773" t="str">
            <v>4.1.04.22.01</v>
          </cell>
          <cell r="C1773" t="str">
            <v>Pendapatan Zakat</v>
          </cell>
          <cell r="F1773">
            <v>0</v>
          </cell>
          <cell r="G1773">
            <v>0</v>
          </cell>
          <cell r="H1773">
            <v>0</v>
          </cell>
          <cell r="I1773">
            <v>0</v>
          </cell>
          <cell r="J1773">
            <v>0</v>
          </cell>
        </row>
        <row r="1774">
          <cell r="B1774" t="str">
            <v>4.1.04.23</v>
          </cell>
          <cell r="C1774" t="str">
            <v>Pendapatan Hasil Pelaksanaan Perjanjian/Kontrak</v>
          </cell>
          <cell r="D1774">
            <v>0</v>
          </cell>
          <cell r="E1774">
            <v>0</v>
          </cell>
          <cell r="J1774">
            <v>0</v>
          </cell>
        </row>
        <row r="1775">
          <cell r="B1775" t="str">
            <v>4.1.04.23.01</v>
          </cell>
          <cell r="C1775" t="str">
            <v>Pendapatan Hasil Pelaksanaan Perjanjian/Kontrak</v>
          </cell>
          <cell r="F1775">
            <v>0</v>
          </cell>
          <cell r="G1775">
            <v>0</v>
          </cell>
          <cell r="H1775">
            <v>0</v>
          </cell>
          <cell r="I1775">
            <v>0</v>
          </cell>
          <cell r="J1775">
            <v>0</v>
          </cell>
        </row>
        <row r="1776">
          <cell r="B1776" t="str">
            <v>4.1.04.24</v>
          </cell>
          <cell r="C1776" t="str">
            <v>Pungutan bagi Wisatawan Asing</v>
          </cell>
          <cell r="D1776">
            <v>0</v>
          </cell>
          <cell r="E1776">
            <v>0</v>
          </cell>
          <cell r="J1776">
            <v>0</v>
          </cell>
        </row>
        <row r="1777">
          <cell r="B1777" t="str">
            <v>4.1.04.24.01</v>
          </cell>
          <cell r="C1777" t="str">
            <v>Pungutan bagi Wisatawan Asing</v>
          </cell>
          <cell r="F1777">
            <v>0</v>
          </cell>
          <cell r="G1777">
            <v>0</v>
          </cell>
          <cell r="H1777">
            <v>0</v>
          </cell>
          <cell r="I1777">
            <v>0</v>
          </cell>
          <cell r="J1777">
            <v>0</v>
          </cell>
        </row>
        <row r="1778">
          <cell r="B1778" t="str">
            <v>4.1.04.25</v>
          </cell>
          <cell r="C1778" t="str">
            <v>Hasil Pengelolaan Dana Abadi Daerah</v>
          </cell>
          <cell r="D1778">
            <v>0</v>
          </cell>
          <cell r="E1778">
            <v>0</v>
          </cell>
          <cell r="J1778">
            <v>0</v>
          </cell>
        </row>
        <row r="1779">
          <cell r="B1779" t="str">
            <v>4.1.04.25.01</v>
          </cell>
          <cell r="C1779" t="str">
            <v>Hasil Pengelolaan Dana Abadi Daerah</v>
          </cell>
          <cell r="F1779">
            <v>0</v>
          </cell>
          <cell r="G1779">
            <v>0</v>
          </cell>
          <cell r="H1779">
            <v>0</v>
          </cell>
          <cell r="I1779">
            <v>0</v>
          </cell>
          <cell r="J1779">
            <v>0</v>
          </cell>
        </row>
        <row r="1780">
          <cell r="B1780" t="str">
            <v>4.1.04.26</v>
          </cell>
          <cell r="C1780" t="str">
            <v>Hasil Pengelolaan Dana Cadangan</v>
          </cell>
          <cell r="D1780">
            <v>0</v>
          </cell>
          <cell r="E1780">
            <v>0</v>
          </cell>
          <cell r="J1780">
            <v>0</v>
          </cell>
        </row>
        <row r="1781">
          <cell r="B1781" t="str">
            <v>4.1.04.26.01</v>
          </cell>
          <cell r="C1781" t="str">
            <v>Hasil Pengelolaan Dana Cadangan</v>
          </cell>
          <cell r="F1781">
            <v>0</v>
          </cell>
          <cell r="G1781">
            <v>0</v>
          </cell>
          <cell r="H1781">
            <v>0</v>
          </cell>
          <cell r="I1781">
            <v>0</v>
          </cell>
          <cell r="J1781">
            <v>0</v>
          </cell>
        </row>
        <row r="1782">
          <cell r="B1782" t="str">
            <v>4.1.04.27</v>
          </cell>
          <cell r="C1782" t="str">
            <v>Pendapatan atas Sanksi Administrasi Pajak Daerah</v>
          </cell>
          <cell r="D1782">
            <v>0</v>
          </cell>
          <cell r="E1782">
            <v>0</v>
          </cell>
          <cell r="J1782">
            <v>0</v>
          </cell>
        </row>
        <row r="1783">
          <cell r="B1783" t="str">
            <v>4.1.04.27.01</v>
          </cell>
          <cell r="C1783" t="str">
            <v>Pendapatan Denda Pajak Daerah</v>
          </cell>
          <cell r="F1783">
            <v>0</v>
          </cell>
          <cell r="G1783">
            <v>0</v>
          </cell>
          <cell r="H1783">
            <v>0</v>
          </cell>
          <cell r="I1783">
            <v>0</v>
          </cell>
          <cell r="J1783">
            <v>0</v>
          </cell>
        </row>
        <row r="1784">
          <cell r="B1784" t="str">
            <v>4.1.04.27.02</v>
          </cell>
          <cell r="C1784" t="str">
            <v>Pendapatan Bunga Pajak Daerah</v>
          </cell>
          <cell r="F1784">
            <v>0</v>
          </cell>
          <cell r="G1784">
            <v>0</v>
          </cell>
          <cell r="H1784">
            <v>0</v>
          </cell>
          <cell r="I1784">
            <v>0</v>
          </cell>
          <cell r="J1784">
            <v>0</v>
          </cell>
        </row>
        <row r="1785">
          <cell r="B1785" t="str">
            <v>4.1.04.27.03</v>
          </cell>
          <cell r="C1785" t="str">
            <v>Pendapatan Kenaikan Pokok Pajak Daerah</v>
          </cell>
          <cell r="F1785">
            <v>0</v>
          </cell>
          <cell r="G1785">
            <v>0</v>
          </cell>
          <cell r="H1785">
            <v>0</v>
          </cell>
          <cell r="I1785">
            <v>0</v>
          </cell>
          <cell r="J1785">
            <v>0</v>
          </cell>
        </row>
        <row r="1786">
          <cell r="B1786" t="str">
            <v>4.1.04.28</v>
          </cell>
          <cell r="C1786" t="str">
            <v>Pendapatan atas Sanksi Administrasi Retribusi Daerah</v>
          </cell>
          <cell r="D1786">
            <v>0</v>
          </cell>
          <cell r="E1786">
            <v>0</v>
          </cell>
          <cell r="J1786">
            <v>0</v>
          </cell>
        </row>
        <row r="1787">
          <cell r="B1787" t="str">
            <v>4.1.04.28.01</v>
          </cell>
          <cell r="C1787" t="str">
            <v>Pendapatan Denda Retribusi Daerah</v>
          </cell>
          <cell r="F1787">
            <v>0</v>
          </cell>
          <cell r="G1787">
            <v>0</v>
          </cell>
          <cell r="H1787">
            <v>0</v>
          </cell>
          <cell r="I1787">
            <v>0</v>
          </cell>
          <cell r="J1787">
            <v>0</v>
          </cell>
        </row>
        <row r="1788">
          <cell r="B1788" t="str">
            <v>4.1.04.28.02</v>
          </cell>
          <cell r="C1788" t="str">
            <v>Pendapatan Bunga Retribusi Daerah</v>
          </cell>
          <cell r="F1788">
            <v>0</v>
          </cell>
          <cell r="G1788">
            <v>0</v>
          </cell>
          <cell r="H1788">
            <v>0</v>
          </cell>
          <cell r="I1788">
            <v>0</v>
          </cell>
          <cell r="J1788">
            <v>0</v>
          </cell>
        </row>
        <row r="1790">
          <cell r="B1790" t="str">
            <v>4.2</v>
          </cell>
          <cell r="C1790" t="str">
            <v>PENDAPATAN TRANSFER</v>
          </cell>
          <cell r="D1790">
            <v>1832006301746</v>
          </cell>
          <cell r="E1790">
            <v>1825056543631</v>
          </cell>
          <cell r="J1790">
            <v>1825056543631</v>
          </cell>
        </row>
        <row r="1791">
          <cell r="B1791" t="str">
            <v>4.2.01</v>
          </cell>
          <cell r="C1791" t="str">
            <v>Pendapatan Transfer Pemerintah Pusat</v>
          </cell>
          <cell r="D1791">
            <v>1753884676899</v>
          </cell>
          <cell r="E1791">
            <v>1760720762880</v>
          </cell>
          <cell r="J1791">
            <v>1760720762880</v>
          </cell>
        </row>
        <row r="1792">
          <cell r="B1792" t="str">
            <v>4.2.01.01</v>
          </cell>
          <cell r="C1792" t="str">
            <v>Dana Perimbangan</v>
          </cell>
          <cell r="D1792">
            <v>1301807208387</v>
          </cell>
          <cell r="E1792">
            <v>0</v>
          </cell>
          <cell r="J1792">
            <v>0</v>
          </cell>
        </row>
        <row r="1793">
          <cell r="B1793" t="str">
            <v>4.2.01.01.01</v>
          </cell>
          <cell r="C1793" t="str">
            <v>Dana Transfer Umum-Dana Bagi Hasil (DBH)</v>
          </cell>
          <cell r="D1793">
            <v>71419690000</v>
          </cell>
          <cell r="F1793">
            <v>0</v>
          </cell>
          <cell r="G1793">
            <v>0</v>
          </cell>
          <cell r="H1793">
            <v>0</v>
          </cell>
          <cell r="I1793">
            <v>0</v>
          </cell>
          <cell r="J1793">
            <v>0</v>
          </cell>
        </row>
        <row r="1794">
          <cell r="B1794" t="str">
            <v>4.2.01.01.02</v>
          </cell>
          <cell r="C1794" t="str">
            <v>Dana Transfer Umum-Dana Alokasi Umum (DAU)</v>
          </cell>
          <cell r="D1794">
            <v>1069469209836</v>
          </cell>
          <cell r="F1794">
            <v>0</v>
          </cell>
          <cell r="G1794">
            <v>0</v>
          </cell>
          <cell r="H1794">
            <v>0</v>
          </cell>
          <cell r="I1794">
            <v>0</v>
          </cell>
          <cell r="J1794">
            <v>0</v>
          </cell>
        </row>
        <row r="1795">
          <cell r="B1795" t="str">
            <v>4.2.01.01.03</v>
          </cell>
          <cell r="C1795" t="str">
            <v>Dana Transfer Khusus-Dana Alokasi Khusus (DAK) Fisik</v>
          </cell>
          <cell r="D1795">
            <v>160918308551</v>
          </cell>
          <cell r="F1795">
            <v>0</v>
          </cell>
          <cell r="G1795">
            <v>0</v>
          </cell>
          <cell r="H1795">
            <v>0</v>
          </cell>
          <cell r="I1795">
            <v>0</v>
          </cell>
          <cell r="J1795">
            <v>0</v>
          </cell>
        </row>
        <row r="1796">
          <cell r="B1796" t="str">
            <v>4.2.01.01.04</v>
          </cell>
          <cell r="C1796" t="str">
            <v>Dana Transfer Khusus-Dana Alokasi Khusus (DAK) Non Fisik</v>
          </cell>
          <cell r="F1796">
            <v>0</v>
          </cell>
          <cell r="G1796">
            <v>0</v>
          </cell>
          <cell r="H1796">
            <v>0</v>
          </cell>
          <cell r="I1796">
            <v>0</v>
          </cell>
          <cell r="J1796">
            <v>0</v>
          </cell>
        </row>
        <row r="1797">
          <cell r="B1797" t="str">
            <v>4.2.01.02</v>
          </cell>
          <cell r="C1797" t="str">
            <v>Dana Insentif Daerah (DID)</v>
          </cell>
          <cell r="D1797">
            <v>0</v>
          </cell>
          <cell r="E1797">
            <v>0</v>
          </cell>
          <cell r="J1797">
            <v>0</v>
          </cell>
        </row>
        <row r="1798">
          <cell r="B1798" t="str">
            <v>4.2.01.02.01</v>
          </cell>
          <cell r="C1798" t="str">
            <v>DID</v>
          </cell>
          <cell r="F1798">
            <v>0</v>
          </cell>
          <cell r="G1798">
            <v>0</v>
          </cell>
          <cell r="H1798">
            <v>0</v>
          </cell>
          <cell r="I1798">
            <v>0</v>
          </cell>
          <cell r="J1798">
            <v>0</v>
          </cell>
        </row>
        <row r="1799">
          <cell r="B1799" t="str">
            <v>4.2.01.03</v>
          </cell>
          <cell r="C1799" t="str">
            <v>Dana Otonomi Khusus dan Dana Tambahan Infrastruktur</v>
          </cell>
          <cell r="D1799">
            <v>0</v>
          </cell>
          <cell r="E1799">
            <v>0</v>
          </cell>
          <cell r="J1799">
            <v>0</v>
          </cell>
        </row>
        <row r="1800">
          <cell r="B1800" t="str">
            <v>4.2.01.03.01</v>
          </cell>
          <cell r="C1800" t="str">
            <v>Dana Otonomi Khusus-Provinsi Papua</v>
          </cell>
          <cell r="F1800">
            <v>0</v>
          </cell>
          <cell r="G1800">
            <v>0</v>
          </cell>
          <cell r="H1800">
            <v>0</v>
          </cell>
          <cell r="I1800">
            <v>0</v>
          </cell>
          <cell r="J1800">
            <v>0</v>
          </cell>
        </row>
        <row r="1801">
          <cell r="B1801" t="str">
            <v>4.2.01.03.02</v>
          </cell>
          <cell r="C1801" t="str">
            <v>Dana Otonomi Khusus-Provinsi Papua Barat</v>
          </cell>
          <cell r="F1801">
            <v>0</v>
          </cell>
          <cell r="G1801">
            <v>0</v>
          </cell>
          <cell r="H1801">
            <v>0</v>
          </cell>
          <cell r="I1801">
            <v>0</v>
          </cell>
          <cell r="J1801">
            <v>0</v>
          </cell>
        </row>
        <row r="1802">
          <cell r="B1802" t="str">
            <v>4.2.01.03.03</v>
          </cell>
          <cell r="C1802" t="str">
            <v>Dana Otonomi Khusus-Provinsi Aceh</v>
          </cell>
          <cell r="F1802">
            <v>0</v>
          </cell>
          <cell r="G1802">
            <v>0</v>
          </cell>
          <cell r="H1802">
            <v>0</v>
          </cell>
          <cell r="I1802">
            <v>0</v>
          </cell>
          <cell r="J1802">
            <v>0</v>
          </cell>
        </row>
        <row r="1803">
          <cell r="B1803" t="str">
            <v>4.2.01.03.04</v>
          </cell>
          <cell r="C1803" t="str">
            <v>Dana Tambahan Infrastruktur dalam rangka Otonomi Khusus Provinsi Papua</v>
          </cell>
          <cell r="F1803">
            <v>0</v>
          </cell>
          <cell r="G1803">
            <v>0</v>
          </cell>
          <cell r="H1803">
            <v>0</v>
          </cell>
          <cell r="I1803">
            <v>0</v>
          </cell>
          <cell r="J1803">
            <v>0</v>
          </cell>
        </row>
        <row r="1804">
          <cell r="B1804" t="str">
            <v>4.2.01.03.05</v>
          </cell>
          <cell r="C1804" t="str">
            <v>Dana Tambahan Infrastruktur dalam rangka Otonomi Khusus Provinsi Papua Barat</v>
          </cell>
          <cell r="F1804">
            <v>0</v>
          </cell>
          <cell r="G1804">
            <v>0</v>
          </cell>
          <cell r="H1804">
            <v>0</v>
          </cell>
          <cell r="I1804">
            <v>0</v>
          </cell>
          <cell r="J1804">
            <v>0</v>
          </cell>
        </row>
        <row r="1805">
          <cell r="B1805" t="str">
            <v>4.2.01.03.06</v>
          </cell>
          <cell r="C1805" t="str">
            <v>Dana Bagi Hasil (DBH) Minyak dan Gas Otonomi Khusus Papua</v>
          </cell>
          <cell r="F1805">
            <v>0</v>
          </cell>
          <cell r="G1805">
            <v>0</v>
          </cell>
          <cell r="H1805">
            <v>0</v>
          </cell>
          <cell r="I1805">
            <v>0</v>
          </cell>
          <cell r="J1805">
            <v>0</v>
          </cell>
        </row>
        <row r="1806">
          <cell r="B1806" t="str">
            <v>4.2.01.03.07</v>
          </cell>
          <cell r="C1806" t="str">
            <v>Dana Bagi Hasil (DBH) Minyak dan Gas Otonomi Khusus Aceh</v>
          </cell>
          <cell r="F1806">
            <v>0</v>
          </cell>
          <cell r="G1806">
            <v>0</v>
          </cell>
          <cell r="H1806">
            <v>0</v>
          </cell>
          <cell r="I1806">
            <v>0</v>
          </cell>
          <cell r="J1806">
            <v>0</v>
          </cell>
        </row>
        <row r="1807">
          <cell r="B1807" t="str">
            <v>4.2.01.03.08</v>
          </cell>
          <cell r="C1807" t="str">
            <v>Dana Otonomi Khusus 1%-Papua</v>
          </cell>
          <cell r="F1807">
            <v>0</v>
          </cell>
          <cell r="G1807">
            <v>0</v>
          </cell>
          <cell r="H1807">
            <v>0</v>
          </cell>
          <cell r="I1807">
            <v>0</v>
          </cell>
          <cell r="J1807">
            <v>0</v>
          </cell>
        </row>
        <row r="1808">
          <cell r="B1808" t="str">
            <v>4.2.01.03.09</v>
          </cell>
          <cell r="C1808" t="str">
            <v>DBH SDA Pertambangan Minyak Bumi-Papua</v>
          </cell>
          <cell r="F1808">
            <v>0</v>
          </cell>
          <cell r="G1808">
            <v>0</v>
          </cell>
          <cell r="H1808">
            <v>0</v>
          </cell>
          <cell r="I1808">
            <v>0</v>
          </cell>
          <cell r="J1808">
            <v>0</v>
          </cell>
        </row>
        <row r="1809">
          <cell r="B1809" t="str">
            <v>4.2.01.03.10</v>
          </cell>
          <cell r="C1809" t="str">
            <v>DBH SDA Pertambangan Gas Alam-Papua</v>
          </cell>
          <cell r="F1809">
            <v>0</v>
          </cell>
          <cell r="G1809">
            <v>0</v>
          </cell>
          <cell r="H1809">
            <v>0</v>
          </cell>
          <cell r="I1809">
            <v>0</v>
          </cell>
          <cell r="J1809">
            <v>0</v>
          </cell>
        </row>
        <row r="1810">
          <cell r="B1810" t="str">
            <v>4.2.01.03.11</v>
          </cell>
          <cell r="C1810" t="str">
            <v>Dana Otonomi Khusus 1,25%-Papua</v>
          </cell>
          <cell r="F1810">
            <v>0</v>
          </cell>
          <cell r="G1810">
            <v>0</v>
          </cell>
          <cell r="H1810">
            <v>0</v>
          </cell>
          <cell r="I1810">
            <v>0</v>
          </cell>
          <cell r="J1810">
            <v>0</v>
          </cell>
        </row>
        <row r="1811">
          <cell r="B1811" t="str">
            <v>4.2.01.03.12</v>
          </cell>
          <cell r="C1811" t="str">
            <v>DTI-Papua</v>
          </cell>
          <cell r="F1811">
            <v>0</v>
          </cell>
          <cell r="G1811">
            <v>0</v>
          </cell>
          <cell r="H1811">
            <v>0</v>
          </cell>
          <cell r="I1811">
            <v>0</v>
          </cell>
          <cell r="J1811">
            <v>0</v>
          </cell>
        </row>
        <row r="1812">
          <cell r="B1812" t="str">
            <v>4.2.01.03.13</v>
          </cell>
          <cell r="C1812" t="str">
            <v>DBH SDA Pertambangan Minyak Bumi-Aceh</v>
          </cell>
          <cell r="F1812">
            <v>0</v>
          </cell>
          <cell r="G1812">
            <v>0</v>
          </cell>
          <cell r="H1812">
            <v>0</v>
          </cell>
          <cell r="I1812">
            <v>0</v>
          </cell>
          <cell r="J1812">
            <v>0</v>
          </cell>
        </row>
        <row r="1813">
          <cell r="B1813" t="str">
            <v>4.2.01.03.14</v>
          </cell>
          <cell r="C1813" t="str">
            <v>DBH SDA Pertambangan Gas Alam-Aceh</v>
          </cell>
          <cell r="F1813">
            <v>0</v>
          </cell>
          <cell r="G1813">
            <v>0</v>
          </cell>
          <cell r="H1813">
            <v>0</v>
          </cell>
          <cell r="I1813">
            <v>0</v>
          </cell>
          <cell r="J1813">
            <v>0</v>
          </cell>
        </row>
        <row r="1814">
          <cell r="B1814" t="str">
            <v>4.2.01.04</v>
          </cell>
          <cell r="C1814" t="str">
            <v>Dana Keistimewaan</v>
          </cell>
          <cell r="D1814">
            <v>0</v>
          </cell>
          <cell r="E1814">
            <v>0</v>
          </cell>
          <cell r="J1814">
            <v>0</v>
          </cell>
        </row>
        <row r="1815">
          <cell r="B1815" t="str">
            <v>4.2.01.04.01</v>
          </cell>
          <cell r="C1815" t="str">
            <v>Dana Keistimewaan Daerah Istimewa Yogyakarta</v>
          </cell>
          <cell r="F1815">
            <v>0</v>
          </cell>
          <cell r="G1815">
            <v>0</v>
          </cell>
          <cell r="H1815">
            <v>0</v>
          </cell>
          <cell r="I1815">
            <v>0</v>
          </cell>
          <cell r="J1815">
            <v>0</v>
          </cell>
        </row>
        <row r="1816">
          <cell r="B1816" t="str">
            <v>4.2.01.05</v>
          </cell>
          <cell r="C1816" t="str">
            <v>Dana Desa</v>
          </cell>
          <cell r="D1816">
            <v>187145184000</v>
          </cell>
          <cell r="E1816">
            <v>154098266180</v>
          </cell>
          <cell r="J1816">
            <v>154098266180</v>
          </cell>
        </row>
        <row r="1817">
          <cell r="B1817" t="str">
            <v>4.2.01.05.01</v>
          </cell>
          <cell r="C1817" t="str">
            <v>Dana Desa</v>
          </cell>
          <cell r="D1817">
            <v>187145184000</v>
          </cell>
          <cell r="E1817">
            <v>154098266180</v>
          </cell>
          <cell r="F1817">
            <v>0</v>
          </cell>
          <cell r="G1817">
            <v>0</v>
          </cell>
          <cell r="H1817">
            <v>0</v>
          </cell>
          <cell r="I1817">
            <v>0</v>
          </cell>
          <cell r="J1817">
            <v>154098266180</v>
          </cell>
        </row>
        <row r="1818">
          <cell r="B1818" t="str">
            <v>4.2.01.06</v>
          </cell>
          <cell r="C1818" t="str">
            <v>Insentif Fiskal</v>
          </cell>
          <cell r="D1818">
            <v>6831675000</v>
          </cell>
          <cell r="E1818">
            <v>0</v>
          </cell>
          <cell r="J1818">
            <v>0</v>
          </cell>
        </row>
        <row r="1819">
          <cell r="B1819" t="str">
            <v>4.2.01.06.01</v>
          </cell>
          <cell r="C1819" t="str">
            <v>Insentif Fiskal</v>
          </cell>
          <cell r="D1819">
            <v>6831675000</v>
          </cell>
          <cell r="F1819">
            <v>0</v>
          </cell>
          <cell r="G1819">
            <v>0</v>
          </cell>
          <cell r="H1819">
            <v>0</v>
          </cell>
          <cell r="I1819">
            <v>0</v>
          </cell>
          <cell r="J1819">
            <v>0</v>
          </cell>
        </row>
        <row r="1820">
          <cell r="B1820" t="str">
            <v>4.2.01.06.02</v>
          </cell>
          <cell r="C1820" t="str">
            <v>Insentif Fiskal Untuk Penghargaan Kinerja Tahun Sebelumnya</v>
          </cell>
          <cell r="F1820">
            <v>0</v>
          </cell>
          <cell r="G1820">
            <v>0</v>
          </cell>
          <cell r="H1820">
            <v>0</v>
          </cell>
          <cell r="I1820">
            <v>0</v>
          </cell>
          <cell r="J1820">
            <v>0</v>
          </cell>
        </row>
        <row r="1821">
          <cell r="B1821" t="str">
            <v>4.2.01.06.03</v>
          </cell>
          <cell r="C1821" t="str">
            <v>Insentif Fiskal Untuk Penghargaan Kinerja Tahun Berjalan</v>
          </cell>
          <cell r="F1821">
            <v>0</v>
          </cell>
          <cell r="G1821">
            <v>0</v>
          </cell>
          <cell r="H1821">
            <v>0</v>
          </cell>
          <cell r="I1821">
            <v>0</v>
          </cell>
          <cell r="J1821">
            <v>0</v>
          </cell>
        </row>
        <row r="1822">
          <cell r="B1822" t="str">
            <v>4.2.01.07</v>
          </cell>
          <cell r="C1822" t="str">
            <v>Dana Bagi Hasil (DBH)</v>
          </cell>
          <cell r="D1822">
            <v>0</v>
          </cell>
          <cell r="E1822">
            <v>102288736300</v>
          </cell>
          <cell r="J1822">
            <v>102288736300</v>
          </cell>
        </row>
        <row r="1823">
          <cell r="B1823" t="str">
            <v>4.2.01.07.01</v>
          </cell>
          <cell r="C1823" t="str">
            <v>DBH Pajak</v>
          </cell>
          <cell r="E1823">
            <v>34039775500</v>
          </cell>
          <cell r="F1823">
            <v>0</v>
          </cell>
          <cell r="G1823">
            <v>0</v>
          </cell>
          <cell r="H1823">
            <v>0</v>
          </cell>
          <cell r="I1823">
            <v>0</v>
          </cell>
          <cell r="J1823">
            <v>34039775500</v>
          </cell>
        </row>
        <row r="1824">
          <cell r="B1824" t="str">
            <v>4.2.01.07.02</v>
          </cell>
          <cell r="C1824" t="str">
            <v>DBH Sumber Daya Alam (SDA)</v>
          </cell>
          <cell r="E1824">
            <v>68248960800</v>
          </cell>
          <cell r="F1824">
            <v>0</v>
          </cell>
          <cell r="G1824">
            <v>0</v>
          </cell>
          <cell r="H1824">
            <v>0</v>
          </cell>
          <cell r="I1824">
            <v>0</v>
          </cell>
          <cell r="J1824">
            <v>68248960800</v>
          </cell>
        </row>
        <row r="1825">
          <cell r="B1825" t="str">
            <v>4.2.01.07.03</v>
          </cell>
          <cell r="C1825" t="str">
            <v>DBH Lainnya</v>
          </cell>
          <cell r="F1825">
            <v>0</v>
          </cell>
          <cell r="G1825">
            <v>0</v>
          </cell>
          <cell r="H1825">
            <v>0</v>
          </cell>
          <cell r="I1825">
            <v>0</v>
          </cell>
          <cell r="J1825">
            <v>0</v>
          </cell>
        </row>
        <row r="1826">
          <cell r="B1826" t="str">
            <v>4.2.01.08</v>
          </cell>
          <cell r="C1826" t="str">
            <v>Dana Alokasi Umum (DAU)</v>
          </cell>
          <cell r="D1826">
            <v>0</v>
          </cell>
          <cell r="E1826">
            <v>1160437521669</v>
          </cell>
          <cell r="J1826">
            <v>1160437521669</v>
          </cell>
        </row>
        <row r="1827">
          <cell r="B1827" t="str">
            <v>4.2.01.08.01</v>
          </cell>
          <cell r="C1827" t="str">
            <v>DAU yang Tidak Ditentukan Penggunaannya</v>
          </cell>
          <cell r="E1827">
            <v>975293150669</v>
          </cell>
          <cell r="F1827">
            <v>0</v>
          </cell>
          <cell r="G1827">
            <v>0</v>
          </cell>
          <cell r="H1827">
            <v>0</v>
          </cell>
          <cell r="I1827">
            <v>0</v>
          </cell>
          <cell r="J1827">
            <v>975293150669</v>
          </cell>
        </row>
        <row r="1828">
          <cell r="B1828" t="str">
            <v>4.2.01.08.02</v>
          </cell>
          <cell r="C1828" t="str">
            <v>DAU yang Ditentukan Penggunaannya</v>
          </cell>
          <cell r="E1828">
            <v>185144371000</v>
          </cell>
          <cell r="F1828">
            <v>0</v>
          </cell>
          <cell r="G1828">
            <v>0</v>
          </cell>
          <cell r="H1828">
            <v>0</v>
          </cell>
          <cell r="I1828">
            <v>0</v>
          </cell>
          <cell r="J1828">
            <v>185144371000</v>
          </cell>
        </row>
        <row r="1829">
          <cell r="B1829" t="str">
            <v>4.2.01.09</v>
          </cell>
          <cell r="C1829" t="str">
            <v>Dana Alokasi Khusus (DAK)</v>
          </cell>
          <cell r="D1829">
            <v>258100609512</v>
          </cell>
          <cell r="E1829">
            <v>343896238731</v>
          </cell>
          <cell r="J1829">
            <v>343896238731</v>
          </cell>
        </row>
        <row r="1830">
          <cell r="B1830" t="str">
            <v>4.2.01.09.01</v>
          </cell>
          <cell r="C1830" t="str">
            <v>DAK Fisik</v>
          </cell>
          <cell r="E1830">
            <v>38820786519</v>
          </cell>
          <cell r="F1830">
            <v>0</v>
          </cell>
          <cell r="G1830">
            <v>0</v>
          </cell>
          <cell r="H1830">
            <v>0</v>
          </cell>
          <cell r="I1830">
            <v>0</v>
          </cell>
          <cell r="J1830">
            <v>38820786519</v>
          </cell>
        </row>
        <row r="1831">
          <cell r="B1831" t="str">
            <v>4.2.01.09.02</v>
          </cell>
          <cell r="C1831" t="str">
            <v>DAK Non Fisik</v>
          </cell>
          <cell r="D1831">
            <v>258100609512</v>
          </cell>
          <cell r="E1831">
            <v>305075452212</v>
          </cell>
          <cell r="F1831">
            <v>0</v>
          </cell>
          <cell r="G1831">
            <v>0</v>
          </cell>
          <cell r="H1831">
            <v>0</v>
          </cell>
          <cell r="I1831">
            <v>0</v>
          </cell>
          <cell r="J1831">
            <v>305075452212</v>
          </cell>
        </row>
        <row r="1832">
          <cell r="B1832" t="str">
            <v>4.2.01.09.03</v>
          </cell>
          <cell r="C1832" t="str">
            <v>Hibah kepada Daerah</v>
          </cell>
          <cell r="F1832">
            <v>0</v>
          </cell>
          <cell r="G1832">
            <v>0</v>
          </cell>
          <cell r="H1832">
            <v>0</v>
          </cell>
          <cell r="I1832">
            <v>0</v>
          </cell>
          <cell r="J1832">
            <v>0</v>
          </cell>
        </row>
        <row r="1834">
          <cell r="B1834" t="str">
            <v>4.2.02</v>
          </cell>
          <cell r="C1834" t="str">
            <v>Pendapatan Transfer Antar Daerah</v>
          </cell>
          <cell r="D1834">
            <v>78121624847</v>
          </cell>
          <cell r="E1834">
            <v>64335780751</v>
          </cell>
          <cell r="J1834">
            <v>64335780751</v>
          </cell>
        </row>
        <row r="1835">
          <cell r="B1835" t="str">
            <v>4.2.02.01</v>
          </cell>
          <cell r="C1835" t="str">
            <v>Pendapatan Bagi Hasil</v>
          </cell>
          <cell r="D1835">
            <v>78121624847</v>
          </cell>
          <cell r="E1835">
            <v>64144780751</v>
          </cell>
          <cell r="J1835">
            <v>64144780751</v>
          </cell>
        </row>
        <row r="1836">
          <cell r="B1836" t="str">
            <v>4.2.02.01.01</v>
          </cell>
          <cell r="C1836" t="str">
            <v>Pendapatan Bagi Hasil Pajak</v>
          </cell>
          <cell r="D1836">
            <v>78121624847</v>
          </cell>
          <cell r="E1836">
            <v>64144780751</v>
          </cell>
          <cell r="F1836">
            <v>0</v>
          </cell>
          <cell r="G1836">
            <v>0</v>
          </cell>
          <cell r="H1836">
            <v>0</v>
          </cell>
          <cell r="I1836">
            <v>0</v>
          </cell>
          <cell r="J1836">
            <v>64144780751</v>
          </cell>
        </row>
        <row r="1837">
          <cell r="B1837" t="str">
            <v>4.2.02.02</v>
          </cell>
          <cell r="C1837" t="str">
            <v>Bantuan Keuangan</v>
          </cell>
          <cell r="D1837">
            <v>0</v>
          </cell>
          <cell r="E1837">
            <v>191000000</v>
          </cell>
          <cell r="J1837">
            <v>191000000</v>
          </cell>
        </row>
        <row r="1838">
          <cell r="B1838" t="str">
            <v>4.2.02.02.01</v>
          </cell>
          <cell r="C1838" t="str">
            <v>Bantuan Keuangan Umum dari Pemerintah Provinsi</v>
          </cell>
          <cell r="F1838">
            <v>0</v>
          </cell>
          <cell r="G1838">
            <v>0</v>
          </cell>
          <cell r="H1838">
            <v>0</v>
          </cell>
          <cell r="I1838">
            <v>0</v>
          </cell>
          <cell r="J1838">
            <v>0</v>
          </cell>
        </row>
        <row r="1839">
          <cell r="B1839" t="str">
            <v>4.2.02.02.02</v>
          </cell>
          <cell r="C1839" t="str">
            <v>Bantuan Keuangan Khusus dari Pemerintah Provinsi</v>
          </cell>
          <cell r="E1839">
            <v>191000000</v>
          </cell>
          <cell r="F1839">
            <v>0</v>
          </cell>
          <cell r="G1839">
            <v>0</v>
          </cell>
          <cell r="H1839">
            <v>0</v>
          </cell>
          <cell r="I1839">
            <v>0</v>
          </cell>
          <cell r="J1839">
            <v>191000000</v>
          </cell>
        </row>
        <row r="1840">
          <cell r="B1840" t="str">
            <v>4.2.02.02.03</v>
          </cell>
          <cell r="C1840" t="str">
            <v>Bantuan Keuangan Umum dari Pemerintah Kabupaten/Kota</v>
          </cell>
          <cell r="F1840">
            <v>0</v>
          </cell>
          <cell r="G1840">
            <v>0</v>
          </cell>
          <cell r="H1840">
            <v>0</v>
          </cell>
          <cell r="I1840">
            <v>0</v>
          </cell>
          <cell r="J1840">
            <v>0</v>
          </cell>
        </row>
        <row r="1841">
          <cell r="B1841" t="str">
            <v>4.2.02.02.04</v>
          </cell>
          <cell r="C1841" t="str">
            <v>Bantuan Keuangan Khusus dari Pemerintah Kabupaten/Kota</v>
          </cell>
          <cell r="F1841">
            <v>0</v>
          </cell>
          <cell r="G1841">
            <v>0</v>
          </cell>
          <cell r="H1841">
            <v>0</v>
          </cell>
          <cell r="I1841">
            <v>0</v>
          </cell>
          <cell r="J1841">
            <v>0</v>
          </cell>
        </row>
        <row r="1843">
          <cell r="B1843" t="str">
            <v>4.3</v>
          </cell>
          <cell r="C1843" t="str">
            <v>LAIN-LAIN PENDAPATAN DAERAH YANG SAH</v>
          </cell>
          <cell r="D1843">
            <v>88792606124</v>
          </cell>
          <cell r="E1843">
            <v>26324521293</v>
          </cell>
          <cell r="J1843">
            <v>26324521293</v>
          </cell>
        </row>
        <row r="1844">
          <cell r="B1844" t="str">
            <v>4.3.01</v>
          </cell>
          <cell r="C1844" t="str">
            <v>Pendapatan Hibah</v>
          </cell>
          <cell r="D1844">
            <v>18572830000</v>
          </cell>
          <cell r="E1844">
            <v>0</v>
          </cell>
          <cell r="J1844">
            <v>0</v>
          </cell>
        </row>
        <row r="1845">
          <cell r="B1845" t="str">
            <v>4.3.01.01</v>
          </cell>
          <cell r="C1845" t="str">
            <v>Pendapatan Hibah dari Pemerintah Pusat</v>
          </cell>
          <cell r="D1845">
            <v>18572830000</v>
          </cell>
          <cell r="E1845">
            <v>0</v>
          </cell>
          <cell r="J1845">
            <v>0</v>
          </cell>
        </row>
        <row r="1846">
          <cell r="B1846" t="str">
            <v>4.3.01.01.01</v>
          </cell>
          <cell r="C1846" t="str">
            <v>Pendapatan Hibah dari Pemerintah Pusat</v>
          </cell>
          <cell r="D1846">
            <v>18572830000</v>
          </cell>
          <cell r="F1846">
            <v>0</v>
          </cell>
          <cell r="G1846">
            <v>0</v>
          </cell>
          <cell r="H1846">
            <v>0</v>
          </cell>
          <cell r="I1846">
            <v>0</v>
          </cell>
          <cell r="J1846">
            <v>0</v>
          </cell>
        </row>
        <row r="1847">
          <cell r="B1847" t="str">
            <v>4.3.01.02</v>
          </cell>
          <cell r="C1847" t="str">
            <v>Pendapatan Hibah dari Pemerintah Daerah Lainnya</v>
          </cell>
          <cell r="D1847">
            <v>0</v>
          </cell>
          <cell r="E1847">
            <v>0</v>
          </cell>
          <cell r="J1847">
            <v>0</v>
          </cell>
        </row>
        <row r="1848">
          <cell r="B1848" t="str">
            <v>4.3.01.02.01</v>
          </cell>
          <cell r="C1848" t="str">
            <v>Pendapatan Hibah dari Pemerintah Daerah Lainnya</v>
          </cell>
          <cell r="F1848">
            <v>0</v>
          </cell>
          <cell r="G1848">
            <v>0</v>
          </cell>
          <cell r="H1848">
            <v>0</v>
          </cell>
          <cell r="I1848">
            <v>0</v>
          </cell>
          <cell r="J1848">
            <v>0</v>
          </cell>
        </row>
        <row r="1849">
          <cell r="B1849" t="str">
            <v>4.3.01.03</v>
          </cell>
          <cell r="C1849" t="str">
            <v>Pendapatan Hibah dari Kelompok Masyarakat/Perorangan Dalam Negeri</v>
          </cell>
          <cell r="D1849">
            <v>0</v>
          </cell>
          <cell r="E1849">
            <v>0</v>
          </cell>
          <cell r="J1849">
            <v>0</v>
          </cell>
        </row>
        <row r="1850">
          <cell r="B1850" t="str">
            <v>4.3.01.03.01</v>
          </cell>
          <cell r="C1850" t="str">
            <v>Pendapatan Hibah dari Kelompok Masyarakat/Perorangan Dalam Negeri</v>
          </cell>
          <cell r="F1850">
            <v>0</v>
          </cell>
          <cell r="G1850">
            <v>0</v>
          </cell>
          <cell r="H1850">
            <v>0</v>
          </cell>
          <cell r="I1850">
            <v>0</v>
          </cell>
          <cell r="J1850">
            <v>0</v>
          </cell>
        </row>
        <row r="1851">
          <cell r="B1851" t="str">
            <v>4.3.01.04</v>
          </cell>
          <cell r="C1851" t="str">
            <v>Pendapatan Hibah dari Badan/Lembaga/Organisasi Dalam Negeri/Luar Negeri</v>
          </cell>
          <cell r="D1851">
            <v>0</v>
          </cell>
          <cell r="E1851">
            <v>0</v>
          </cell>
          <cell r="J1851">
            <v>0</v>
          </cell>
        </row>
        <row r="1852">
          <cell r="B1852" t="str">
            <v>4.3.01.04.01</v>
          </cell>
          <cell r="C1852" t="str">
            <v>Pendapatan Hibah dari Badan/Lembaga/Organisasi Dalam Negeri</v>
          </cell>
          <cell r="F1852">
            <v>0</v>
          </cell>
          <cell r="G1852">
            <v>0</v>
          </cell>
          <cell r="H1852">
            <v>0</v>
          </cell>
          <cell r="I1852">
            <v>0</v>
          </cell>
          <cell r="J1852">
            <v>0</v>
          </cell>
        </row>
        <row r="1853">
          <cell r="B1853" t="str">
            <v>4.3.01.04.02</v>
          </cell>
          <cell r="C1853" t="str">
            <v>Pendapatan Hibah dari Badan/Lembaga/Organisasi Luar Negeri</v>
          </cell>
          <cell r="F1853">
            <v>0</v>
          </cell>
          <cell r="G1853">
            <v>0</v>
          </cell>
          <cell r="H1853">
            <v>0</v>
          </cell>
          <cell r="I1853">
            <v>0</v>
          </cell>
          <cell r="J1853">
            <v>0</v>
          </cell>
        </row>
        <row r="1854">
          <cell r="B1854" t="str">
            <v>4.3.01.04.03</v>
          </cell>
          <cell r="C1854" t="str">
            <v>Pendapatan Hibah dari Lembaga/Organisasi Swasta Dalam Negeri</v>
          </cell>
          <cell r="F1854">
            <v>0</v>
          </cell>
          <cell r="G1854">
            <v>0</v>
          </cell>
          <cell r="H1854">
            <v>0</v>
          </cell>
          <cell r="I1854">
            <v>0</v>
          </cell>
          <cell r="J1854">
            <v>0</v>
          </cell>
        </row>
        <row r="1855">
          <cell r="B1855" t="str">
            <v>4.3.01.04.04</v>
          </cell>
          <cell r="C1855" t="str">
            <v>Pendapatan Hibah dari Lembaga/Organisasi Swasta Luar Negeri</v>
          </cell>
          <cell r="F1855">
            <v>0</v>
          </cell>
          <cell r="G1855">
            <v>0</v>
          </cell>
          <cell r="H1855">
            <v>0</v>
          </cell>
          <cell r="I1855">
            <v>0</v>
          </cell>
          <cell r="J1855">
            <v>0</v>
          </cell>
        </row>
        <row r="1856">
          <cell r="B1856" t="str">
            <v>4.3.01.05</v>
          </cell>
          <cell r="C1856" t="str">
            <v>Sumbangan Pihak Ketiga/Sejenis</v>
          </cell>
          <cell r="D1856">
            <v>0</v>
          </cell>
          <cell r="E1856">
            <v>0</v>
          </cell>
          <cell r="J1856">
            <v>0</v>
          </cell>
        </row>
        <row r="1857">
          <cell r="B1857" t="str">
            <v>4.3.01.05.01</v>
          </cell>
          <cell r="C1857" t="str">
            <v>Sumbangan Pihak Ketiga/Sejenis</v>
          </cell>
          <cell r="F1857">
            <v>0</v>
          </cell>
          <cell r="G1857">
            <v>0</v>
          </cell>
          <cell r="H1857">
            <v>0</v>
          </cell>
          <cell r="I1857">
            <v>0</v>
          </cell>
          <cell r="J1857">
            <v>0</v>
          </cell>
        </row>
        <row r="1859">
          <cell r="B1859" t="str">
            <v>4.3.02</v>
          </cell>
          <cell r="C1859" t="str">
            <v>Dana Darurat</v>
          </cell>
          <cell r="D1859">
            <v>0</v>
          </cell>
          <cell r="E1859">
            <v>0</v>
          </cell>
          <cell r="J1859">
            <v>0</v>
          </cell>
        </row>
        <row r="1860">
          <cell r="B1860" t="str">
            <v>4.3.02.01</v>
          </cell>
          <cell r="C1860" t="str">
            <v>Dana Darurat</v>
          </cell>
          <cell r="D1860">
            <v>0</v>
          </cell>
          <cell r="E1860">
            <v>0</v>
          </cell>
          <cell r="J1860">
            <v>0</v>
          </cell>
        </row>
        <row r="1861">
          <cell r="B1861" t="str">
            <v>4.3.02.01.01</v>
          </cell>
          <cell r="C1861" t="str">
            <v>Dana Darurat</v>
          </cell>
          <cell r="F1861">
            <v>0</v>
          </cell>
          <cell r="G1861">
            <v>0</v>
          </cell>
          <cell r="H1861">
            <v>0</v>
          </cell>
          <cell r="I1861">
            <v>0</v>
          </cell>
          <cell r="J1861">
            <v>0</v>
          </cell>
        </row>
        <row r="1863">
          <cell r="B1863" t="str">
            <v>4.3.03</v>
          </cell>
          <cell r="C1863" t="str">
            <v>Lain-lain Pendapatan Sesuai dengan Ketentuan Peraturan Perundang-Undangan</v>
          </cell>
          <cell r="D1863">
            <v>70219776124</v>
          </cell>
          <cell r="E1863">
            <v>26324521293</v>
          </cell>
          <cell r="J1863">
            <v>26324521293</v>
          </cell>
        </row>
        <row r="1864">
          <cell r="B1864" t="str">
            <v>4.3.03.01</v>
          </cell>
          <cell r="C1864" t="str">
            <v>Lain-lain Pendapatan</v>
          </cell>
          <cell r="D1864">
            <v>0</v>
          </cell>
          <cell r="E1864">
            <v>0</v>
          </cell>
          <cell r="J1864">
            <v>0</v>
          </cell>
        </row>
        <row r="1865">
          <cell r="B1865" t="str">
            <v>4.3.03.01.01</v>
          </cell>
          <cell r="C1865" t="str">
            <v>Pendapatan Hibah Dana BOS</v>
          </cell>
          <cell r="F1865">
            <v>0</v>
          </cell>
          <cell r="G1865">
            <v>0</v>
          </cell>
          <cell r="H1865">
            <v>0</v>
          </cell>
          <cell r="I1865">
            <v>0</v>
          </cell>
          <cell r="J1865">
            <v>0</v>
          </cell>
        </row>
        <row r="1866">
          <cell r="B1866" t="str">
            <v>4.3.03.01.02</v>
          </cell>
          <cell r="C1866" t="str">
            <v>Pendapatan atas Pengembalian Hibah</v>
          </cell>
          <cell r="F1866">
            <v>0</v>
          </cell>
          <cell r="G1866">
            <v>0</v>
          </cell>
          <cell r="H1866">
            <v>0</v>
          </cell>
          <cell r="I1866">
            <v>0</v>
          </cell>
          <cell r="J1866">
            <v>0</v>
          </cell>
        </row>
        <row r="1867">
          <cell r="B1867" t="str">
            <v>4.3.03.01.03</v>
          </cell>
          <cell r="C1867" t="str">
            <v>Pendapatan atas Dana Reducing Emission from Deforestration and Forest Degradation (REDD+) Results Based Payment</v>
          </cell>
          <cell r="F1867">
            <v>0</v>
          </cell>
          <cell r="G1867">
            <v>0</v>
          </cell>
          <cell r="H1867">
            <v>0</v>
          </cell>
          <cell r="I1867">
            <v>0</v>
          </cell>
          <cell r="J1867">
            <v>0</v>
          </cell>
        </row>
        <row r="1868">
          <cell r="B1868" t="str">
            <v>4.3.03.02</v>
          </cell>
          <cell r="C1868" t="str">
            <v>Pendapatan Dana Kapitasi JKN pada FKTP</v>
          </cell>
          <cell r="D1868">
            <v>0</v>
          </cell>
          <cell r="E1868">
            <v>0</v>
          </cell>
          <cell r="J1868">
            <v>0</v>
          </cell>
        </row>
        <row r="1869">
          <cell r="B1869" t="str">
            <v>4.3.03.02.01</v>
          </cell>
          <cell r="C1869" t="str">
            <v>Pendapatan Dana Kapitasi JKN pada FKTP</v>
          </cell>
          <cell r="F1869">
            <v>0</v>
          </cell>
          <cell r="G1869">
            <v>0</v>
          </cell>
          <cell r="H1869">
            <v>0</v>
          </cell>
          <cell r="I1869">
            <v>0</v>
          </cell>
          <cell r="J1869">
            <v>0</v>
          </cell>
        </row>
        <row r="1870">
          <cell r="B1870" t="str">
            <v>4.3.03.03</v>
          </cell>
          <cell r="C1870" t="str">
            <v>Pendapatan Bagi Hasil Pemegang IUPK atas Pertambangan Mineral Logam dan Batu Bara Pendapatan Bagi Hasil Pemegang IUPK atas Pertambangan Mineral Logam dan Batu Bara</v>
          </cell>
          <cell r="D1870">
            <v>70219776124</v>
          </cell>
          <cell r="E1870">
            <v>26324521293</v>
          </cell>
          <cell r="J1870">
            <v>26324521293</v>
          </cell>
        </row>
        <row r="1871">
          <cell r="B1871" t="str">
            <v>4.3.03.03.01</v>
          </cell>
          <cell r="C1871" t="str">
            <v xml:space="preserve">Pendapatan Bagi Hasil Pemegang IUPK atas Pertambangan Mineral Logam dan Batu Bara </v>
          </cell>
          <cell r="D1871">
            <v>70219776124</v>
          </cell>
          <cell r="E1871">
            <v>26324521293</v>
          </cell>
          <cell r="F1871">
            <v>0</v>
          </cell>
          <cell r="G1871">
            <v>0</v>
          </cell>
          <cell r="H1871">
            <v>0</v>
          </cell>
          <cell r="I1871">
            <v>0</v>
          </cell>
          <cell r="J1871">
            <v>26324521293</v>
          </cell>
        </row>
        <row r="1872">
          <cell r="B1872" t="str">
            <v>4.3.03.04</v>
          </cell>
          <cell r="C1872" t="str">
            <v>Kontribusi dari Sumber Lain yang Sah dan Tidak Mengikat</v>
          </cell>
          <cell r="D1872">
            <v>0</v>
          </cell>
          <cell r="E1872">
            <v>0</v>
          </cell>
          <cell r="J1872">
            <v>0</v>
          </cell>
        </row>
        <row r="1873">
          <cell r="B1873" t="str">
            <v>4.3.03.04.01</v>
          </cell>
          <cell r="C1873" t="str">
            <v>Kontribusi dari Sumber Lain yang Sah dan Tidak Mengikat</v>
          </cell>
          <cell r="F1873">
            <v>0</v>
          </cell>
          <cell r="G1873">
            <v>0</v>
          </cell>
          <cell r="H1873">
            <v>0</v>
          </cell>
          <cell r="I1873">
            <v>0</v>
          </cell>
          <cell r="J1873">
            <v>0</v>
          </cell>
        </row>
        <row r="1874">
          <cell r="B1874" t="str">
            <v>4.3.03.05</v>
          </cell>
          <cell r="C1874" t="str">
            <v>Pendapatan Klaim Pelayanan Kesehatan/Nonkapitasi</v>
          </cell>
          <cell r="D1874">
            <v>0</v>
          </cell>
          <cell r="E1874">
            <v>0</v>
          </cell>
          <cell r="J1874">
            <v>0</v>
          </cell>
        </row>
        <row r="1875">
          <cell r="B1875" t="str">
            <v>4.3.03.05.01</v>
          </cell>
          <cell r="C1875" t="str">
            <v>Pendapatan Klaim Pelayanan Kesehatan/Nonkapitasi</v>
          </cell>
          <cell r="F1875">
            <v>0</v>
          </cell>
          <cell r="G1875">
            <v>0</v>
          </cell>
          <cell r="H1875">
            <v>0</v>
          </cell>
          <cell r="I1875">
            <v>0</v>
          </cell>
          <cell r="J1875">
            <v>0</v>
          </cell>
        </row>
        <row r="1876">
          <cell r="B1876" t="str">
            <v>4.3.03.06</v>
          </cell>
          <cell r="C1876" t="str">
            <v>Pendapatan Bonus Produksi Panas Bumi</v>
          </cell>
          <cell r="D1876">
            <v>0</v>
          </cell>
          <cell r="E1876">
            <v>0</v>
          </cell>
          <cell r="J1876">
            <v>0</v>
          </cell>
        </row>
        <row r="1877">
          <cell r="B1877" t="str">
            <v>4.3.03.06.01</v>
          </cell>
          <cell r="C1877" t="str">
            <v>Pendapatan Bonus Produksi Panas Bumi</v>
          </cell>
          <cell r="F1877">
            <v>0</v>
          </cell>
          <cell r="G1877">
            <v>0</v>
          </cell>
          <cell r="H1877">
            <v>0</v>
          </cell>
          <cell r="I1877">
            <v>0</v>
          </cell>
          <cell r="J1877">
            <v>0</v>
          </cell>
        </row>
        <row r="1878">
          <cell r="B1878" t="str">
            <v>4.3.03.07</v>
          </cell>
          <cell r="C1878" t="str">
            <v>Pendapatan Bonus Tandatangan dan Bonus Produksi Pemerintah Aceh</v>
          </cell>
          <cell r="D1878">
            <v>0</v>
          </cell>
          <cell r="E1878">
            <v>0</v>
          </cell>
          <cell r="J1878">
            <v>0</v>
          </cell>
        </row>
        <row r="1879">
          <cell r="B1879" t="str">
            <v>4.3.03.07.01</v>
          </cell>
          <cell r="C1879" t="str">
            <v>Pendapatan Bonus Tandatangan dan Bonus Produksi Pemerintah Aceh</v>
          </cell>
          <cell r="F1879">
            <v>0</v>
          </cell>
          <cell r="G1879">
            <v>0</v>
          </cell>
          <cell r="H1879">
            <v>0</v>
          </cell>
          <cell r="I1879">
            <v>0</v>
          </cell>
          <cell r="J1879">
            <v>0</v>
          </cell>
        </row>
        <row r="1881">
          <cell r="B1881" t="str">
            <v>5</v>
          </cell>
          <cell r="C1881" t="str">
            <v>BELANJA DAERAH</v>
          </cell>
          <cell r="D1881">
            <v>2079876540631.9199</v>
          </cell>
          <cell r="E1881">
            <v>2032136514517.1899</v>
          </cell>
          <cell r="J1881">
            <v>2032254013530.9399</v>
          </cell>
        </row>
        <row r="1882">
          <cell r="B1882" t="str">
            <v>5.1</v>
          </cell>
          <cell r="C1882" t="str">
            <v>BELANJA OPERASI</v>
          </cell>
          <cell r="D1882">
            <v>1567972000927.9199</v>
          </cell>
          <cell r="E1882">
            <v>1579036680233.1899</v>
          </cell>
          <cell r="J1882">
            <v>1579146679246.9399</v>
          </cell>
        </row>
        <row r="1883">
          <cell r="B1883" t="str">
            <v>5.1.01</v>
          </cell>
          <cell r="C1883" t="str">
            <v>Belanja Pegawai</v>
          </cell>
          <cell r="D1883">
            <v>959315205223.09998</v>
          </cell>
          <cell r="E1883">
            <v>1059733779975</v>
          </cell>
          <cell r="J1883">
            <v>1059733779975</v>
          </cell>
        </row>
        <row r="1884">
          <cell r="B1884" t="str">
            <v>5.1.01.01</v>
          </cell>
          <cell r="C1884" t="str">
            <v>Belanja Gaji dan Tunjangan ASN</v>
          </cell>
          <cell r="D1884">
            <v>644656673166</v>
          </cell>
          <cell r="E1884">
            <v>726695534210.59998</v>
          </cell>
          <cell r="J1884">
            <v>726695534210.59998</v>
          </cell>
        </row>
        <row r="1885">
          <cell r="B1885" t="str">
            <v>5.1.01.01.01</v>
          </cell>
          <cell r="C1885" t="str">
            <v>Belanja Gaji Pokok ASN</v>
          </cell>
          <cell r="D1885">
            <v>502734547341</v>
          </cell>
          <cell r="E1885">
            <v>562200283572.59998</v>
          </cell>
          <cell r="F1885">
            <v>0</v>
          </cell>
          <cell r="G1885">
            <v>0</v>
          </cell>
          <cell r="H1885">
            <v>0</v>
          </cell>
          <cell r="I1885">
            <v>0</v>
          </cell>
          <cell r="J1885">
            <v>562200283572.59998</v>
          </cell>
        </row>
        <row r="1886">
          <cell r="B1886" t="str">
            <v>5.1.01.01.02</v>
          </cell>
          <cell r="C1886" t="str">
            <v>Belanja Tunjangan Keluarga ASN</v>
          </cell>
          <cell r="D1886">
            <v>43581803599</v>
          </cell>
          <cell r="E1886">
            <v>49169590191</v>
          </cell>
          <cell r="F1886">
            <v>0</v>
          </cell>
          <cell r="G1886">
            <v>0</v>
          </cell>
          <cell r="H1886">
            <v>0</v>
          </cell>
          <cell r="I1886">
            <v>0</v>
          </cell>
          <cell r="J1886">
            <v>49169590191</v>
          </cell>
        </row>
        <row r="1887">
          <cell r="B1887" t="str">
            <v>5.1.01.01.03</v>
          </cell>
          <cell r="C1887" t="str">
            <v>Belanja Tunjangan Jabatan ASN</v>
          </cell>
          <cell r="D1887">
            <v>7259131000</v>
          </cell>
          <cell r="E1887">
            <v>6442525000</v>
          </cell>
          <cell r="F1887">
            <v>0</v>
          </cell>
          <cell r="G1887">
            <v>0</v>
          </cell>
          <cell r="H1887">
            <v>0</v>
          </cell>
          <cell r="I1887">
            <v>0</v>
          </cell>
          <cell r="J1887">
            <v>6442525000</v>
          </cell>
        </row>
        <row r="1888">
          <cell r="B1888" t="str">
            <v>5.1.01.01.04</v>
          </cell>
          <cell r="C1888" t="str">
            <v>Belanja Tunjangan Fungsional ASN</v>
          </cell>
          <cell r="D1888">
            <v>27717432427</v>
          </cell>
          <cell r="E1888">
            <v>27155268988</v>
          </cell>
          <cell r="F1888">
            <v>0</v>
          </cell>
          <cell r="G1888">
            <v>0</v>
          </cell>
          <cell r="H1888">
            <v>0</v>
          </cell>
          <cell r="I1888">
            <v>0</v>
          </cell>
          <cell r="J1888">
            <v>27155268988</v>
          </cell>
        </row>
        <row r="1889">
          <cell r="B1889" t="str">
            <v>5.1.01.01.05</v>
          </cell>
          <cell r="C1889" t="str">
            <v>Belanja Tunjangan Fungsional Umum ASN</v>
          </cell>
          <cell r="D1889">
            <v>11649951568</v>
          </cell>
          <cell r="E1889">
            <v>15725257915</v>
          </cell>
          <cell r="F1889">
            <v>0</v>
          </cell>
          <cell r="G1889">
            <v>0</v>
          </cell>
          <cell r="H1889">
            <v>0</v>
          </cell>
          <cell r="I1889">
            <v>0</v>
          </cell>
          <cell r="J1889">
            <v>15725257915</v>
          </cell>
        </row>
        <row r="1890">
          <cell r="B1890" t="str">
            <v>5.1.01.01.06</v>
          </cell>
          <cell r="C1890" t="str">
            <v>Belanja Tunjangan Beras ASN</v>
          </cell>
          <cell r="D1890">
            <v>26070030944</v>
          </cell>
          <cell r="E1890">
            <v>29973302775</v>
          </cell>
          <cell r="F1890">
            <v>0</v>
          </cell>
          <cell r="G1890">
            <v>0</v>
          </cell>
          <cell r="H1890">
            <v>0</v>
          </cell>
          <cell r="I1890">
            <v>0</v>
          </cell>
          <cell r="J1890">
            <v>29973302775</v>
          </cell>
        </row>
        <row r="1891">
          <cell r="B1891" t="str">
            <v>5.1.01.01.07</v>
          </cell>
          <cell r="C1891" t="str">
            <v>Belanja Tunjangan PPh/Tunjangan Khusus ASN</v>
          </cell>
          <cell r="D1891">
            <v>933223356</v>
          </cell>
          <cell r="E1891">
            <v>1266214333</v>
          </cell>
          <cell r="F1891">
            <v>0</v>
          </cell>
          <cell r="G1891">
            <v>0</v>
          </cell>
          <cell r="H1891">
            <v>0</v>
          </cell>
          <cell r="I1891">
            <v>0</v>
          </cell>
          <cell r="J1891">
            <v>1266214333</v>
          </cell>
        </row>
        <row r="1892">
          <cell r="B1892" t="str">
            <v>5.1.01.01.08</v>
          </cell>
          <cell r="C1892" t="str">
            <v>Belanja Pembulatan Gaji ASN</v>
          </cell>
          <cell r="D1892">
            <v>7760722</v>
          </cell>
          <cell r="E1892">
            <v>8574720</v>
          </cell>
          <cell r="F1892">
            <v>0</v>
          </cell>
          <cell r="G1892">
            <v>0</v>
          </cell>
          <cell r="H1892">
            <v>0</v>
          </cell>
          <cell r="I1892">
            <v>0</v>
          </cell>
          <cell r="J1892">
            <v>8574720</v>
          </cell>
        </row>
        <row r="1893">
          <cell r="B1893" t="str">
            <v>5.1.01.01.09</v>
          </cell>
          <cell r="C1893" t="str">
            <v>Belanja Iuran Jaminan Kesehatan ASN</v>
          </cell>
          <cell r="D1893">
            <v>20702477310</v>
          </cell>
          <cell r="E1893">
            <v>30082835756</v>
          </cell>
          <cell r="F1893">
            <v>0</v>
          </cell>
          <cell r="G1893">
            <v>0</v>
          </cell>
          <cell r="H1893">
            <v>0</v>
          </cell>
          <cell r="I1893">
            <v>0</v>
          </cell>
          <cell r="J1893">
            <v>30082835756</v>
          </cell>
        </row>
        <row r="1894">
          <cell r="B1894" t="str">
            <v>5.1.01.01.10</v>
          </cell>
          <cell r="C1894" t="str">
            <v>Belanja Iuran Jaminan Kecelakaan Kerja ASN</v>
          </cell>
          <cell r="D1894">
            <v>1032767474</v>
          </cell>
          <cell r="E1894">
            <v>1165528407</v>
          </cell>
          <cell r="F1894">
            <v>0</v>
          </cell>
          <cell r="G1894">
            <v>0</v>
          </cell>
          <cell r="H1894">
            <v>0</v>
          </cell>
          <cell r="I1894">
            <v>0</v>
          </cell>
          <cell r="J1894">
            <v>1165528407</v>
          </cell>
        </row>
        <row r="1895">
          <cell r="B1895" t="str">
            <v>5.1.01.01.11</v>
          </cell>
          <cell r="C1895" t="str">
            <v>Belanja Iuran Jaminan Kematian ASN</v>
          </cell>
          <cell r="D1895">
            <v>2967547425</v>
          </cell>
          <cell r="E1895">
            <v>3506152553</v>
          </cell>
          <cell r="F1895">
            <v>0</v>
          </cell>
          <cell r="G1895">
            <v>0</v>
          </cell>
          <cell r="H1895">
            <v>0</v>
          </cell>
          <cell r="I1895">
            <v>0</v>
          </cell>
          <cell r="J1895">
            <v>3506152553</v>
          </cell>
        </row>
        <row r="1896">
          <cell r="B1896" t="str">
            <v>5.1.01.01.12</v>
          </cell>
          <cell r="C1896" t="str">
            <v>Belanja Iuran Simpanan Peserta Tabungan Perumahan Rakyat ASN</v>
          </cell>
          <cell r="F1896">
            <v>0</v>
          </cell>
          <cell r="G1896">
            <v>0</v>
          </cell>
          <cell r="H1896">
            <v>0</v>
          </cell>
          <cell r="I1896">
            <v>0</v>
          </cell>
          <cell r="J1896">
            <v>0</v>
          </cell>
        </row>
        <row r="1897">
          <cell r="B1897" t="str">
            <v>5.1.01.01.13</v>
          </cell>
          <cell r="C1897" t="str">
            <v>Belanja Jaminan Hari Tua ASN</v>
          </cell>
          <cell r="F1897">
            <v>0</v>
          </cell>
          <cell r="G1897">
            <v>0</v>
          </cell>
          <cell r="H1897">
            <v>0</v>
          </cell>
          <cell r="I1897">
            <v>0</v>
          </cell>
          <cell r="J1897">
            <v>0</v>
          </cell>
        </row>
        <row r="1898">
          <cell r="B1898" t="str">
            <v>5.1.01.01.14</v>
          </cell>
          <cell r="C1898" t="str">
            <v>Belanja Tunjangan Khusus*)</v>
          </cell>
          <cell r="F1898">
            <v>0</v>
          </cell>
          <cell r="G1898">
            <v>0</v>
          </cell>
          <cell r="H1898">
            <v>0</v>
          </cell>
          <cell r="I1898">
            <v>0</v>
          </cell>
          <cell r="J1898">
            <v>0</v>
          </cell>
        </row>
        <row r="1899">
          <cell r="B1899" t="str">
            <v>5.1.01.01.15</v>
          </cell>
          <cell r="C1899" t="str">
            <v>Belanja Zakat ASN</v>
          </cell>
          <cell r="F1899">
            <v>0</v>
          </cell>
          <cell r="G1899">
            <v>0</v>
          </cell>
          <cell r="H1899">
            <v>0</v>
          </cell>
          <cell r="I1899">
            <v>0</v>
          </cell>
          <cell r="J1899">
            <v>0</v>
          </cell>
        </row>
        <row r="1900">
          <cell r="B1900" t="str">
            <v>5.1.01.02</v>
          </cell>
          <cell r="C1900" t="str">
            <v>Belanja Tambahan Penghasilan ASN</v>
          </cell>
          <cell r="D1900">
            <v>55183987177</v>
          </cell>
          <cell r="E1900">
            <v>54756337117</v>
          </cell>
          <cell r="J1900">
            <v>54756337117</v>
          </cell>
        </row>
        <row r="1901">
          <cell r="B1901" t="str">
            <v>5.1.01.02.01</v>
          </cell>
          <cell r="C1901" t="str">
            <v>Tambahan Penghasilan berdasarkan Beban Kerja ASN</v>
          </cell>
          <cell r="D1901">
            <v>24870277500</v>
          </cell>
          <cell r="E1901">
            <v>24711592049</v>
          </cell>
          <cell r="F1901">
            <v>0</v>
          </cell>
          <cell r="G1901">
            <v>0</v>
          </cell>
          <cell r="H1901">
            <v>0</v>
          </cell>
          <cell r="I1901">
            <v>0</v>
          </cell>
          <cell r="J1901">
            <v>24711592049</v>
          </cell>
        </row>
        <row r="1902">
          <cell r="B1902" t="str">
            <v>5.1.01.02.02</v>
          </cell>
          <cell r="C1902" t="str">
            <v>Tambahan Penghasilan berdasarkan Tempat Bertugas ASN</v>
          </cell>
          <cell r="F1902">
            <v>0</v>
          </cell>
          <cell r="G1902">
            <v>0</v>
          </cell>
          <cell r="H1902">
            <v>0</v>
          </cell>
          <cell r="I1902">
            <v>0</v>
          </cell>
          <cell r="J1902">
            <v>0</v>
          </cell>
        </row>
        <row r="1903">
          <cell r="B1903" t="str">
            <v>5.1.01.02.03</v>
          </cell>
          <cell r="C1903" t="str">
            <v>Tambahan Penghasilan berdasarkan Kondisi Kerja ASN</v>
          </cell>
          <cell r="D1903">
            <v>35855848</v>
          </cell>
          <cell r="E1903">
            <v>21470000</v>
          </cell>
          <cell r="F1903">
            <v>0</v>
          </cell>
          <cell r="G1903">
            <v>0</v>
          </cell>
          <cell r="H1903">
            <v>0</v>
          </cell>
          <cell r="I1903">
            <v>0</v>
          </cell>
          <cell r="J1903">
            <v>21470000</v>
          </cell>
        </row>
        <row r="1904">
          <cell r="B1904" t="str">
            <v>5.1.01.02.04</v>
          </cell>
          <cell r="C1904" t="str">
            <v>Tambahan Penghasilan berdasarkan Kelangkaan Profesi ASN</v>
          </cell>
          <cell r="D1904">
            <v>45087000</v>
          </cell>
          <cell r="E1904">
            <v>215032925</v>
          </cell>
          <cell r="F1904">
            <v>0</v>
          </cell>
          <cell r="G1904">
            <v>0</v>
          </cell>
          <cell r="H1904">
            <v>0</v>
          </cell>
          <cell r="I1904">
            <v>0</v>
          </cell>
          <cell r="J1904">
            <v>215032925</v>
          </cell>
        </row>
        <row r="1905">
          <cell r="B1905" t="str">
            <v>5.1.01.02.05</v>
          </cell>
          <cell r="C1905" t="str">
            <v>Tambahan Penghasilan berdasarkan Prestasi Kerja ASN</v>
          </cell>
          <cell r="D1905">
            <v>30232766829</v>
          </cell>
          <cell r="E1905">
            <v>29808242143</v>
          </cell>
          <cell r="F1905">
            <v>0</v>
          </cell>
          <cell r="G1905">
            <v>0</v>
          </cell>
          <cell r="H1905">
            <v>0</v>
          </cell>
          <cell r="I1905">
            <v>0</v>
          </cell>
          <cell r="J1905">
            <v>29808242143</v>
          </cell>
        </row>
        <row r="1906">
          <cell r="B1906" t="str">
            <v>5.1.01.02.06</v>
          </cell>
          <cell r="C1906" t="str">
            <v>Tambahan Penghasilan berdasarkan Pertimbangan Objektif Lainnya ASN</v>
          </cell>
          <cell r="F1906">
            <v>0</v>
          </cell>
          <cell r="G1906">
            <v>0</v>
          </cell>
          <cell r="H1906">
            <v>0</v>
          </cell>
          <cell r="I1906">
            <v>0</v>
          </cell>
          <cell r="J1906">
            <v>0</v>
          </cell>
        </row>
        <row r="1907">
          <cell r="B1907" t="str">
            <v>5.1.01.03</v>
          </cell>
          <cell r="C1907" t="str">
            <v>Tambahan Penghasilan berdasarkan Pertimbangan Objektif Lainnya ASN</v>
          </cell>
          <cell r="D1907">
            <v>176256163486</v>
          </cell>
          <cell r="E1907">
            <v>191156738914.60001</v>
          </cell>
          <cell r="J1907">
            <v>191156738914.60001</v>
          </cell>
        </row>
        <row r="1908">
          <cell r="B1908" t="str">
            <v>5.1.01.03.01</v>
          </cell>
          <cell r="C1908" t="str">
            <v>Belanja Insentif bagi ASN atas Pemungutan Pajak Daerah</v>
          </cell>
          <cell r="F1908">
            <v>0</v>
          </cell>
          <cell r="G1908">
            <v>0</v>
          </cell>
          <cell r="H1908">
            <v>0</v>
          </cell>
          <cell r="I1908">
            <v>0</v>
          </cell>
          <cell r="J1908">
            <v>0</v>
          </cell>
        </row>
        <row r="1909">
          <cell r="B1909" t="str">
            <v>5.1.01.03.02</v>
          </cell>
          <cell r="C1909" t="str">
            <v>Belanja bagi ASN atas Insentif Pemungutan Retribusi Daerah</v>
          </cell>
          <cell r="D1909">
            <v>106709400</v>
          </cell>
          <cell r="F1909">
            <v>0</v>
          </cell>
          <cell r="G1909">
            <v>0</v>
          </cell>
          <cell r="H1909">
            <v>0</v>
          </cell>
          <cell r="I1909">
            <v>0</v>
          </cell>
          <cell r="J1909">
            <v>0</v>
          </cell>
        </row>
        <row r="1910">
          <cell r="B1910" t="str">
            <v>5.1.01.03.03</v>
          </cell>
          <cell r="C1910" t="str">
            <v>Belanja Tunjangan Profesi Guru (TPG) PNSD</v>
          </cell>
          <cell r="D1910">
            <v>141329556600</v>
          </cell>
          <cell r="E1910">
            <v>169336265900</v>
          </cell>
          <cell r="F1910">
            <v>0</v>
          </cell>
          <cell r="G1910">
            <v>0</v>
          </cell>
          <cell r="H1910">
            <v>0</v>
          </cell>
          <cell r="I1910">
            <v>0</v>
          </cell>
          <cell r="J1910">
            <v>169336265900</v>
          </cell>
        </row>
        <row r="1911">
          <cell r="B1911" t="str">
            <v>5.1.01.03.04</v>
          </cell>
          <cell r="C1911" t="str">
            <v>Belanja Tunjangan Khusus Guru (TKG) PNSD</v>
          </cell>
          <cell r="D1911">
            <v>4497526800</v>
          </cell>
          <cell r="E1911">
            <v>8687932700</v>
          </cell>
          <cell r="F1911">
            <v>0</v>
          </cell>
          <cell r="G1911">
            <v>0</v>
          </cell>
          <cell r="H1911">
            <v>0</v>
          </cell>
          <cell r="I1911">
            <v>0</v>
          </cell>
          <cell r="J1911">
            <v>8687932700</v>
          </cell>
        </row>
        <row r="1912">
          <cell r="B1912" t="str">
            <v>5.1.01.03.05</v>
          </cell>
          <cell r="C1912" t="str">
            <v>Belanja Tambahan Penghasilan (Tamsil) Guru PNSD</v>
          </cell>
          <cell r="D1912">
            <v>2049000000</v>
          </cell>
          <cell r="E1912">
            <v>1002000000</v>
          </cell>
          <cell r="F1912">
            <v>0</v>
          </cell>
          <cell r="G1912">
            <v>0</v>
          </cell>
          <cell r="H1912">
            <v>0</v>
          </cell>
          <cell r="I1912">
            <v>0</v>
          </cell>
          <cell r="J1912">
            <v>1002000000</v>
          </cell>
        </row>
        <row r="1913">
          <cell r="B1913" t="str">
            <v>5.1.01.03.06</v>
          </cell>
          <cell r="C1913" t="str">
            <v>Belanja Jasa Pelayanan Kesehatan bagi ASN</v>
          </cell>
          <cell r="D1913">
            <v>11915110286</v>
          </cell>
          <cell r="E1913">
            <v>12130540314.6</v>
          </cell>
          <cell r="F1913">
            <v>0</v>
          </cell>
          <cell r="G1913">
            <v>0</v>
          </cell>
          <cell r="H1913">
            <v>0</v>
          </cell>
          <cell r="I1913">
            <v>0</v>
          </cell>
          <cell r="J1913">
            <v>12130540314.6</v>
          </cell>
        </row>
        <row r="1914">
          <cell r="B1914" t="str">
            <v>5.1.01.03.07</v>
          </cell>
          <cell r="C1914" t="str">
            <v>Belanja Honorarium</v>
          </cell>
          <cell r="D1914">
            <v>5950312000</v>
          </cell>
          <cell r="F1914">
            <v>0</v>
          </cell>
          <cell r="G1914">
            <v>0</v>
          </cell>
          <cell r="H1914">
            <v>0</v>
          </cell>
          <cell r="I1914">
            <v>0</v>
          </cell>
          <cell r="J1914">
            <v>0</v>
          </cell>
        </row>
        <row r="1915">
          <cell r="B1915" t="str">
            <v>5.1.01.03.08</v>
          </cell>
          <cell r="C1915" t="str">
            <v>Belanja Jasa Pengelolaan BMD</v>
          </cell>
          <cell r="D1915">
            <v>17820000</v>
          </cell>
          <cell r="F1915">
            <v>0</v>
          </cell>
          <cell r="G1915">
            <v>0</v>
          </cell>
          <cell r="H1915">
            <v>0</v>
          </cell>
          <cell r="I1915">
            <v>0</v>
          </cell>
          <cell r="J1915">
            <v>0</v>
          </cell>
        </row>
        <row r="1916">
          <cell r="B1916" t="str">
            <v>5.1.01.03.09</v>
          </cell>
          <cell r="C1916" t="str">
            <v>Belanja Tunjangan Profesi Guru (TPG) PPPK</v>
          </cell>
          <cell r="D1916">
            <v>10068878400</v>
          </cell>
          <cell r="F1916">
            <v>0</v>
          </cell>
          <cell r="G1916">
            <v>0</v>
          </cell>
          <cell r="H1916">
            <v>0</v>
          </cell>
          <cell r="I1916">
            <v>0</v>
          </cell>
          <cell r="J1916">
            <v>0</v>
          </cell>
        </row>
        <row r="1917">
          <cell r="B1917" t="str">
            <v>5.1.01.03.10</v>
          </cell>
          <cell r="C1917" t="str">
            <v>Belanja Tunjangan Khusus Guru (TKG) PPPK</v>
          </cell>
          <cell r="D1917">
            <v>0</v>
          </cell>
          <cell r="F1917">
            <v>0</v>
          </cell>
          <cell r="G1917">
            <v>0</v>
          </cell>
          <cell r="H1917">
            <v>0</v>
          </cell>
          <cell r="I1917">
            <v>0</v>
          </cell>
          <cell r="J1917">
            <v>0</v>
          </cell>
        </row>
        <row r="1918">
          <cell r="B1918" t="str">
            <v>5.1.01.03.11</v>
          </cell>
          <cell r="C1918" t="str">
            <v>Belanja Tambahan Penghasilan (Tamsil) Guru PPPK</v>
          </cell>
          <cell r="D1918">
            <v>321250000</v>
          </cell>
          <cell r="F1918">
            <v>0</v>
          </cell>
          <cell r="G1918">
            <v>0</v>
          </cell>
          <cell r="H1918">
            <v>0</v>
          </cell>
          <cell r="I1918">
            <v>0</v>
          </cell>
          <cell r="J1918">
            <v>0</v>
          </cell>
        </row>
        <row r="1919">
          <cell r="B1919" t="str">
            <v>5.1.01.03.12</v>
          </cell>
          <cell r="C1919" t="str">
            <v>Belanja Tunjangan Khusus bagi Penyelenggara Pelayanan Terpadu Satu Pintu (PTSP) Daerah</v>
          </cell>
          <cell r="F1919">
            <v>0</v>
          </cell>
          <cell r="G1919">
            <v>0</v>
          </cell>
          <cell r="H1919">
            <v>0</v>
          </cell>
          <cell r="I1919">
            <v>0</v>
          </cell>
          <cell r="J1919">
            <v>0</v>
          </cell>
        </row>
        <row r="1920">
          <cell r="B1920" t="str">
            <v>5.1.01.04</v>
          </cell>
          <cell r="C1920" t="str">
            <v>Belanja Gaji dan Tunjangan DPRD</v>
          </cell>
          <cell r="D1920">
            <v>20764023279</v>
          </cell>
          <cell r="E1920">
            <v>21546930724</v>
          </cell>
          <cell r="J1920">
            <v>21546930724</v>
          </cell>
        </row>
        <row r="1921">
          <cell r="B1921" t="str">
            <v>5.1.01.04.01</v>
          </cell>
          <cell r="C1921" t="str">
            <v>Belanja Uang Representasi DPRD</v>
          </cell>
          <cell r="D1921">
            <v>1002330000</v>
          </cell>
          <cell r="E1921">
            <v>1004010000</v>
          </cell>
          <cell r="F1921">
            <v>0</v>
          </cell>
          <cell r="G1921">
            <v>0</v>
          </cell>
          <cell r="H1921">
            <v>0</v>
          </cell>
          <cell r="I1921">
            <v>0</v>
          </cell>
          <cell r="J1921">
            <v>1004010000</v>
          </cell>
        </row>
        <row r="1922">
          <cell r="B1922" t="str">
            <v>5.1.01.04.02</v>
          </cell>
          <cell r="C1922" t="str">
            <v>Belanja Tunjangan Keluarga DPRD</v>
          </cell>
          <cell r="D1922">
            <v>102220020</v>
          </cell>
          <cell r="E1922">
            <v>96579000</v>
          </cell>
          <cell r="F1922">
            <v>0</v>
          </cell>
          <cell r="G1922">
            <v>0</v>
          </cell>
          <cell r="H1922">
            <v>0</v>
          </cell>
          <cell r="I1922">
            <v>0</v>
          </cell>
          <cell r="J1922">
            <v>96579000</v>
          </cell>
        </row>
        <row r="1923">
          <cell r="B1923" t="str">
            <v>5.1.01.04.03</v>
          </cell>
          <cell r="C1923" t="str">
            <v>Belanja Tunjangan Beras DPRD</v>
          </cell>
          <cell r="D1923">
            <v>76882680</v>
          </cell>
          <cell r="E1923">
            <v>79626960</v>
          </cell>
          <cell r="F1923">
            <v>0</v>
          </cell>
          <cell r="G1923">
            <v>0</v>
          </cell>
          <cell r="H1923">
            <v>0</v>
          </cell>
          <cell r="I1923">
            <v>0</v>
          </cell>
          <cell r="J1923">
            <v>79626960</v>
          </cell>
        </row>
        <row r="1924">
          <cell r="B1924" t="str">
            <v>5.1.01.04.04</v>
          </cell>
          <cell r="C1924" t="str">
            <v>Belanja Uang Paket DPRD</v>
          </cell>
          <cell r="D1924">
            <v>100264500</v>
          </cell>
          <cell r="E1924">
            <v>100401000</v>
          </cell>
          <cell r="F1924">
            <v>0</v>
          </cell>
          <cell r="G1924">
            <v>0</v>
          </cell>
          <cell r="H1924">
            <v>0</v>
          </cell>
          <cell r="I1924">
            <v>0</v>
          </cell>
          <cell r="J1924">
            <v>100401000</v>
          </cell>
        </row>
        <row r="1925">
          <cell r="B1925" t="str">
            <v>5.1.01.04.05</v>
          </cell>
          <cell r="C1925" t="str">
            <v>Belanja Tunjangan Jabatan DPRD</v>
          </cell>
          <cell r="D1925">
            <v>1453378500</v>
          </cell>
          <cell r="E1925">
            <v>1455814500</v>
          </cell>
          <cell r="F1925">
            <v>0</v>
          </cell>
          <cell r="G1925">
            <v>0</v>
          </cell>
          <cell r="H1925">
            <v>0</v>
          </cell>
          <cell r="I1925">
            <v>0</v>
          </cell>
          <cell r="J1925">
            <v>1455814500</v>
          </cell>
        </row>
        <row r="1926">
          <cell r="B1926" t="str">
            <v>5.1.01.04.06</v>
          </cell>
          <cell r="C1926" t="str">
            <v>Belanja Tunjangan Alat Kelengkapan DPRD</v>
          </cell>
          <cell r="D1926">
            <v>0</v>
          </cell>
          <cell r="E1926">
            <v>0</v>
          </cell>
          <cell r="F1926">
            <v>0</v>
          </cell>
          <cell r="G1926">
            <v>0</v>
          </cell>
          <cell r="H1926">
            <v>0</v>
          </cell>
          <cell r="I1926">
            <v>0</v>
          </cell>
          <cell r="J1926">
            <v>0</v>
          </cell>
        </row>
        <row r="1927">
          <cell r="B1927" t="str">
            <v>5.1.01.04.07</v>
          </cell>
          <cell r="C1927" t="str">
            <v>Belanja Tunjangan Alat Kelengkapan Lainnya DPRD</v>
          </cell>
          <cell r="D1927">
            <v>113989575</v>
          </cell>
          <cell r="E1927">
            <v>136294200</v>
          </cell>
          <cell r="F1927">
            <v>0</v>
          </cell>
          <cell r="G1927">
            <v>0</v>
          </cell>
          <cell r="H1927">
            <v>0</v>
          </cell>
          <cell r="I1927">
            <v>0</v>
          </cell>
          <cell r="J1927">
            <v>136294200</v>
          </cell>
        </row>
        <row r="1928">
          <cell r="B1928" t="str">
            <v>5.1.01.04.08</v>
          </cell>
          <cell r="C1928" t="str">
            <v>Belanja Tunjangan Komunikasi Intensif Pimpinan dan Anggota DPRD</v>
          </cell>
          <cell r="D1928">
            <v>5103000000</v>
          </cell>
          <cell r="E1928">
            <v>5433750000</v>
          </cell>
          <cell r="F1928">
            <v>0</v>
          </cell>
          <cell r="G1928">
            <v>0</v>
          </cell>
          <cell r="H1928">
            <v>0</v>
          </cell>
          <cell r="I1928">
            <v>0</v>
          </cell>
          <cell r="J1928">
            <v>5433750000</v>
          </cell>
        </row>
        <row r="1929">
          <cell r="B1929" t="str">
            <v>5.1.01.04.09</v>
          </cell>
          <cell r="C1929" t="str">
            <v>Belanja Tunjangan Reses DPRD</v>
          </cell>
          <cell r="D1929">
            <v>1275750000</v>
          </cell>
          <cell r="E1929">
            <v>1275750000</v>
          </cell>
          <cell r="F1929">
            <v>0</v>
          </cell>
          <cell r="G1929">
            <v>0</v>
          </cell>
          <cell r="H1929">
            <v>0</v>
          </cell>
          <cell r="I1929">
            <v>0</v>
          </cell>
          <cell r="J1929">
            <v>1275750000</v>
          </cell>
        </row>
        <row r="1930">
          <cell r="B1930" t="str">
            <v>5.1.01.04.10</v>
          </cell>
          <cell r="C1930" t="str">
            <v>Belanja Pembebanan PPh kepada Pimpinan dan Anggota DPRD</v>
          </cell>
          <cell r="D1930">
            <v>174685978</v>
          </cell>
          <cell r="E1930">
            <v>135131976</v>
          </cell>
          <cell r="F1930">
            <v>0</v>
          </cell>
          <cell r="G1930">
            <v>0</v>
          </cell>
          <cell r="H1930">
            <v>0</v>
          </cell>
          <cell r="I1930">
            <v>0</v>
          </cell>
          <cell r="J1930">
            <v>135131976</v>
          </cell>
        </row>
        <row r="1931">
          <cell r="B1931" t="str">
            <v>5.1.01.04.11</v>
          </cell>
          <cell r="C1931" t="str">
            <v>Belanja Pembulatan Gaji DPRD</v>
          </cell>
          <cell r="D1931">
            <v>0</v>
          </cell>
          <cell r="E1931">
            <v>0</v>
          </cell>
          <cell r="F1931">
            <v>0</v>
          </cell>
          <cell r="G1931">
            <v>0</v>
          </cell>
          <cell r="H1931">
            <v>0</v>
          </cell>
          <cell r="I1931">
            <v>0</v>
          </cell>
          <cell r="J1931">
            <v>0</v>
          </cell>
        </row>
        <row r="1932">
          <cell r="B1932" t="str">
            <v>5.1.01.04.12</v>
          </cell>
          <cell r="C1932" t="str">
            <v>Belanja Tunjangan Kesejahteraan Pimpinan dan Anggota DPRD</v>
          </cell>
          <cell r="D1932">
            <v>6048557026</v>
          </cell>
          <cell r="E1932">
            <v>5941573088</v>
          </cell>
          <cell r="F1932">
            <v>0</v>
          </cell>
          <cell r="G1932">
            <v>0</v>
          </cell>
          <cell r="H1932">
            <v>0</v>
          </cell>
          <cell r="I1932">
            <v>0</v>
          </cell>
          <cell r="J1932">
            <v>5941573088</v>
          </cell>
        </row>
        <row r="1933">
          <cell r="B1933" t="str">
            <v>5.1.01.04.13</v>
          </cell>
          <cell r="C1933" t="str">
            <v>Belanja Tunjangan Transportasi DPRD</v>
          </cell>
          <cell r="D1933">
            <v>4900000000</v>
          </cell>
          <cell r="E1933">
            <v>5888000000</v>
          </cell>
          <cell r="F1933">
            <v>0</v>
          </cell>
          <cell r="G1933">
            <v>0</v>
          </cell>
          <cell r="H1933">
            <v>0</v>
          </cell>
          <cell r="I1933">
            <v>0</v>
          </cell>
          <cell r="J1933">
            <v>5888000000</v>
          </cell>
        </row>
        <row r="1934">
          <cell r="B1934" t="str">
            <v>5.1.01.04.14</v>
          </cell>
          <cell r="C1934" t="str">
            <v>Belanja Uang Jasa Pengabdian DPRD</v>
          </cell>
          <cell r="D1934">
            <v>412965000</v>
          </cell>
          <cell r="F1934">
            <v>0</v>
          </cell>
          <cell r="G1934">
            <v>0</v>
          </cell>
          <cell r="H1934">
            <v>0</v>
          </cell>
          <cell r="I1934">
            <v>0</v>
          </cell>
          <cell r="J1934">
            <v>0</v>
          </cell>
        </row>
        <row r="1935">
          <cell r="B1935" t="str">
            <v>5.1.01.05</v>
          </cell>
          <cell r="C1935" t="str">
            <v>Belanja Gaji dan Tunjangan KDH/WKDH</v>
          </cell>
          <cell r="D1935">
            <v>163186170</v>
          </cell>
          <cell r="E1935">
            <v>173575038</v>
          </cell>
          <cell r="J1935">
            <v>173575038</v>
          </cell>
        </row>
        <row r="1936">
          <cell r="B1936" t="str">
            <v>5.1.01.05.01</v>
          </cell>
          <cell r="C1936" t="str">
            <v>Belanja Gaji Pokok KDH/WKDH</v>
          </cell>
          <cell r="D1936">
            <v>54600000</v>
          </cell>
          <cell r="E1936">
            <v>54600000</v>
          </cell>
          <cell r="F1936">
            <v>0</v>
          </cell>
          <cell r="G1936">
            <v>0</v>
          </cell>
          <cell r="H1936">
            <v>0</v>
          </cell>
          <cell r="I1936">
            <v>0</v>
          </cell>
          <cell r="J1936">
            <v>54600000</v>
          </cell>
        </row>
        <row r="1937">
          <cell r="B1937" t="str">
            <v>5.1.01.05.02</v>
          </cell>
          <cell r="C1937" t="str">
            <v>Belanja Tunjangan Keluarga KDH/WKDH</v>
          </cell>
          <cell r="D1937">
            <v>3612000</v>
          </cell>
          <cell r="E1937">
            <v>6780000</v>
          </cell>
          <cell r="F1937">
            <v>0</v>
          </cell>
          <cell r="G1937">
            <v>0</v>
          </cell>
          <cell r="H1937">
            <v>0</v>
          </cell>
          <cell r="I1937">
            <v>0</v>
          </cell>
          <cell r="J1937">
            <v>6780000</v>
          </cell>
        </row>
        <row r="1938">
          <cell r="B1938" t="str">
            <v>5.1.01.05.03</v>
          </cell>
          <cell r="C1938" t="str">
            <v>Belanja Tunjangan Jabatan KDH/WKDH</v>
          </cell>
          <cell r="D1938">
            <v>98280000</v>
          </cell>
          <cell r="E1938">
            <v>98280000</v>
          </cell>
          <cell r="F1938">
            <v>0</v>
          </cell>
          <cell r="G1938">
            <v>0</v>
          </cell>
          <cell r="H1938">
            <v>0</v>
          </cell>
          <cell r="I1938">
            <v>0</v>
          </cell>
          <cell r="J1938">
            <v>98280000</v>
          </cell>
        </row>
        <row r="1939">
          <cell r="B1939" t="str">
            <v>5.1.01.05.04</v>
          </cell>
          <cell r="C1939" t="str">
            <v>Belanja Tunjangan Beras KDH/WKDH</v>
          </cell>
          <cell r="D1939">
            <v>5069400</v>
          </cell>
          <cell r="E1939">
            <v>7459260</v>
          </cell>
          <cell r="F1939">
            <v>0</v>
          </cell>
          <cell r="G1939">
            <v>0</v>
          </cell>
          <cell r="H1939">
            <v>0</v>
          </cell>
          <cell r="I1939">
            <v>0</v>
          </cell>
          <cell r="J1939">
            <v>7459260</v>
          </cell>
        </row>
        <row r="1940">
          <cell r="B1940" t="str">
            <v>5.1.01.05.05</v>
          </cell>
          <cell r="C1940" t="str">
            <v>Belanja Tunjangan PPh/Tunjangan Khusus KDH/WKDH</v>
          </cell>
          <cell r="D1940">
            <v>654010</v>
          </cell>
          <cell r="E1940">
            <v>524678</v>
          </cell>
          <cell r="F1940">
            <v>0</v>
          </cell>
          <cell r="G1940">
            <v>0</v>
          </cell>
          <cell r="H1940">
            <v>0</v>
          </cell>
          <cell r="I1940">
            <v>0</v>
          </cell>
          <cell r="J1940">
            <v>524678</v>
          </cell>
        </row>
        <row r="1941">
          <cell r="B1941" t="str">
            <v>5.1.01.05.06</v>
          </cell>
          <cell r="C1941" t="str">
            <v>Belanja Pembulatan Gaji KDH/WKDH</v>
          </cell>
          <cell r="D1941">
            <v>1640</v>
          </cell>
          <cell r="E1941">
            <v>1180</v>
          </cell>
          <cell r="F1941">
            <v>0</v>
          </cell>
          <cell r="G1941">
            <v>0</v>
          </cell>
          <cell r="H1941">
            <v>0</v>
          </cell>
          <cell r="I1941">
            <v>0</v>
          </cell>
          <cell r="J1941">
            <v>1180</v>
          </cell>
        </row>
        <row r="1942">
          <cell r="B1942" t="str">
            <v>5.1.01.05.07</v>
          </cell>
          <cell r="C1942" t="str">
            <v>Belanja Iuran Jaminan Kesehatan bagi KDH/WKDH</v>
          </cell>
          <cell r="D1942">
            <v>894240</v>
          </cell>
          <cell r="E1942">
            <v>5480640</v>
          </cell>
          <cell r="F1942">
            <v>0</v>
          </cell>
          <cell r="G1942">
            <v>0</v>
          </cell>
          <cell r="H1942">
            <v>0</v>
          </cell>
          <cell r="I1942">
            <v>0</v>
          </cell>
          <cell r="J1942">
            <v>5480640</v>
          </cell>
        </row>
        <row r="1943">
          <cell r="B1943" t="str">
            <v>5.1.01.05.08</v>
          </cell>
          <cell r="C1943" t="str">
            <v>Belanja Iuran Jaminan Kecelakaan Kerja KDH/WKDH</v>
          </cell>
          <cell r="D1943">
            <v>18720</v>
          </cell>
          <cell r="E1943">
            <v>112320</v>
          </cell>
          <cell r="F1943">
            <v>0</v>
          </cell>
          <cell r="G1943">
            <v>0</v>
          </cell>
          <cell r="H1943">
            <v>0</v>
          </cell>
          <cell r="I1943">
            <v>0</v>
          </cell>
          <cell r="J1943">
            <v>112320</v>
          </cell>
        </row>
        <row r="1944">
          <cell r="B1944" t="str">
            <v>5.1.01.05.09</v>
          </cell>
          <cell r="C1944" t="str">
            <v>Belanja Iuran Jaminan Kematian KDH/WKDH</v>
          </cell>
          <cell r="D1944">
            <v>56160</v>
          </cell>
          <cell r="E1944">
            <v>336960</v>
          </cell>
          <cell r="F1944">
            <v>0</v>
          </cell>
          <cell r="G1944">
            <v>0</v>
          </cell>
          <cell r="H1944">
            <v>0</v>
          </cell>
          <cell r="I1944">
            <v>0</v>
          </cell>
          <cell r="J1944">
            <v>336960</v>
          </cell>
        </row>
        <row r="1945">
          <cell r="B1945" t="str">
            <v>5.1.01.05.10</v>
          </cell>
          <cell r="C1945" t="str">
            <v>Belanja Insentif bagi KDH/WKDH atas Pemungutan Pajak Daerah</v>
          </cell>
          <cell r="F1945">
            <v>0</v>
          </cell>
          <cell r="G1945">
            <v>0</v>
          </cell>
          <cell r="H1945">
            <v>0</v>
          </cell>
          <cell r="I1945">
            <v>0</v>
          </cell>
          <cell r="J1945">
            <v>0</v>
          </cell>
        </row>
        <row r="1946">
          <cell r="B1946" t="str">
            <v>5.1.01.05.11</v>
          </cell>
          <cell r="C1946" t="str">
            <v>Belanja Insentif bagi KDH/WKDH atas Pemungutan Retribusi Daerah bagi KDH/WKDH</v>
          </cell>
          <cell r="F1946">
            <v>0</v>
          </cell>
          <cell r="G1946">
            <v>0</v>
          </cell>
          <cell r="H1946">
            <v>0</v>
          </cell>
          <cell r="I1946">
            <v>0</v>
          </cell>
          <cell r="J1946">
            <v>0</v>
          </cell>
        </row>
        <row r="1947">
          <cell r="B1947" t="str">
            <v>5.1.01.05.12</v>
          </cell>
          <cell r="C1947" t="str">
            <v>Belanja Jasa Pengelolaan BMD bagi KDH</v>
          </cell>
          <cell r="F1947">
            <v>0</v>
          </cell>
          <cell r="G1947">
            <v>0</v>
          </cell>
          <cell r="H1947">
            <v>0</v>
          </cell>
          <cell r="I1947">
            <v>0</v>
          </cell>
          <cell r="J1947">
            <v>0</v>
          </cell>
        </row>
        <row r="1948">
          <cell r="B1948" t="str">
            <v>5.1.01.06</v>
          </cell>
          <cell r="C1948" t="str">
            <v>Belanja Penerimaan Lainnya Pimpinan DPRD serta KDH/WKDH</v>
          </cell>
          <cell r="D1948">
            <v>710000000</v>
          </cell>
          <cell r="E1948">
            <v>752000000</v>
          </cell>
          <cell r="J1948">
            <v>752000000</v>
          </cell>
        </row>
        <row r="1949">
          <cell r="B1949" t="str">
            <v>5.1.01.06.01</v>
          </cell>
          <cell r="C1949" t="str">
            <v>Belanja Dana Operasional Pimpinan DPRD</v>
          </cell>
          <cell r="D1949">
            <v>210000000</v>
          </cell>
          <cell r="E1949">
            <v>252000000</v>
          </cell>
          <cell r="F1949">
            <v>0</v>
          </cell>
          <cell r="G1949">
            <v>0</v>
          </cell>
          <cell r="H1949">
            <v>0</v>
          </cell>
          <cell r="I1949">
            <v>0</v>
          </cell>
          <cell r="J1949">
            <v>252000000</v>
          </cell>
        </row>
        <row r="1950">
          <cell r="B1950" t="str">
            <v>5.1.01.06.02</v>
          </cell>
          <cell r="C1950" t="str">
            <v>Belanja Dana Operasional KDH/WKDH</v>
          </cell>
          <cell r="D1950">
            <v>500000000</v>
          </cell>
          <cell r="E1950">
            <v>500000000</v>
          </cell>
          <cell r="F1950">
            <v>0</v>
          </cell>
          <cell r="G1950">
            <v>0</v>
          </cell>
          <cell r="H1950">
            <v>0</v>
          </cell>
          <cell r="I1950">
            <v>0</v>
          </cell>
          <cell r="J1950">
            <v>500000000</v>
          </cell>
        </row>
        <row r="1951">
          <cell r="B1951" t="str">
            <v>5.1.01.07</v>
          </cell>
          <cell r="C1951" t="str">
            <v>Belanja Gaji dan Tunjangan MRP</v>
          </cell>
          <cell r="D1951">
            <v>0</v>
          </cell>
          <cell r="E1951">
            <v>0</v>
          </cell>
          <cell r="J1951">
            <v>0</v>
          </cell>
        </row>
        <row r="1952">
          <cell r="B1952" t="str">
            <v>5.1.01.07.01</v>
          </cell>
          <cell r="C1952" t="str">
            <v>Belanja Uang Representasi MRP</v>
          </cell>
          <cell r="F1952">
            <v>0</v>
          </cell>
          <cell r="G1952">
            <v>0</v>
          </cell>
          <cell r="H1952">
            <v>0</v>
          </cell>
          <cell r="I1952">
            <v>0</v>
          </cell>
          <cell r="J1952">
            <v>0</v>
          </cell>
        </row>
        <row r="1953">
          <cell r="B1953" t="str">
            <v>5.1.01.07.02</v>
          </cell>
          <cell r="C1953" t="str">
            <v>Belanja Tunjangan Keluarga MRP</v>
          </cell>
          <cell r="F1953">
            <v>0</v>
          </cell>
          <cell r="G1953">
            <v>0</v>
          </cell>
          <cell r="H1953">
            <v>0</v>
          </cell>
          <cell r="I1953">
            <v>0</v>
          </cell>
          <cell r="J1953">
            <v>0</v>
          </cell>
        </row>
        <row r="1954">
          <cell r="B1954" t="str">
            <v>5.1.01.07.03</v>
          </cell>
          <cell r="C1954" t="str">
            <v>Belanja Tunjangan Beras MRP</v>
          </cell>
          <cell r="F1954">
            <v>0</v>
          </cell>
          <cell r="G1954">
            <v>0</v>
          </cell>
          <cell r="H1954">
            <v>0</v>
          </cell>
          <cell r="I1954">
            <v>0</v>
          </cell>
          <cell r="J1954">
            <v>0</v>
          </cell>
        </row>
        <row r="1955">
          <cell r="B1955" t="str">
            <v>5.1.01.07.04</v>
          </cell>
          <cell r="C1955" t="str">
            <v>Belanja Uang Paket MRP</v>
          </cell>
          <cell r="F1955">
            <v>0</v>
          </cell>
          <cell r="G1955">
            <v>0</v>
          </cell>
          <cell r="H1955">
            <v>0</v>
          </cell>
          <cell r="I1955">
            <v>0</v>
          </cell>
          <cell r="J1955">
            <v>0</v>
          </cell>
        </row>
        <row r="1956">
          <cell r="B1956" t="str">
            <v>5.1.01.07.05</v>
          </cell>
          <cell r="C1956" t="str">
            <v>Belanja Tunjangan Jabatan MRP</v>
          </cell>
          <cell r="F1956">
            <v>0</v>
          </cell>
          <cell r="G1956">
            <v>0</v>
          </cell>
          <cell r="H1956">
            <v>0</v>
          </cell>
          <cell r="I1956">
            <v>0</v>
          </cell>
          <cell r="J1956">
            <v>0</v>
          </cell>
        </row>
        <row r="1957">
          <cell r="B1957" t="str">
            <v>5.1.01.07.06</v>
          </cell>
          <cell r="C1957" t="str">
            <v>Belanja Tunjangan Kelompok Kerja MRP</v>
          </cell>
          <cell r="F1957">
            <v>0</v>
          </cell>
          <cell r="G1957">
            <v>0</v>
          </cell>
          <cell r="H1957">
            <v>0</v>
          </cell>
          <cell r="I1957">
            <v>0</v>
          </cell>
          <cell r="J1957">
            <v>0</v>
          </cell>
        </row>
        <row r="1958">
          <cell r="B1958" t="str">
            <v>5.1.01.07.07</v>
          </cell>
          <cell r="C1958" t="str">
            <v>Belanja Uang Penghargaan MRP</v>
          </cell>
          <cell r="F1958">
            <v>0</v>
          </cell>
          <cell r="G1958">
            <v>0</v>
          </cell>
          <cell r="H1958">
            <v>0</v>
          </cell>
          <cell r="I1958">
            <v>0</v>
          </cell>
          <cell r="J1958">
            <v>0</v>
          </cell>
        </row>
        <row r="1959">
          <cell r="B1959" t="str">
            <v>5.1.01.07.08</v>
          </cell>
          <cell r="C1959" t="str">
            <v>Belanja Tunjangan Komunikasi Intensif MRP</v>
          </cell>
          <cell r="F1959">
            <v>0</v>
          </cell>
          <cell r="G1959">
            <v>0</v>
          </cell>
          <cell r="H1959">
            <v>0</v>
          </cell>
          <cell r="I1959">
            <v>0</v>
          </cell>
          <cell r="J1959">
            <v>0</v>
          </cell>
        </row>
        <row r="1960">
          <cell r="B1960" t="str">
            <v>5.1.01.07.09</v>
          </cell>
          <cell r="C1960" t="str">
            <v>Belanja Tunjangan Transportasi MRP</v>
          </cell>
          <cell r="F1960">
            <v>0</v>
          </cell>
          <cell r="G1960">
            <v>0</v>
          </cell>
          <cell r="H1960">
            <v>0</v>
          </cell>
          <cell r="I1960">
            <v>0</v>
          </cell>
          <cell r="J1960">
            <v>0</v>
          </cell>
        </row>
        <row r="1961">
          <cell r="B1961" t="str">
            <v>5.1.01.07.10</v>
          </cell>
          <cell r="C1961" t="str">
            <v>Belanja Pembebanan PPh kepada Pimpinan dan Anggota MRP</v>
          </cell>
          <cell r="F1961">
            <v>0</v>
          </cell>
          <cell r="G1961">
            <v>0</v>
          </cell>
          <cell r="H1961">
            <v>0</v>
          </cell>
          <cell r="I1961">
            <v>0</v>
          </cell>
          <cell r="J1961">
            <v>0</v>
          </cell>
        </row>
        <row r="1962">
          <cell r="B1962" t="str">
            <v>5.1.01.07.11</v>
          </cell>
          <cell r="C1962" t="str">
            <v>Belanja Pembulatan Gaji MRP</v>
          </cell>
          <cell r="F1962">
            <v>0</v>
          </cell>
          <cell r="G1962">
            <v>0</v>
          </cell>
          <cell r="H1962">
            <v>0</v>
          </cell>
          <cell r="I1962">
            <v>0</v>
          </cell>
          <cell r="J1962">
            <v>0</v>
          </cell>
        </row>
        <row r="1963">
          <cell r="B1963" t="str">
            <v>5.1.01.07.12</v>
          </cell>
          <cell r="C1963" t="str">
            <v>Belanja Tunjangan Kesejahteraan Pimpinan dan Anggota MRP</v>
          </cell>
          <cell r="F1963">
            <v>0</v>
          </cell>
          <cell r="G1963">
            <v>0</v>
          </cell>
          <cell r="H1963">
            <v>0</v>
          </cell>
          <cell r="I1963">
            <v>0</v>
          </cell>
          <cell r="J1963">
            <v>0</v>
          </cell>
        </row>
        <row r="1964">
          <cell r="B1964" t="str">
            <v>5.1.01.08</v>
          </cell>
          <cell r="C1964" t="str">
            <v>Belanja Gaji dan Tunjangan Perangkat Lembaga Wali Nanggroe</v>
          </cell>
          <cell r="D1964">
            <v>0</v>
          </cell>
          <cell r="E1964">
            <v>0</v>
          </cell>
          <cell r="J1964">
            <v>0</v>
          </cell>
        </row>
        <row r="1965">
          <cell r="B1965" t="str">
            <v>5.1.01.08.01</v>
          </cell>
          <cell r="C1965" t="str">
            <v>Belanja Gaji dan Tunjangan Wali Nanggroe</v>
          </cell>
          <cell r="F1965">
            <v>0</v>
          </cell>
          <cell r="G1965">
            <v>0</v>
          </cell>
          <cell r="H1965">
            <v>0</v>
          </cell>
          <cell r="I1965">
            <v>0</v>
          </cell>
          <cell r="J1965">
            <v>0</v>
          </cell>
        </row>
        <row r="1966">
          <cell r="B1966" t="str">
            <v>5.1.01.08.02</v>
          </cell>
          <cell r="C1966" t="str">
            <v>Belanja Gaji dan Tunjangan Waliyul Ahdi</v>
          </cell>
          <cell r="F1966">
            <v>0</v>
          </cell>
          <cell r="G1966">
            <v>0</v>
          </cell>
          <cell r="H1966">
            <v>0</v>
          </cell>
          <cell r="I1966">
            <v>0</v>
          </cell>
          <cell r="J1966">
            <v>0</v>
          </cell>
        </row>
        <row r="1967">
          <cell r="B1967" t="str">
            <v>5.1.01.08.03</v>
          </cell>
          <cell r="C1967" t="str">
            <v>Belanja Gaji dan Tunjangan Majelis Tinggi</v>
          </cell>
          <cell r="F1967">
            <v>0</v>
          </cell>
          <cell r="G1967">
            <v>0</v>
          </cell>
          <cell r="H1967">
            <v>0</v>
          </cell>
          <cell r="I1967">
            <v>0</v>
          </cell>
          <cell r="J1967">
            <v>0</v>
          </cell>
        </row>
        <row r="1968">
          <cell r="B1968" t="str">
            <v>5.1.01.08.04</v>
          </cell>
          <cell r="C1968" t="str">
            <v>Belanja Gaji dan Tunjangan Majelis Fungsional</v>
          </cell>
          <cell r="F1968">
            <v>0</v>
          </cell>
          <cell r="G1968">
            <v>0</v>
          </cell>
          <cell r="H1968">
            <v>0</v>
          </cell>
          <cell r="I1968">
            <v>0</v>
          </cell>
          <cell r="J1968">
            <v>0</v>
          </cell>
        </row>
        <row r="1969">
          <cell r="B1969" t="str">
            <v>5.1.01.88</v>
          </cell>
          <cell r="C1969" t="str">
            <v>Belanja Pegawai BOS</v>
          </cell>
          <cell r="D1969">
            <v>0</v>
          </cell>
          <cell r="E1969">
            <v>0</v>
          </cell>
          <cell r="J1969">
            <v>0</v>
          </cell>
        </row>
        <row r="1970">
          <cell r="B1970" t="str">
            <v>5.1.01.88.88</v>
          </cell>
          <cell r="C1970" t="str">
            <v>Belanja Pegawai BOS</v>
          </cell>
          <cell r="F1970">
            <v>0</v>
          </cell>
          <cell r="G1970">
            <v>0</v>
          </cell>
          <cell r="H1970">
            <v>0</v>
          </cell>
          <cell r="I1970">
            <v>0</v>
          </cell>
          <cell r="J1970">
            <v>0</v>
          </cell>
        </row>
        <row r="1971">
          <cell r="B1971" t="str">
            <v>5.1.01.89</v>
          </cell>
          <cell r="C1971" t="str">
            <v>Belanja Pegawai BOSP</v>
          </cell>
          <cell r="D1971">
            <v>0</v>
          </cell>
          <cell r="E1971">
            <v>0</v>
          </cell>
          <cell r="J1971">
            <v>0</v>
          </cell>
        </row>
        <row r="1972">
          <cell r="B1972" t="str">
            <v>5.1.01.89.01</v>
          </cell>
          <cell r="C1972" t="str">
            <v>Belanja Pegawai BOSP-BOS</v>
          </cell>
          <cell r="F1972">
            <v>0</v>
          </cell>
          <cell r="G1972">
            <v>0</v>
          </cell>
          <cell r="H1972">
            <v>0</v>
          </cell>
          <cell r="I1972">
            <v>0</v>
          </cell>
          <cell r="J1972">
            <v>0</v>
          </cell>
        </row>
        <row r="1973">
          <cell r="B1973" t="str">
            <v>5.1.01.89.02</v>
          </cell>
          <cell r="C1973" t="str">
            <v>Belanja Pegawai BOSP-BOP PAUD</v>
          </cell>
          <cell r="F1973">
            <v>0</v>
          </cell>
          <cell r="G1973">
            <v>0</v>
          </cell>
          <cell r="H1973">
            <v>0</v>
          </cell>
          <cell r="I1973">
            <v>0</v>
          </cell>
          <cell r="J1973">
            <v>0</v>
          </cell>
        </row>
        <row r="1974">
          <cell r="B1974" t="str">
            <v>5.1.01.89.03</v>
          </cell>
          <cell r="C1974" t="str">
            <v>Belanja Pegawai BOSP-BOP Kesetaraan</v>
          </cell>
          <cell r="F1974">
            <v>0</v>
          </cell>
          <cell r="G1974">
            <v>0</v>
          </cell>
          <cell r="H1974">
            <v>0</v>
          </cell>
          <cell r="I1974">
            <v>0</v>
          </cell>
          <cell r="J1974">
            <v>0</v>
          </cell>
        </row>
        <row r="1975">
          <cell r="B1975" t="str">
            <v>5.1.01.99</v>
          </cell>
          <cell r="C1975" t="str">
            <v>Belanja Pegawai BLUD</v>
          </cell>
          <cell r="D1975">
            <v>61581171945.100006</v>
          </cell>
          <cell r="E1975">
            <v>64652663970.800003</v>
          </cell>
          <cell r="J1975">
            <v>64652663970.800003</v>
          </cell>
        </row>
        <row r="1976">
          <cell r="B1976" t="str">
            <v>5.1.01.99.99</v>
          </cell>
          <cell r="C1976" t="str">
            <v>Belanja Pegawai BLUD</v>
          </cell>
          <cell r="D1976">
            <v>61581171945.100006</v>
          </cell>
          <cell r="E1976">
            <v>64652663970.800003</v>
          </cell>
          <cell r="F1976">
            <v>0</v>
          </cell>
          <cell r="G1976">
            <v>0</v>
          </cell>
          <cell r="H1976">
            <v>0</v>
          </cell>
          <cell r="I1976">
            <v>0</v>
          </cell>
          <cell r="J1976">
            <v>64652663970.800003</v>
          </cell>
        </row>
        <row r="1978">
          <cell r="B1978" t="str">
            <v>5.1.02</v>
          </cell>
          <cell r="C1978" t="str">
            <v>Belanja Barang dan Jasa</v>
          </cell>
          <cell r="D1978">
            <v>543166017911.81995</v>
          </cell>
          <cell r="E1978">
            <v>488733255543.19</v>
          </cell>
          <cell r="J1978">
            <v>488796577286.94</v>
          </cell>
        </row>
        <row r="1979">
          <cell r="B1979" t="str">
            <v>5.1.02.01</v>
          </cell>
          <cell r="C1979" t="str">
            <v>Belanja Barang</v>
          </cell>
          <cell r="D1979">
            <v>198139586710</v>
          </cell>
          <cell r="E1979">
            <v>171920873375</v>
          </cell>
          <cell r="J1979">
            <v>171920873375</v>
          </cell>
        </row>
        <row r="1980">
          <cell r="B1980" t="str">
            <v>5.1.02.01.01</v>
          </cell>
          <cell r="C1980" t="str">
            <v>Belanja Barang Pakai Habis</v>
          </cell>
          <cell r="D1980">
            <v>196690014451</v>
          </cell>
          <cell r="E1980">
            <v>171878280375</v>
          </cell>
          <cell r="F1980">
            <v>0</v>
          </cell>
          <cell r="G1980">
            <v>0</v>
          </cell>
          <cell r="H1980">
            <v>0</v>
          </cell>
          <cell r="I1980">
            <v>0</v>
          </cell>
          <cell r="J1980">
            <v>171878280375</v>
          </cell>
        </row>
        <row r="1981">
          <cell r="B1981" t="str">
            <v>5.1.02.01.02</v>
          </cell>
          <cell r="C1981" t="str">
            <v>Belanja Barang Tak Habis Pakai</v>
          </cell>
          <cell r="E1981">
            <v>378000</v>
          </cell>
          <cell r="F1981">
            <v>0</v>
          </cell>
          <cell r="G1981">
            <v>0</v>
          </cell>
          <cell r="H1981">
            <v>0</v>
          </cell>
          <cell r="I1981">
            <v>0</v>
          </cell>
          <cell r="J1981">
            <v>378000</v>
          </cell>
        </row>
        <row r="1982">
          <cell r="B1982" t="str">
            <v>5.1.02.01.03</v>
          </cell>
          <cell r="C1982" t="str">
            <v>Belanja Barang Bekas Dipakai</v>
          </cell>
          <cell r="F1982">
            <v>0</v>
          </cell>
          <cell r="G1982">
            <v>0</v>
          </cell>
          <cell r="H1982">
            <v>0</v>
          </cell>
          <cell r="I1982">
            <v>0</v>
          </cell>
          <cell r="J1982">
            <v>0</v>
          </cell>
        </row>
        <row r="1983">
          <cell r="B1983" t="str">
            <v>5.1.02.01.04</v>
          </cell>
          <cell r="C1983" t="str">
            <v>Belanja Aset Tetap yang Tidak Memenuhi Kriteria Kapitalisasi</v>
          </cell>
          <cell r="D1983">
            <v>1449572259</v>
          </cell>
          <cell r="E1983">
            <v>42215000</v>
          </cell>
          <cell r="F1983">
            <v>0</v>
          </cell>
          <cell r="G1983">
            <v>0</v>
          </cell>
          <cell r="H1983">
            <v>0</v>
          </cell>
          <cell r="I1983">
            <v>0</v>
          </cell>
          <cell r="J1983">
            <v>42215000</v>
          </cell>
        </row>
        <row r="1984">
          <cell r="B1984" t="str">
            <v>5.1.02.02</v>
          </cell>
          <cell r="C1984" t="str">
            <v>Belanja Jasa</v>
          </cell>
          <cell r="D1984">
            <v>154644296182</v>
          </cell>
          <cell r="E1984">
            <v>153647517860.79999</v>
          </cell>
          <cell r="J1984">
            <v>153647517860.79999</v>
          </cell>
        </row>
        <row r="1985">
          <cell r="B1985" t="str">
            <v>5.1.02.02.01</v>
          </cell>
          <cell r="C1985" t="str">
            <v>Belanja Jasa Kantor</v>
          </cell>
          <cell r="D1985">
            <v>84756757853</v>
          </cell>
          <cell r="E1985">
            <v>78334056922.800003</v>
          </cell>
          <cell r="F1985">
            <v>0</v>
          </cell>
          <cell r="G1985">
            <v>0</v>
          </cell>
          <cell r="H1985">
            <v>0</v>
          </cell>
          <cell r="I1985">
            <v>0</v>
          </cell>
          <cell r="J1985">
            <v>78334056922.800003</v>
          </cell>
        </row>
        <row r="1986">
          <cell r="B1986" t="str">
            <v>5.1.02.02.02</v>
          </cell>
          <cell r="C1986" t="str">
            <v>Belanja Iuran Jaminan/Asuransi</v>
          </cell>
          <cell r="D1986">
            <v>44897490102</v>
          </cell>
          <cell r="E1986">
            <v>53468314028</v>
          </cell>
          <cell r="F1986">
            <v>0</v>
          </cell>
          <cell r="G1986">
            <v>0</v>
          </cell>
          <cell r="H1986">
            <v>0</v>
          </cell>
          <cell r="I1986">
            <v>0</v>
          </cell>
          <cell r="J1986">
            <v>53468314028</v>
          </cell>
        </row>
        <row r="1987">
          <cell r="B1987" t="str">
            <v>5.1.02.02.03</v>
          </cell>
          <cell r="C1987" t="str">
            <v>Belanja Sewa Tanah</v>
          </cell>
          <cell r="F1987">
            <v>0</v>
          </cell>
          <cell r="G1987">
            <v>0</v>
          </cell>
          <cell r="H1987">
            <v>0</v>
          </cell>
          <cell r="I1987">
            <v>0</v>
          </cell>
          <cell r="J1987">
            <v>0</v>
          </cell>
        </row>
        <row r="1988">
          <cell r="B1988" t="str">
            <v>5.1.02.02.04</v>
          </cell>
          <cell r="C1988" t="str">
            <v>Belanja Sewa Peralatan dan Mesin</v>
          </cell>
          <cell r="D1988">
            <v>3227410100</v>
          </cell>
          <cell r="E1988">
            <v>2958855900</v>
          </cell>
          <cell r="F1988">
            <v>0</v>
          </cell>
          <cell r="G1988">
            <v>0</v>
          </cell>
          <cell r="H1988">
            <v>0</v>
          </cell>
          <cell r="I1988">
            <v>0</v>
          </cell>
          <cell r="J1988">
            <v>2958855900</v>
          </cell>
        </row>
        <row r="1989">
          <cell r="B1989" t="str">
            <v>5.1.02.02.05</v>
          </cell>
          <cell r="C1989" t="str">
            <v>Belanja Sewa Gedung dan Bangunan</v>
          </cell>
          <cell r="D1989">
            <v>922945000</v>
          </cell>
          <cell r="E1989">
            <v>668266000</v>
          </cell>
          <cell r="F1989">
            <v>0</v>
          </cell>
          <cell r="G1989">
            <v>0</v>
          </cell>
          <cell r="H1989">
            <v>0</v>
          </cell>
          <cell r="I1989">
            <v>0</v>
          </cell>
          <cell r="J1989">
            <v>668266000</v>
          </cell>
        </row>
        <row r="1990">
          <cell r="B1990" t="str">
            <v>5.1.02.02.06</v>
          </cell>
          <cell r="C1990" t="str">
            <v>Belanja Sewa Jalan, Jaringan dan Irigasi</v>
          </cell>
          <cell r="F1990">
            <v>0</v>
          </cell>
          <cell r="G1990">
            <v>0</v>
          </cell>
          <cell r="H1990">
            <v>0</v>
          </cell>
          <cell r="I1990">
            <v>0</v>
          </cell>
          <cell r="J1990">
            <v>0</v>
          </cell>
        </row>
        <row r="1991">
          <cell r="B1991" t="str">
            <v>5.1.02.02.07</v>
          </cell>
          <cell r="C1991" t="str">
            <v>Belanja Sewa Aset Tetap Lainnya</v>
          </cell>
          <cell r="D1991">
            <v>30000000</v>
          </cell>
          <cell r="E1991">
            <v>0</v>
          </cell>
          <cell r="F1991">
            <v>0</v>
          </cell>
          <cell r="G1991">
            <v>0</v>
          </cell>
          <cell r="H1991">
            <v>0</v>
          </cell>
          <cell r="I1991">
            <v>0</v>
          </cell>
          <cell r="J1991">
            <v>0</v>
          </cell>
        </row>
        <row r="1992">
          <cell r="B1992" t="str">
            <v>5.1.02.02.08</v>
          </cell>
          <cell r="C1992" t="str">
            <v>Belanja Jasa Konsultansi Konstruksi</v>
          </cell>
          <cell r="D1992">
            <v>5601864200</v>
          </cell>
          <cell r="E1992">
            <v>5870371397</v>
          </cell>
          <cell r="F1992">
            <v>0</v>
          </cell>
          <cell r="G1992">
            <v>0</v>
          </cell>
          <cell r="H1992">
            <v>0</v>
          </cell>
          <cell r="I1992">
            <v>0</v>
          </cell>
          <cell r="J1992">
            <v>5870371397</v>
          </cell>
        </row>
        <row r="1993">
          <cell r="B1993" t="str">
            <v>5.1.02.02.09</v>
          </cell>
          <cell r="C1993" t="str">
            <v>Belanja Jasa Konsultansi Non Konstruksi</v>
          </cell>
          <cell r="D1993">
            <v>253000000</v>
          </cell>
          <cell r="E1993">
            <v>0</v>
          </cell>
          <cell r="F1993">
            <v>0</v>
          </cell>
          <cell r="G1993">
            <v>0</v>
          </cell>
          <cell r="H1993">
            <v>0</v>
          </cell>
          <cell r="I1993">
            <v>0</v>
          </cell>
          <cell r="J1993">
            <v>0</v>
          </cell>
        </row>
        <row r="1994">
          <cell r="B1994" t="str">
            <v>5.1.02.02.10</v>
          </cell>
          <cell r="C1994" t="str">
            <v>Belanja Jasa Ketersediaan Layanan (Availibility Payment)</v>
          </cell>
          <cell r="D1994">
            <v>334600000</v>
          </cell>
          <cell r="E1994">
            <v>374600000</v>
          </cell>
          <cell r="F1994">
            <v>0</v>
          </cell>
          <cell r="G1994">
            <v>0</v>
          </cell>
          <cell r="H1994">
            <v>0</v>
          </cell>
          <cell r="I1994">
            <v>0</v>
          </cell>
          <cell r="J1994">
            <v>374600000</v>
          </cell>
        </row>
        <row r="1995">
          <cell r="B1995" t="str">
            <v>5.1.02.02.11</v>
          </cell>
          <cell r="C1995" t="str">
            <v>Belanja Beasiswa Pendidikan PNS</v>
          </cell>
          <cell r="E1995">
            <v>52500000</v>
          </cell>
          <cell r="F1995">
            <v>0</v>
          </cell>
          <cell r="G1995">
            <v>0</v>
          </cell>
          <cell r="H1995">
            <v>0</v>
          </cell>
          <cell r="I1995">
            <v>0</v>
          </cell>
          <cell r="J1995">
            <v>52500000</v>
          </cell>
        </row>
        <row r="1996">
          <cell r="B1996" t="str">
            <v>5.1.02.02.12</v>
          </cell>
          <cell r="C1996" t="str">
            <v>Belanja Kursus/Pelatihan, Sosialisasi, Bimbingan Teknis serta Pendidikan dan Pelatihan</v>
          </cell>
          <cell r="D1996">
            <v>14434757927</v>
          </cell>
          <cell r="E1996">
            <v>11808241350</v>
          </cell>
          <cell r="F1996">
            <v>0</v>
          </cell>
          <cell r="G1996">
            <v>0</v>
          </cell>
          <cell r="H1996">
            <v>0</v>
          </cell>
          <cell r="I1996">
            <v>0</v>
          </cell>
          <cell r="J1996">
            <v>11808241350</v>
          </cell>
        </row>
        <row r="1997">
          <cell r="B1997" t="str">
            <v>5.1.02.02.13</v>
          </cell>
          <cell r="C1997" t="str">
            <v>Belanja Jasa Insentif bagi Pegawai Non ASN atas Pemungutan Pajak Daerah</v>
          </cell>
          <cell r="D1997">
            <v>185471000</v>
          </cell>
          <cell r="E1997">
            <v>112312263</v>
          </cell>
          <cell r="F1997">
            <v>0</v>
          </cell>
          <cell r="G1997">
            <v>0</v>
          </cell>
          <cell r="H1997">
            <v>0</v>
          </cell>
          <cell r="I1997">
            <v>0</v>
          </cell>
          <cell r="J1997">
            <v>112312263</v>
          </cell>
        </row>
        <row r="1998">
          <cell r="B1998" t="str">
            <v>5.1.02.02.14</v>
          </cell>
          <cell r="C1998" t="str">
            <v>Belanja Jasa Insentif bagi Pegawai Non ASN atas Pemungutan Retribusi Daerah</v>
          </cell>
          <cell r="F1998">
            <v>0</v>
          </cell>
          <cell r="G1998">
            <v>0</v>
          </cell>
          <cell r="H1998">
            <v>0</v>
          </cell>
          <cell r="I1998">
            <v>0</v>
          </cell>
          <cell r="J1998">
            <v>0</v>
          </cell>
        </row>
        <row r="1999">
          <cell r="B1999" t="str">
            <v>5.1.02.02.15</v>
          </cell>
          <cell r="C1999" t="str">
            <v>Belanja Sewa Aset Tidak Berwujud</v>
          </cell>
          <cell r="F1999">
            <v>0</v>
          </cell>
          <cell r="G1999">
            <v>0</v>
          </cell>
          <cell r="H1999">
            <v>0</v>
          </cell>
          <cell r="I1999">
            <v>0</v>
          </cell>
          <cell r="J1999">
            <v>0</v>
          </cell>
        </row>
        <row r="2000">
          <cell r="B2000" t="str">
            <v>5.1.02.02.16</v>
          </cell>
          <cell r="C2000" t="str">
            <v>Belanja Gaji dan Tunjangan Perangkat Lembaga Wali Nanggroe</v>
          </cell>
          <cell r="F2000">
            <v>0</v>
          </cell>
          <cell r="G2000">
            <v>0</v>
          </cell>
          <cell r="H2000">
            <v>0</v>
          </cell>
          <cell r="I2000">
            <v>0</v>
          </cell>
          <cell r="J2000">
            <v>0</v>
          </cell>
        </row>
        <row r="2001">
          <cell r="B2001" t="str">
            <v>5.1.02.02.17</v>
          </cell>
          <cell r="C2001" t="str">
            <v>Belanja Jasa Kerja Sama Pemungutan Pajak Daerah</v>
          </cell>
          <cell r="F2001">
            <v>0</v>
          </cell>
          <cell r="G2001">
            <v>0</v>
          </cell>
          <cell r="H2001">
            <v>0</v>
          </cell>
          <cell r="I2001">
            <v>0</v>
          </cell>
          <cell r="J2001">
            <v>0</v>
          </cell>
        </row>
        <row r="2002">
          <cell r="B2002" t="str">
            <v>5.1.02.02.18</v>
          </cell>
          <cell r="C2002" t="str">
            <v>Belanja Jasa Kerja Sama Pemungutan Retribusi Daerah</v>
          </cell>
          <cell r="F2002">
            <v>0</v>
          </cell>
          <cell r="G2002">
            <v>0</v>
          </cell>
          <cell r="H2002">
            <v>0</v>
          </cell>
          <cell r="I2002">
            <v>0</v>
          </cell>
          <cell r="J2002">
            <v>0</v>
          </cell>
        </row>
        <row r="2003">
          <cell r="B2003" t="str">
            <v>5.1.02.02.19</v>
          </cell>
          <cell r="C2003" t="str">
            <v>Belanja Jasa Pelayanan Kesehatan bagi ASN</v>
          </cell>
          <cell r="F2003">
            <v>0</v>
          </cell>
          <cell r="G2003">
            <v>0</v>
          </cell>
          <cell r="H2003">
            <v>0</v>
          </cell>
          <cell r="I2003">
            <v>0</v>
          </cell>
          <cell r="J2003">
            <v>0</v>
          </cell>
        </row>
        <row r="2004">
          <cell r="B2004" t="str">
            <v>5.1.02.03</v>
          </cell>
          <cell r="C2004" t="str">
            <v>Belanja Pemeliharaan</v>
          </cell>
          <cell r="D2004">
            <v>3021807774</v>
          </cell>
          <cell r="E2004">
            <v>4559855537</v>
          </cell>
          <cell r="J2004">
            <v>4559855537</v>
          </cell>
        </row>
        <row r="2005">
          <cell r="B2005" t="str">
            <v>5.1.02.03.01</v>
          </cell>
          <cell r="C2005" t="str">
            <v>Belanja Pemeliharaan Tanah</v>
          </cell>
          <cell r="D2005">
            <v>154500000</v>
          </cell>
          <cell r="F2005">
            <v>0</v>
          </cell>
          <cell r="G2005">
            <v>0</v>
          </cell>
          <cell r="H2005">
            <v>0</v>
          </cell>
          <cell r="I2005">
            <v>0</v>
          </cell>
          <cell r="J2005">
            <v>0</v>
          </cell>
        </row>
        <row r="2006">
          <cell r="B2006" t="str">
            <v>5.1.02.03.02</v>
          </cell>
          <cell r="C2006" t="str">
            <v>Belanja Pemeliharaan Peralatan dan Mesin</v>
          </cell>
          <cell r="D2006">
            <v>1269010764</v>
          </cell>
          <cell r="E2006">
            <v>1261558125</v>
          </cell>
          <cell r="F2006">
            <v>0</v>
          </cell>
          <cell r="G2006">
            <v>0</v>
          </cell>
          <cell r="H2006">
            <v>0</v>
          </cell>
          <cell r="I2006">
            <v>0</v>
          </cell>
          <cell r="J2006">
            <v>1261558125</v>
          </cell>
        </row>
        <row r="2007">
          <cell r="B2007" t="str">
            <v>5.1.02.03.03</v>
          </cell>
          <cell r="C2007" t="str">
            <v>Belanja Pemeliharaan Gedung dan Bangunan</v>
          </cell>
          <cell r="D2007">
            <v>1236179010</v>
          </cell>
          <cell r="E2007">
            <v>3101883412</v>
          </cell>
          <cell r="F2007">
            <v>0</v>
          </cell>
          <cell r="G2007">
            <v>0</v>
          </cell>
          <cell r="H2007">
            <v>0</v>
          </cell>
          <cell r="I2007">
            <v>0</v>
          </cell>
          <cell r="J2007">
            <v>3101883412</v>
          </cell>
        </row>
        <row r="2008">
          <cell r="B2008" t="str">
            <v>5.1.02.03.04</v>
          </cell>
          <cell r="C2008" t="str">
            <v>Belanja Pemeliharaan Jalan, Jaringan, dan Irigasi</v>
          </cell>
          <cell r="D2008">
            <v>198368000</v>
          </cell>
          <cell r="E2008">
            <v>196414000</v>
          </cell>
          <cell r="F2008">
            <v>0</v>
          </cell>
          <cell r="G2008">
            <v>0</v>
          </cell>
          <cell r="H2008">
            <v>0</v>
          </cell>
          <cell r="I2008">
            <v>0</v>
          </cell>
          <cell r="J2008">
            <v>196414000</v>
          </cell>
        </row>
        <row r="2009">
          <cell r="B2009" t="str">
            <v>5.1.02.03.05</v>
          </cell>
          <cell r="C2009" t="str">
            <v>Belanja Pemeliharaan Aset Tetap Lainnya</v>
          </cell>
          <cell r="D2009">
            <v>159750000</v>
          </cell>
          <cell r="E2009">
            <v>0</v>
          </cell>
          <cell r="F2009">
            <v>0</v>
          </cell>
          <cell r="G2009">
            <v>0</v>
          </cell>
          <cell r="H2009">
            <v>0</v>
          </cell>
          <cell r="I2009">
            <v>0</v>
          </cell>
          <cell r="J2009">
            <v>0</v>
          </cell>
        </row>
        <row r="2010">
          <cell r="B2010" t="str">
            <v>5.1.02.03.06</v>
          </cell>
          <cell r="C2010" t="str">
            <v>Belanja Pemeliharaan Aset Tidak Berwujud</v>
          </cell>
          <cell r="D2010">
            <v>4000000</v>
          </cell>
          <cell r="E2010">
            <v>0</v>
          </cell>
          <cell r="F2010">
            <v>0</v>
          </cell>
          <cell r="G2010">
            <v>0</v>
          </cell>
          <cell r="H2010">
            <v>0</v>
          </cell>
          <cell r="I2010">
            <v>0</v>
          </cell>
          <cell r="J2010">
            <v>0</v>
          </cell>
        </row>
        <row r="2011">
          <cell r="B2011" t="str">
            <v>5.1.02.04</v>
          </cell>
          <cell r="C2011" t="str">
            <v>Belanja Perjalanan Dinas</v>
          </cell>
          <cell r="D2011">
            <v>44078602535</v>
          </cell>
          <cell r="E2011">
            <v>27068004776</v>
          </cell>
          <cell r="J2011">
            <v>27068004776</v>
          </cell>
        </row>
        <row r="2012">
          <cell r="B2012" t="str">
            <v>5.1.02.04.01</v>
          </cell>
          <cell r="C2012" t="str">
            <v>Belanja Perjalanan Dinas Dalam Negeri</v>
          </cell>
          <cell r="D2012">
            <v>44078602535</v>
          </cell>
          <cell r="E2012">
            <v>27068004776</v>
          </cell>
          <cell r="F2012">
            <v>0</v>
          </cell>
          <cell r="G2012">
            <v>0</v>
          </cell>
          <cell r="H2012">
            <v>0</v>
          </cell>
          <cell r="I2012">
            <v>0</v>
          </cell>
          <cell r="J2012">
            <v>27068004776</v>
          </cell>
        </row>
        <row r="2013">
          <cell r="B2013" t="str">
            <v>5.1.02.04.02</v>
          </cell>
          <cell r="C2013" t="str">
            <v>Belanja Perjalanan Dinas Luar Negeri</v>
          </cell>
          <cell r="F2013">
            <v>0</v>
          </cell>
          <cell r="G2013">
            <v>0</v>
          </cell>
          <cell r="H2013">
            <v>0</v>
          </cell>
          <cell r="I2013">
            <v>0</v>
          </cell>
          <cell r="J2013">
            <v>0</v>
          </cell>
        </row>
        <row r="2014">
          <cell r="B2014" t="str">
            <v>5.1.02.05</v>
          </cell>
          <cell r="C2014" t="str">
            <v>Belanja Uang dan/atau Jasa untuk Diberikan kepada Pihak Ketiga/Pihak Lain/Masyarakat</v>
          </cell>
          <cell r="D2014">
            <v>27036668332</v>
          </cell>
          <cell r="E2014">
            <v>8048041325</v>
          </cell>
          <cell r="J2014">
            <v>8048041325</v>
          </cell>
        </row>
        <row r="2015">
          <cell r="B2015" t="str">
            <v>5.1.02.05.01</v>
          </cell>
          <cell r="C2015" t="str">
            <v>Belanja Uang yang Diberikan kepada Pihak Ketiga/Pihak Lain/Masyarakat</v>
          </cell>
          <cell r="D2015">
            <v>22080677500</v>
          </cell>
          <cell r="E2015">
            <v>2289795860</v>
          </cell>
          <cell r="F2015">
            <v>0</v>
          </cell>
          <cell r="G2015">
            <v>0</v>
          </cell>
          <cell r="H2015">
            <v>0</v>
          </cell>
          <cell r="I2015">
            <v>0</v>
          </cell>
          <cell r="J2015">
            <v>2289795860</v>
          </cell>
        </row>
        <row r="2016">
          <cell r="B2016" t="str">
            <v>5.1.02.05.02</v>
          </cell>
          <cell r="C2016" t="str">
            <v>Belanja Jasa yang Diberikan kepada Pihak Ketiga/Pihak Lain/Masyarakat</v>
          </cell>
          <cell r="D2016">
            <v>4955990832</v>
          </cell>
          <cell r="E2016">
            <v>5758245465</v>
          </cell>
          <cell r="F2016">
            <v>0</v>
          </cell>
          <cell r="G2016">
            <v>0</v>
          </cell>
          <cell r="H2016">
            <v>0</v>
          </cell>
          <cell r="I2016">
            <v>0</v>
          </cell>
          <cell r="J2016">
            <v>5758245465</v>
          </cell>
        </row>
        <row r="2017">
          <cell r="B2017" t="str">
            <v>5.1.02.06</v>
          </cell>
          <cell r="C2017" t="str">
            <v>Belanja Penunjang Otonomi Khusus*)</v>
          </cell>
          <cell r="D2017">
            <v>0</v>
          </cell>
          <cell r="E2017">
            <v>0</v>
          </cell>
          <cell r="J2017">
            <v>0</v>
          </cell>
        </row>
        <row r="2018">
          <cell r="B2018" t="str">
            <v>5.1.02.06.01</v>
          </cell>
          <cell r="C2018" t="str">
            <v>Belanja Penunjang Otonomi Khusus*)</v>
          </cell>
          <cell r="F2018">
            <v>0</v>
          </cell>
          <cell r="G2018">
            <v>0</v>
          </cell>
          <cell r="H2018">
            <v>0</v>
          </cell>
          <cell r="I2018">
            <v>0</v>
          </cell>
          <cell r="J2018">
            <v>0</v>
          </cell>
        </row>
        <row r="2019">
          <cell r="B2019" t="str">
            <v>5.1.02.88</v>
          </cell>
          <cell r="C2019" t="str">
            <v>Belanja Barang dan Jasa BOS</v>
          </cell>
          <cell r="D2019">
            <v>58605817322.419998</v>
          </cell>
          <cell r="E2019">
            <v>0</v>
          </cell>
          <cell r="J2019">
            <v>0</v>
          </cell>
        </row>
        <row r="2020">
          <cell r="B2020" t="str">
            <v>5.1.02.88.88</v>
          </cell>
          <cell r="C2020" t="str">
            <v>Belanja Barang dan Jasa BOS</v>
          </cell>
          <cell r="D2020">
            <v>58605817322.419998</v>
          </cell>
          <cell r="F2020">
            <v>0</v>
          </cell>
          <cell r="G2020">
            <v>0</v>
          </cell>
          <cell r="H2020">
            <v>0</v>
          </cell>
          <cell r="I2020">
            <v>0</v>
          </cell>
          <cell r="J2020">
            <v>0</v>
          </cell>
        </row>
        <row r="2021">
          <cell r="B2021" t="str">
            <v>5.1.02.89</v>
          </cell>
          <cell r="C2021" t="str">
            <v>Belanja Barang dan Jasa BOSP</v>
          </cell>
          <cell r="D2021">
            <v>823837738.85000002</v>
          </cell>
          <cell r="E2021">
            <v>52579744225.330002</v>
          </cell>
          <cell r="J2021">
            <v>52643065969.080002</v>
          </cell>
        </row>
        <row r="2022">
          <cell r="B2022" t="str">
            <v>5.1.02.89.01</v>
          </cell>
          <cell r="C2022" t="str">
            <v>Belanja Barang dan Jasa BOSP-BOS</v>
          </cell>
          <cell r="E2022">
            <v>51894337794.330002</v>
          </cell>
          <cell r="F2022">
            <v>0</v>
          </cell>
          <cell r="G2022">
            <v>2255179.2400000002</v>
          </cell>
          <cell r="H2022">
            <v>0</v>
          </cell>
          <cell r="I2022">
            <v>0</v>
          </cell>
          <cell r="J2022">
            <v>51892082615.090004</v>
          </cell>
        </row>
        <row r="2023">
          <cell r="B2023" t="str">
            <v>5.1.02.89.02</v>
          </cell>
          <cell r="C2023" t="str">
            <v>Belanja Barang dan Jasa BOSP-BOP PAUD</v>
          </cell>
          <cell r="D2023">
            <v>710507738.85000002</v>
          </cell>
          <cell r="E2023">
            <v>600976431</v>
          </cell>
          <cell r="F2023">
            <v>29954122.989999998</v>
          </cell>
          <cell r="G2023">
            <v>0</v>
          </cell>
          <cell r="H2023">
            <v>0</v>
          </cell>
          <cell r="I2023">
            <v>0</v>
          </cell>
          <cell r="J2023">
            <v>630930553.99000001</v>
          </cell>
        </row>
        <row r="2024">
          <cell r="B2024" t="str">
            <v>5.1.02.89.03</v>
          </cell>
          <cell r="C2024" t="str">
            <v>Belanja Barang dan Jasa BOSP-BOP Kesetaraan</v>
          </cell>
          <cell r="D2024">
            <v>113330000</v>
          </cell>
          <cell r="E2024">
            <v>84430000</v>
          </cell>
          <cell r="F2024">
            <v>35622800</v>
          </cell>
          <cell r="G2024">
            <v>0</v>
          </cell>
          <cell r="H2024">
            <v>0</v>
          </cell>
          <cell r="I2024">
            <v>0</v>
          </cell>
          <cell r="J2024">
            <v>120052800</v>
          </cell>
        </row>
        <row r="2025">
          <cell r="B2025" t="str">
            <v>5.1.02.90</v>
          </cell>
          <cell r="C2025" t="str">
            <v>Belanja Barang dan Jasa BOK Puskesmas</v>
          </cell>
          <cell r="D2025">
            <v>0</v>
          </cell>
          <cell r="E2025">
            <v>0</v>
          </cell>
          <cell r="J2025">
            <v>0</v>
          </cell>
        </row>
        <row r="2026">
          <cell r="B2026" t="str">
            <v>5.1.02.90.01</v>
          </cell>
          <cell r="C2026" t="str">
            <v>Belanja Barang dan Jasa BOK Puskesmas</v>
          </cell>
          <cell r="F2026">
            <v>0</v>
          </cell>
          <cell r="G2026">
            <v>0</v>
          </cell>
          <cell r="H2026">
            <v>0</v>
          </cell>
          <cell r="I2026">
            <v>0</v>
          </cell>
          <cell r="J2026">
            <v>0</v>
          </cell>
        </row>
        <row r="2027">
          <cell r="B2027" t="str">
            <v>5.1.02.99</v>
          </cell>
          <cell r="C2027" t="str">
            <v>Belanja Barang dan Jasa BLUD</v>
          </cell>
          <cell r="D2027">
            <v>56815401317.550003</v>
          </cell>
          <cell r="E2027">
            <v>70909218444.059998</v>
          </cell>
          <cell r="J2027">
            <v>70909218444.059998</v>
          </cell>
        </row>
        <row r="2028">
          <cell r="B2028" t="str">
            <v>5.1.02.99.99</v>
          </cell>
          <cell r="C2028" t="str">
            <v>Belanja Barang dan Jasa BLUD</v>
          </cell>
          <cell r="D2028">
            <v>56815401317.550003</v>
          </cell>
          <cell r="E2028">
            <v>70909218444.059998</v>
          </cell>
          <cell r="F2028">
            <v>0</v>
          </cell>
          <cell r="G2028">
            <v>0</v>
          </cell>
          <cell r="H2028">
            <v>0</v>
          </cell>
          <cell r="I2028">
            <v>0</v>
          </cell>
          <cell r="J2028">
            <v>70909218444.059998</v>
          </cell>
        </row>
        <row r="2030">
          <cell r="B2030" t="str">
            <v>5.1.03</v>
          </cell>
          <cell r="C2030" t="str">
            <v>Belanja Bunga</v>
          </cell>
          <cell r="D2030">
            <v>0</v>
          </cell>
          <cell r="E2030">
            <v>0</v>
          </cell>
          <cell r="J2030">
            <v>0</v>
          </cell>
        </row>
        <row r="2031">
          <cell r="B2031" t="str">
            <v>5.1.03.01</v>
          </cell>
          <cell r="C2031" t="str">
            <v>Belanja Bunga Utang Pinjaman kepada Pemerintah Pusat</v>
          </cell>
          <cell r="D2031">
            <v>0</v>
          </cell>
          <cell r="E2031">
            <v>0</v>
          </cell>
          <cell r="J2031">
            <v>0</v>
          </cell>
        </row>
        <row r="2032">
          <cell r="B2032" t="str">
            <v>5.1.03.01.01</v>
          </cell>
          <cell r="C2032" t="str">
            <v>Belanja Bunga Utang Pinjaman kepada Pemerintah Pusat atas Penerusan Pinjaman Dalam Negeri-Jangka Menengah</v>
          </cell>
          <cell r="F2032">
            <v>0</v>
          </cell>
          <cell r="G2032">
            <v>0</v>
          </cell>
          <cell r="H2032">
            <v>0</v>
          </cell>
          <cell r="I2032">
            <v>0</v>
          </cell>
          <cell r="J2032">
            <v>0</v>
          </cell>
        </row>
        <row r="2033">
          <cell r="B2033" t="str">
            <v>5.1.03.01.02</v>
          </cell>
          <cell r="C2033" t="str">
            <v>Belanja Bunga Utang Pinjaman kepada Pemerintah Pusat atas Penerusan Pinjaman Dalam Negeri-Jangka Panjang</v>
          </cell>
          <cell r="F2033">
            <v>0</v>
          </cell>
          <cell r="G2033">
            <v>0</v>
          </cell>
          <cell r="H2033">
            <v>0</v>
          </cell>
          <cell r="I2033">
            <v>0</v>
          </cell>
          <cell r="J2033">
            <v>0</v>
          </cell>
        </row>
        <row r="2034">
          <cell r="B2034" t="str">
            <v>5.1.03.01.03</v>
          </cell>
          <cell r="C2034" t="str">
            <v>Belanja Bunga Utang Pinjaman kepada Pemerintah Pusat atas Penerusan Pinjaman Luar Negeri-Jangka Menengah</v>
          </cell>
          <cell r="F2034">
            <v>0</v>
          </cell>
          <cell r="G2034">
            <v>0</v>
          </cell>
          <cell r="H2034">
            <v>0</v>
          </cell>
          <cell r="I2034">
            <v>0</v>
          </cell>
          <cell r="J2034">
            <v>0</v>
          </cell>
        </row>
        <row r="2035">
          <cell r="B2035" t="str">
            <v>5.1.03.01.04</v>
          </cell>
          <cell r="C2035" t="str">
            <v>Belanja Bunga Utang Pinjaman kepada Pemerintah Pusat atas Penerusan Pinjaman Luar Negeri-Jangka Panjang</v>
          </cell>
          <cell r="F2035">
            <v>0</v>
          </cell>
          <cell r="G2035">
            <v>0</v>
          </cell>
          <cell r="H2035">
            <v>0</v>
          </cell>
          <cell r="I2035">
            <v>0</v>
          </cell>
          <cell r="J2035">
            <v>0</v>
          </cell>
        </row>
        <row r="2036">
          <cell r="B2036" t="str">
            <v>5.1.03.01.05</v>
          </cell>
          <cell r="C2036" t="str">
            <v>Belanja Bunga Utang Pinjaman Sumber Lainnya sesuai Ketentuan Peraturan Perundang-Undangan-Jangka Menengah</v>
          </cell>
          <cell r="F2036">
            <v>0</v>
          </cell>
          <cell r="G2036">
            <v>0</v>
          </cell>
          <cell r="H2036">
            <v>0</v>
          </cell>
          <cell r="I2036">
            <v>0</v>
          </cell>
          <cell r="J2036">
            <v>0</v>
          </cell>
        </row>
        <row r="2037">
          <cell r="B2037" t="str">
            <v>5.1.03.01.06</v>
          </cell>
          <cell r="C2037" t="str">
            <v>Belanja Bunga Utang Pinjaman Sumber Lainnya sesuai Ketentuan Peraturan Perundang-Undangan-Jangka Panjang</v>
          </cell>
          <cell r="F2037">
            <v>0</v>
          </cell>
          <cell r="G2037">
            <v>0</v>
          </cell>
          <cell r="H2037">
            <v>0</v>
          </cell>
          <cell r="I2037">
            <v>0</v>
          </cell>
          <cell r="J2037">
            <v>0</v>
          </cell>
        </row>
        <row r="2038">
          <cell r="B2038" t="str">
            <v>5.1.03.02</v>
          </cell>
          <cell r="C2038" t="str">
            <v>Belanja Bunga Utang Pinjaman kepada Pemerintah Daerah Lain</v>
          </cell>
          <cell r="D2038">
            <v>0</v>
          </cell>
          <cell r="E2038">
            <v>0</v>
          </cell>
          <cell r="J2038">
            <v>0</v>
          </cell>
        </row>
        <row r="2039">
          <cell r="B2039" t="str">
            <v>5.1.03.02.01</v>
          </cell>
          <cell r="C2039" t="str">
            <v>Belanja Bunga Utang Pinjaman kepada Pemerintah Daerah-Jangka Pendek</v>
          </cell>
          <cell r="F2039">
            <v>0</v>
          </cell>
          <cell r="G2039">
            <v>0</v>
          </cell>
          <cell r="H2039">
            <v>0</v>
          </cell>
          <cell r="I2039">
            <v>0</v>
          </cell>
          <cell r="J2039">
            <v>0</v>
          </cell>
        </row>
        <row r="2040">
          <cell r="B2040" t="str">
            <v>5.1.03.03</v>
          </cell>
          <cell r="C2040" t="str">
            <v>Belanja Bunga Utang Pinjaman kepada Lembaga Keuangan Bank (LKB)</v>
          </cell>
          <cell r="D2040">
            <v>0</v>
          </cell>
          <cell r="E2040">
            <v>0</v>
          </cell>
          <cell r="J2040">
            <v>0</v>
          </cell>
        </row>
        <row r="2041">
          <cell r="B2041" t="str">
            <v>5.1.03.03.01</v>
          </cell>
          <cell r="C2041" t="str">
            <v>Belanja Bunga Utang Pinjaman kepada Lembaga Keuangan Bank (LKB)-BUMN-Jangka Pendek</v>
          </cell>
          <cell r="F2041">
            <v>0</v>
          </cell>
          <cell r="G2041">
            <v>0</v>
          </cell>
          <cell r="H2041">
            <v>0</v>
          </cell>
          <cell r="I2041">
            <v>0</v>
          </cell>
          <cell r="J2041">
            <v>0</v>
          </cell>
        </row>
        <row r="2042">
          <cell r="B2042" t="str">
            <v>5.1.03.03.02</v>
          </cell>
          <cell r="C2042" t="str">
            <v>Belanja Bunga Utang Pinjaman kepada Lembaga Keuangan Bank (LKB)-BUMN-Jangka Menengah</v>
          </cell>
          <cell r="F2042">
            <v>0</v>
          </cell>
          <cell r="G2042">
            <v>0</v>
          </cell>
          <cell r="H2042">
            <v>0</v>
          </cell>
          <cell r="I2042">
            <v>0</v>
          </cell>
          <cell r="J2042">
            <v>0</v>
          </cell>
        </row>
        <row r="2043">
          <cell r="B2043" t="str">
            <v>5.1.03.03.03</v>
          </cell>
          <cell r="C2043" t="str">
            <v>Belanja Bunga Utang Pinjaman kepada Lembaga Keuangan Bank (LKB)-BUMN-Jangka Panjang</v>
          </cell>
          <cell r="F2043">
            <v>0</v>
          </cell>
          <cell r="G2043">
            <v>0</v>
          </cell>
          <cell r="H2043">
            <v>0</v>
          </cell>
          <cell r="I2043">
            <v>0</v>
          </cell>
          <cell r="J2043">
            <v>0</v>
          </cell>
        </row>
        <row r="2044">
          <cell r="B2044" t="str">
            <v>5.1.03.03.04</v>
          </cell>
          <cell r="C2044" t="str">
            <v>Belanja Bunga Utang Pinjaman kepada Lembaga Keuangan Bank (LKB)-BUMD-Jangka Pendek</v>
          </cell>
          <cell r="F2044">
            <v>0</v>
          </cell>
          <cell r="G2044">
            <v>0</v>
          </cell>
          <cell r="H2044">
            <v>0</v>
          </cell>
          <cell r="I2044">
            <v>0</v>
          </cell>
          <cell r="J2044">
            <v>0</v>
          </cell>
        </row>
        <row r="2045">
          <cell r="B2045" t="str">
            <v>5.1.03.03.05</v>
          </cell>
          <cell r="C2045" t="str">
            <v>Belanja Bunga Utang Pinjaman kepada Lembaga Keuangan Bank (LKB)-BUMD-Jangka Menengah</v>
          </cell>
          <cell r="F2045">
            <v>0</v>
          </cell>
          <cell r="G2045">
            <v>0</v>
          </cell>
          <cell r="H2045">
            <v>0</v>
          </cell>
          <cell r="I2045">
            <v>0</v>
          </cell>
          <cell r="J2045">
            <v>0</v>
          </cell>
        </row>
        <row r="2046">
          <cell r="B2046" t="str">
            <v>5.1.03.03.06</v>
          </cell>
          <cell r="C2046" t="str">
            <v>Belanja Bunga Utang Pinjaman kepada Lembaga Keuangan Bank (LKB)-BUMD-Jangka Panjang</v>
          </cell>
          <cell r="F2046">
            <v>0</v>
          </cell>
          <cell r="G2046">
            <v>0</v>
          </cell>
          <cell r="H2046">
            <v>0</v>
          </cell>
          <cell r="I2046">
            <v>0</v>
          </cell>
          <cell r="J2046">
            <v>0</v>
          </cell>
        </row>
        <row r="2047">
          <cell r="B2047" t="str">
            <v>5.1.03.03.07</v>
          </cell>
          <cell r="C2047" t="str">
            <v>Belanja Bunga Utang Pinjaman kepada Lembaga Keuangan Bank (LKB)-Swasta-Jangka Pendek</v>
          </cell>
          <cell r="F2047">
            <v>0</v>
          </cell>
          <cell r="G2047">
            <v>0</v>
          </cell>
          <cell r="H2047">
            <v>0</v>
          </cell>
          <cell r="I2047">
            <v>0</v>
          </cell>
          <cell r="J2047">
            <v>0</v>
          </cell>
        </row>
        <row r="2048">
          <cell r="B2048" t="str">
            <v>5.1.03.03.08</v>
          </cell>
          <cell r="C2048" t="str">
            <v>Belanja Bunga Utang Pinjaman kepada Lembaga Keuangan Bank (LKB)-Swasta-Jangka Menengah</v>
          </cell>
          <cell r="F2048">
            <v>0</v>
          </cell>
          <cell r="G2048">
            <v>0</v>
          </cell>
          <cell r="H2048">
            <v>0</v>
          </cell>
          <cell r="I2048">
            <v>0</v>
          </cell>
          <cell r="J2048">
            <v>0</v>
          </cell>
        </row>
        <row r="2049">
          <cell r="B2049" t="str">
            <v>5.1.03.03.09</v>
          </cell>
          <cell r="C2049" t="str">
            <v>Belanja Bunga Utang Pinjaman kepada Lembaga Keuangan Bank (LKB)-Swasta-Jangka Panjang</v>
          </cell>
          <cell r="F2049">
            <v>0</v>
          </cell>
          <cell r="G2049">
            <v>0</v>
          </cell>
          <cell r="H2049">
            <v>0</v>
          </cell>
          <cell r="I2049">
            <v>0</v>
          </cell>
          <cell r="J2049">
            <v>0</v>
          </cell>
        </row>
        <row r="2050">
          <cell r="B2050" t="str">
            <v>5.1.03.04</v>
          </cell>
          <cell r="C2050" t="str">
            <v>Belanja Bunga Utang Pinjaman kepada Lembaga Keuangan Bukan Bank (LKBB)</v>
          </cell>
          <cell r="D2050">
            <v>0</v>
          </cell>
          <cell r="E2050">
            <v>0</v>
          </cell>
          <cell r="J2050">
            <v>0</v>
          </cell>
        </row>
        <row r="2051">
          <cell r="B2051" t="str">
            <v>5.1.03.04.01</v>
          </cell>
          <cell r="C2051" t="str">
            <v>Belanja Bunga Utang Pinjaman kepada Lembaga Keuangan Bukan Bank (LKBB)-BUMN-Jangka Pendek</v>
          </cell>
          <cell r="F2051">
            <v>0</v>
          </cell>
          <cell r="G2051">
            <v>0</v>
          </cell>
          <cell r="H2051">
            <v>0</v>
          </cell>
          <cell r="I2051">
            <v>0</v>
          </cell>
          <cell r="J2051">
            <v>0</v>
          </cell>
        </row>
        <row r="2052">
          <cell r="B2052" t="str">
            <v>5.1.03.04.02</v>
          </cell>
          <cell r="C2052" t="str">
            <v>Belanja Bunga Utang Pinjaman kepada Lembaga Keuangan Bukan Bank (LKBB)-BUMN-Jangka Menengah</v>
          </cell>
          <cell r="F2052">
            <v>0</v>
          </cell>
          <cell r="G2052">
            <v>0</v>
          </cell>
          <cell r="H2052">
            <v>0</v>
          </cell>
          <cell r="I2052">
            <v>0</v>
          </cell>
          <cell r="J2052">
            <v>0</v>
          </cell>
        </row>
        <row r="2053">
          <cell r="B2053" t="str">
            <v>5.1.03.04.03</v>
          </cell>
          <cell r="C2053" t="str">
            <v>Belanja Bunga Utang Pinjaman kepada Lembaga Keuangan Bukan Bank (LKBB)-BUMN-Jangka Panjang</v>
          </cell>
          <cell r="F2053">
            <v>0</v>
          </cell>
          <cell r="G2053">
            <v>0</v>
          </cell>
          <cell r="H2053">
            <v>0</v>
          </cell>
          <cell r="I2053">
            <v>0</v>
          </cell>
          <cell r="J2053">
            <v>0</v>
          </cell>
        </row>
        <row r="2054">
          <cell r="B2054" t="str">
            <v>5.1.03.04.04</v>
          </cell>
          <cell r="C2054" t="str">
            <v>Belanja Bunga Utang Pinjaman kepada Lembaga Keuangan Bukan Bank (LKBB)-BUMD-Jangka Pendek</v>
          </cell>
          <cell r="F2054">
            <v>0</v>
          </cell>
          <cell r="G2054">
            <v>0</v>
          </cell>
          <cell r="H2054">
            <v>0</v>
          </cell>
          <cell r="I2054">
            <v>0</v>
          </cell>
          <cell r="J2054">
            <v>0</v>
          </cell>
        </row>
        <row r="2055">
          <cell r="B2055" t="str">
            <v>5.1.03.04.05</v>
          </cell>
          <cell r="C2055" t="str">
            <v>Belanja Bunga Utang Pinjaman kepada Lembaga Keuangan Bukan Bank (LKBB)-BUMD-Jangka Menengah</v>
          </cell>
          <cell r="F2055">
            <v>0</v>
          </cell>
          <cell r="G2055">
            <v>0</v>
          </cell>
          <cell r="H2055">
            <v>0</v>
          </cell>
          <cell r="I2055">
            <v>0</v>
          </cell>
          <cell r="J2055">
            <v>0</v>
          </cell>
        </row>
        <row r="2056">
          <cell r="B2056" t="str">
            <v>5.1.03.04.06</v>
          </cell>
          <cell r="C2056" t="str">
            <v>Belanja Bunga Utang Pinjaman kepada Lembaga Keuangan Bukan Bank (LKBB)-BUMD-Jangka Panjang</v>
          </cell>
          <cell r="F2056">
            <v>0</v>
          </cell>
          <cell r="G2056">
            <v>0</v>
          </cell>
          <cell r="H2056">
            <v>0</v>
          </cell>
          <cell r="I2056">
            <v>0</v>
          </cell>
          <cell r="J2056">
            <v>0</v>
          </cell>
        </row>
        <row r="2057">
          <cell r="B2057" t="str">
            <v>5.1.03.04.07</v>
          </cell>
          <cell r="C2057" t="str">
            <v>Belanja Bunga Utang Pinjaman kepada Lembaga Keuangan Bukan Bank (LKBB)-Swasta-Jangka Pendek</v>
          </cell>
          <cell r="F2057">
            <v>0</v>
          </cell>
          <cell r="G2057">
            <v>0</v>
          </cell>
          <cell r="H2057">
            <v>0</v>
          </cell>
          <cell r="I2057">
            <v>0</v>
          </cell>
          <cell r="J2057">
            <v>0</v>
          </cell>
        </row>
        <row r="2058">
          <cell r="B2058" t="str">
            <v>5.1.03.04.08</v>
          </cell>
          <cell r="C2058" t="str">
            <v>Belanja Bunga Utang Pinjaman kepada Lembaga Keuangan Bukan Bank (LKBB)-Swasta-Jangka Menengah</v>
          </cell>
          <cell r="F2058">
            <v>0</v>
          </cell>
          <cell r="G2058">
            <v>0</v>
          </cell>
          <cell r="H2058">
            <v>0</v>
          </cell>
          <cell r="I2058">
            <v>0</v>
          </cell>
          <cell r="J2058">
            <v>0</v>
          </cell>
        </row>
        <row r="2059">
          <cell r="B2059" t="str">
            <v>5.1.03.04.09</v>
          </cell>
          <cell r="C2059" t="str">
            <v>Belanja Bunga Utang Pinjaman kepada Lembaga Keuangan Bukan Bank (LKBB)-Swasta-Jangka Panjang</v>
          </cell>
          <cell r="F2059">
            <v>0</v>
          </cell>
          <cell r="G2059">
            <v>0</v>
          </cell>
          <cell r="H2059">
            <v>0</v>
          </cell>
          <cell r="I2059">
            <v>0</v>
          </cell>
          <cell r="J2059">
            <v>0</v>
          </cell>
        </row>
        <row r="2060">
          <cell r="B2060" t="str">
            <v>5.1.03.05</v>
          </cell>
          <cell r="C2060" t="str">
            <v>Belanja Bunga Utang Kepada Masyarakat (Obligasi)</v>
          </cell>
          <cell r="D2060">
            <v>0</v>
          </cell>
          <cell r="E2060">
            <v>0</v>
          </cell>
          <cell r="J2060">
            <v>0</v>
          </cell>
        </row>
        <row r="2061">
          <cell r="B2061" t="str">
            <v>5.1.03.05.01</v>
          </cell>
          <cell r="C2061" t="str">
            <v>Belanja Bunga Utang Kepada Masyarakat (Obligasi)</v>
          </cell>
          <cell r="F2061">
            <v>0</v>
          </cell>
          <cell r="G2061">
            <v>0</v>
          </cell>
          <cell r="H2061">
            <v>0</v>
          </cell>
          <cell r="I2061">
            <v>0</v>
          </cell>
          <cell r="J2061">
            <v>0</v>
          </cell>
        </row>
        <row r="2062">
          <cell r="B2062" t="str">
            <v>5.1.03.06</v>
          </cell>
          <cell r="C2062" t="str">
            <v>Belanja Bunga Utang Pinjaman melalui BLUD</v>
          </cell>
          <cell r="D2062">
            <v>0</v>
          </cell>
          <cell r="E2062">
            <v>0</v>
          </cell>
          <cell r="J2062">
            <v>0</v>
          </cell>
        </row>
        <row r="2063">
          <cell r="B2063" t="str">
            <v>5.1.03.06.01</v>
          </cell>
          <cell r="C2063" t="str">
            <v>Belanja Bunga Utang Pinjaman melalui BLUD-Jangka Pendek</v>
          </cell>
          <cell r="F2063">
            <v>0</v>
          </cell>
          <cell r="G2063">
            <v>0</v>
          </cell>
          <cell r="H2063">
            <v>0</v>
          </cell>
          <cell r="I2063">
            <v>0</v>
          </cell>
          <cell r="J2063">
            <v>0</v>
          </cell>
        </row>
        <row r="2064">
          <cell r="B2064" t="str">
            <v>5.1.03.06.02</v>
          </cell>
          <cell r="C2064" t="str">
            <v>Belanja Bunga Utang Pinjaman melalui BLUD-Jangka Menengah</v>
          </cell>
          <cell r="F2064">
            <v>0</v>
          </cell>
          <cell r="G2064">
            <v>0</v>
          </cell>
          <cell r="H2064">
            <v>0</v>
          </cell>
          <cell r="I2064">
            <v>0</v>
          </cell>
          <cell r="J2064">
            <v>0</v>
          </cell>
        </row>
        <row r="2065">
          <cell r="B2065" t="str">
            <v>5.1.03.06.03</v>
          </cell>
          <cell r="C2065" t="str">
            <v>Belanja Bunga Utang Pinjaman melalui BLUD-Jangka Panjang</v>
          </cell>
          <cell r="F2065">
            <v>0</v>
          </cell>
          <cell r="G2065">
            <v>0</v>
          </cell>
          <cell r="H2065">
            <v>0</v>
          </cell>
          <cell r="I2065">
            <v>0</v>
          </cell>
          <cell r="J2065">
            <v>0</v>
          </cell>
        </row>
        <row r="2066">
          <cell r="B2066" t="str">
            <v>5.1.03.07</v>
          </cell>
          <cell r="C2066" t="str">
            <v>Belanja Bunga Pembiayaan Utang Daerah-Pinjaman Daerah</v>
          </cell>
          <cell r="D2066">
            <v>0</v>
          </cell>
          <cell r="E2066">
            <v>0</v>
          </cell>
          <cell r="J2066">
            <v>0</v>
          </cell>
        </row>
        <row r="2067">
          <cell r="B2067" t="str">
            <v>5.1.03.07.01</v>
          </cell>
          <cell r="C2067" t="str">
            <v>Belanja Bunga Pinjaman Daerah dari Pemerintah</v>
          </cell>
          <cell r="F2067">
            <v>0</v>
          </cell>
          <cell r="G2067">
            <v>0</v>
          </cell>
          <cell r="H2067">
            <v>0</v>
          </cell>
          <cell r="I2067">
            <v>0</v>
          </cell>
          <cell r="J2067">
            <v>0</v>
          </cell>
        </row>
        <row r="2068">
          <cell r="B2068" t="str">
            <v>5.1.03.07.02</v>
          </cell>
          <cell r="C2068" t="str">
            <v>Belanja Bunga Pinjaman Daerah dari Pemerintah Daerah Lain</v>
          </cell>
          <cell r="F2068">
            <v>0</v>
          </cell>
          <cell r="G2068">
            <v>0</v>
          </cell>
          <cell r="H2068">
            <v>0</v>
          </cell>
          <cell r="I2068">
            <v>0</v>
          </cell>
          <cell r="J2068">
            <v>0</v>
          </cell>
        </row>
        <row r="2069">
          <cell r="B2069" t="str">
            <v>5.1.03.07.03</v>
          </cell>
          <cell r="C2069" t="str">
            <v>Belanja Bunga Pinjaman Daerah dari Lembaga Keuangan Bank (LKB)</v>
          </cell>
          <cell r="F2069">
            <v>0</v>
          </cell>
          <cell r="G2069">
            <v>0</v>
          </cell>
          <cell r="H2069">
            <v>0</v>
          </cell>
          <cell r="I2069">
            <v>0</v>
          </cell>
          <cell r="J2069">
            <v>0</v>
          </cell>
        </row>
        <row r="2070">
          <cell r="B2070" t="str">
            <v>5.1.03.07.04</v>
          </cell>
          <cell r="C2070" t="str">
            <v>Belanja Bunga Pinjaman Daerah dari Lembaga Keuangan Bukan Bank (LKBB)</v>
          </cell>
          <cell r="F2070">
            <v>0</v>
          </cell>
          <cell r="G2070">
            <v>0</v>
          </cell>
          <cell r="H2070">
            <v>0</v>
          </cell>
          <cell r="I2070">
            <v>0</v>
          </cell>
          <cell r="J2070">
            <v>0</v>
          </cell>
        </row>
        <row r="2071">
          <cell r="B2071" t="str">
            <v>5.1.03.08</v>
          </cell>
          <cell r="C2071" t="str">
            <v>Belanja Bunga Pembiayaan Utang Daerah-Obligasi Daerah</v>
          </cell>
          <cell r="D2071">
            <v>0</v>
          </cell>
          <cell r="E2071">
            <v>0</v>
          </cell>
          <cell r="J2071">
            <v>0</v>
          </cell>
        </row>
        <row r="2072">
          <cell r="B2072" t="str">
            <v>5.1.03.08.01</v>
          </cell>
          <cell r="C2072" t="str">
            <v>Belanja Bunga Obligasi Daerah</v>
          </cell>
          <cell r="F2072">
            <v>0</v>
          </cell>
          <cell r="G2072">
            <v>0</v>
          </cell>
          <cell r="H2072">
            <v>0</v>
          </cell>
          <cell r="I2072">
            <v>0</v>
          </cell>
          <cell r="J2072">
            <v>0</v>
          </cell>
        </row>
        <row r="2074">
          <cell r="B2074" t="str">
            <v>5.1.04</v>
          </cell>
          <cell r="C2074" t="str">
            <v>Belanja Subsidi</v>
          </cell>
          <cell r="D2074">
            <v>0</v>
          </cell>
          <cell r="E2074">
            <v>0</v>
          </cell>
          <cell r="J2074">
            <v>0</v>
          </cell>
        </row>
        <row r="2075">
          <cell r="B2075" t="str">
            <v>5.1.04.01</v>
          </cell>
          <cell r="C2075" t="str">
            <v>Belanja Subsidi kepada BUMN</v>
          </cell>
          <cell r="D2075">
            <v>0</v>
          </cell>
          <cell r="E2075">
            <v>0</v>
          </cell>
          <cell r="J2075">
            <v>0</v>
          </cell>
        </row>
        <row r="2076">
          <cell r="B2076" t="str">
            <v>5.1.04.01.01</v>
          </cell>
          <cell r="C2076" t="str">
            <v>Belanja Subsidi kepada BUMN</v>
          </cell>
          <cell r="F2076">
            <v>0</v>
          </cell>
          <cell r="G2076">
            <v>0</v>
          </cell>
          <cell r="H2076">
            <v>0</v>
          </cell>
          <cell r="I2076">
            <v>0</v>
          </cell>
          <cell r="J2076">
            <v>0</v>
          </cell>
        </row>
        <row r="2077">
          <cell r="B2077" t="str">
            <v>5.1.04.02</v>
          </cell>
          <cell r="C2077" t="str">
            <v>Belanja Subsidi kepada BUMD</v>
          </cell>
          <cell r="D2077">
            <v>0</v>
          </cell>
          <cell r="E2077">
            <v>0</v>
          </cell>
          <cell r="J2077">
            <v>0</v>
          </cell>
        </row>
        <row r="2078">
          <cell r="B2078" t="str">
            <v>5.1.04.02.02</v>
          </cell>
          <cell r="C2078" t="str">
            <v>Belanja Subsidi kepada BUMD</v>
          </cell>
          <cell r="F2078">
            <v>0</v>
          </cell>
          <cell r="G2078">
            <v>0</v>
          </cell>
          <cell r="H2078">
            <v>0</v>
          </cell>
          <cell r="I2078">
            <v>0</v>
          </cell>
          <cell r="J2078">
            <v>0</v>
          </cell>
        </row>
        <row r="2079">
          <cell r="B2079" t="str">
            <v>5.1.04.03</v>
          </cell>
          <cell r="C2079" t="str">
            <v>Belanja Subsidi kepada Badan Usaha Milik Swasta</v>
          </cell>
          <cell r="D2079">
            <v>0</v>
          </cell>
          <cell r="E2079">
            <v>0</v>
          </cell>
          <cell r="J2079">
            <v>0</v>
          </cell>
        </row>
        <row r="2080">
          <cell r="B2080" t="str">
            <v>5.1.04.03.01</v>
          </cell>
          <cell r="C2080" t="str">
            <v>Belanja Subsidi kepada Badan Usaha Milik Swasta</v>
          </cell>
          <cell r="F2080">
            <v>0</v>
          </cell>
          <cell r="G2080">
            <v>0</v>
          </cell>
          <cell r="H2080">
            <v>0</v>
          </cell>
          <cell r="I2080">
            <v>0</v>
          </cell>
          <cell r="J2080">
            <v>0</v>
          </cell>
        </row>
        <row r="2081">
          <cell r="B2081" t="str">
            <v>5.1.04.04</v>
          </cell>
          <cell r="C2081" t="str">
            <v>Belanja Subsidi kepada Koperasi</v>
          </cell>
          <cell r="D2081">
            <v>0</v>
          </cell>
          <cell r="E2081">
            <v>0</v>
          </cell>
          <cell r="J2081">
            <v>0</v>
          </cell>
        </row>
        <row r="2082">
          <cell r="B2082" t="str">
            <v>5.1.04.04.01</v>
          </cell>
          <cell r="C2082" t="str">
            <v>Belanja Subsidi kepada Koperasi</v>
          </cell>
          <cell r="F2082">
            <v>0</v>
          </cell>
          <cell r="G2082">
            <v>0</v>
          </cell>
          <cell r="H2082">
            <v>0</v>
          </cell>
          <cell r="I2082">
            <v>0</v>
          </cell>
          <cell r="J2082">
            <v>0</v>
          </cell>
        </row>
        <row r="2084">
          <cell r="B2084" t="str">
            <v>5.1.05</v>
          </cell>
          <cell r="C2084" t="str">
            <v>Belanja Hibah</v>
          </cell>
          <cell r="D2084">
            <v>65180177793</v>
          </cell>
          <cell r="E2084">
            <v>30118644715</v>
          </cell>
          <cell r="J2084">
            <v>30165321985</v>
          </cell>
        </row>
        <row r="2085">
          <cell r="B2085" t="str">
            <v>5.1.05.01</v>
          </cell>
          <cell r="C2085" t="str">
            <v>Belanja Hibah kepada Pemerintah Pusat</v>
          </cell>
          <cell r="D2085">
            <v>25240000000</v>
          </cell>
          <cell r="E2085">
            <v>100000000</v>
          </cell>
          <cell r="J2085">
            <v>100000000</v>
          </cell>
        </row>
        <row r="2086">
          <cell r="B2086" t="str">
            <v>5.1.05.01.01</v>
          </cell>
          <cell r="C2086" t="str">
            <v>Belanja Hibah Uang kepada Pemerintah Pusat</v>
          </cell>
          <cell r="D2086">
            <v>25240000000</v>
          </cell>
          <cell r="E2086">
            <v>100000000</v>
          </cell>
          <cell r="F2086">
            <v>0</v>
          </cell>
          <cell r="G2086">
            <v>0</v>
          </cell>
          <cell r="H2086">
            <v>0</v>
          </cell>
          <cell r="I2086">
            <v>0</v>
          </cell>
          <cell r="J2086">
            <v>100000000</v>
          </cell>
        </row>
        <row r="2087">
          <cell r="B2087" t="str">
            <v>5.1.05.01.02</v>
          </cell>
          <cell r="C2087" t="str">
            <v>Belanja Hibah Barang kepada Pemerintah Pusat</v>
          </cell>
          <cell r="F2087">
            <v>0</v>
          </cell>
          <cell r="G2087">
            <v>0</v>
          </cell>
          <cell r="H2087">
            <v>0</v>
          </cell>
          <cell r="I2087">
            <v>0</v>
          </cell>
          <cell r="J2087">
            <v>0</v>
          </cell>
        </row>
        <row r="2088">
          <cell r="B2088" t="str">
            <v>5.1.05.01.03</v>
          </cell>
          <cell r="C2088" t="str">
            <v>Belanja Hibah Jasa kepada Pemerintah Pusat</v>
          </cell>
          <cell r="F2088">
            <v>0</v>
          </cell>
          <cell r="G2088">
            <v>0</v>
          </cell>
          <cell r="H2088">
            <v>0</v>
          </cell>
          <cell r="I2088">
            <v>0</v>
          </cell>
          <cell r="J2088">
            <v>0</v>
          </cell>
        </row>
        <row r="2089">
          <cell r="B2089" t="str">
            <v>5.1.05.02</v>
          </cell>
          <cell r="C2089" t="str">
            <v>Belanja Hibah kepada Pemerintah Daerah Lainnya</v>
          </cell>
          <cell r="D2089">
            <v>0</v>
          </cell>
          <cell r="E2089">
            <v>0</v>
          </cell>
          <cell r="J2089">
            <v>0</v>
          </cell>
        </row>
        <row r="2090">
          <cell r="B2090" t="str">
            <v>5.1.05.02.01</v>
          </cell>
          <cell r="C2090" t="str">
            <v>Belanja Hibah Uang kepada Pemerintah Daerah Lainnya</v>
          </cell>
          <cell r="F2090">
            <v>0</v>
          </cell>
          <cell r="G2090">
            <v>0</v>
          </cell>
          <cell r="H2090">
            <v>0</v>
          </cell>
          <cell r="I2090">
            <v>0</v>
          </cell>
          <cell r="J2090">
            <v>0</v>
          </cell>
        </row>
        <row r="2091">
          <cell r="B2091" t="str">
            <v>5.1.05.02.02</v>
          </cell>
          <cell r="C2091" t="str">
            <v>Belanja Hibah Barang kepada Pemerintah Daerah Lainnya</v>
          </cell>
          <cell r="F2091">
            <v>0</v>
          </cell>
          <cell r="G2091">
            <v>0</v>
          </cell>
          <cell r="H2091">
            <v>0</v>
          </cell>
          <cell r="I2091">
            <v>0</v>
          </cell>
          <cell r="J2091">
            <v>0</v>
          </cell>
        </row>
        <row r="2092">
          <cell r="B2092" t="str">
            <v>5.1.05.02.03</v>
          </cell>
          <cell r="C2092" t="str">
            <v>Belanja Hibah Jasa kepada Pemerintah Daerah Lainnya</v>
          </cell>
          <cell r="F2092">
            <v>0</v>
          </cell>
          <cell r="G2092">
            <v>0</v>
          </cell>
          <cell r="H2092">
            <v>0</v>
          </cell>
          <cell r="I2092">
            <v>0</v>
          </cell>
          <cell r="J2092">
            <v>0</v>
          </cell>
        </row>
        <row r="2093">
          <cell r="B2093" t="str">
            <v>5.1.05.03</v>
          </cell>
          <cell r="C2093" t="str">
            <v>Belanja Hibah kepada BUMN</v>
          </cell>
          <cell r="D2093">
            <v>0</v>
          </cell>
          <cell r="E2093">
            <v>0</v>
          </cell>
          <cell r="J2093">
            <v>0</v>
          </cell>
        </row>
        <row r="2094">
          <cell r="B2094" t="str">
            <v>5.1.05.03.01</v>
          </cell>
          <cell r="C2094" t="str">
            <v>Belanja Hibah Uang kepada BUMN</v>
          </cell>
          <cell r="F2094">
            <v>0</v>
          </cell>
          <cell r="G2094">
            <v>0</v>
          </cell>
          <cell r="H2094">
            <v>0</v>
          </cell>
          <cell r="I2094">
            <v>0</v>
          </cell>
          <cell r="J2094">
            <v>0</v>
          </cell>
        </row>
        <row r="2095">
          <cell r="B2095" t="str">
            <v>5.1.05.03.02</v>
          </cell>
          <cell r="C2095" t="str">
            <v>Belanja Hibah Barang kepada BUMN</v>
          </cell>
          <cell r="F2095">
            <v>0</v>
          </cell>
          <cell r="G2095">
            <v>0</v>
          </cell>
          <cell r="H2095">
            <v>0</v>
          </cell>
          <cell r="I2095">
            <v>0</v>
          </cell>
          <cell r="J2095">
            <v>0</v>
          </cell>
        </row>
        <row r="2096">
          <cell r="B2096" t="str">
            <v>5.1.05.03.03</v>
          </cell>
          <cell r="C2096" t="str">
            <v>Belanja Hibah Jasa kepada BUMN</v>
          </cell>
          <cell r="F2096">
            <v>0</v>
          </cell>
          <cell r="G2096">
            <v>0</v>
          </cell>
          <cell r="H2096">
            <v>0</v>
          </cell>
          <cell r="I2096">
            <v>0</v>
          </cell>
          <cell r="J2096">
            <v>0</v>
          </cell>
        </row>
        <row r="2097">
          <cell r="B2097" t="str">
            <v>5.1.05.04</v>
          </cell>
          <cell r="C2097" t="str">
            <v>Belanja Hibah kepada BUMD</v>
          </cell>
          <cell r="D2097">
            <v>0</v>
          </cell>
          <cell r="E2097">
            <v>0</v>
          </cell>
          <cell r="J2097">
            <v>0</v>
          </cell>
        </row>
        <row r="2098">
          <cell r="B2098" t="str">
            <v>5.1.05.04.01</v>
          </cell>
          <cell r="C2098" t="str">
            <v>Belanja Hibah Uang kepada BUMD</v>
          </cell>
          <cell r="F2098">
            <v>0</v>
          </cell>
          <cell r="G2098">
            <v>0</v>
          </cell>
          <cell r="H2098">
            <v>0</v>
          </cell>
          <cell r="I2098">
            <v>0</v>
          </cell>
          <cell r="J2098">
            <v>0</v>
          </cell>
        </row>
        <row r="2099">
          <cell r="B2099" t="str">
            <v>5.1.05.04.02</v>
          </cell>
          <cell r="C2099" t="str">
            <v>Belanja Hibah Barang kepada BUMD</v>
          </cell>
          <cell r="F2099">
            <v>0</v>
          </cell>
          <cell r="G2099">
            <v>0</v>
          </cell>
          <cell r="H2099">
            <v>0</v>
          </cell>
          <cell r="I2099">
            <v>0</v>
          </cell>
          <cell r="J2099">
            <v>0</v>
          </cell>
        </row>
        <row r="2100">
          <cell r="B2100" t="str">
            <v>5.1.05.04.03</v>
          </cell>
          <cell r="C2100" t="str">
            <v>Belanja Hibah Jasa kepada BUMD</v>
          </cell>
          <cell r="F2100">
            <v>0</v>
          </cell>
          <cell r="G2100">
            <v>0</v>
          </cell>
          <cell r="H2100">
            <v>0</v>
          </cell>
          <cell r="I2100">
            <v>0</v>
          </cell>
          <cell r="J2100">
            <v>0</v>
          </cell>
        </row>
        <row r="2101">
          <cell r="B2101" t="str">
            <v>5.1.05.05</v>
          </cell>
          <cell r="C2101" t="str">
            <v>Belanja Hibah kepada Badan, Lembaga, Organisasi Kemasyarakatan yang Berbadan Hukum Indonesia</v>
          </cell>
          <cell r="D2101">
            <v>17314500000</v>
          </cell>
          <cell r="E2101">
            <v>8727639565</v>
          </cell>
          <cell r="J2101">
            <v>8727639565</v>
          </cell>
        </row>
        <row r="2102">
          <cell r="B2102" t="str">
            <v>5.1.05.05.01</v>
          </cell>
          <cell r="C2102" t="str">
            <v>Belanja Hibah kepada Badan dan Lembaga yang Bersifat Nirlaba, Sukarela dan Sosial yang Dibentuk Berdasarkan Peraturan Perundang-Undangan</v>
          </cell>
          <cell r="D2102">
            <v>11552500000</v>
          </cell>
          <cell r="E2102">
            <v>790000000</v>
          </cell>
          <cell r="F2102">
            <v>0</v>
          </cell>
          <cell r="G2102">
            <v>0</v>
          </cell>
          <cell r="H2102">
            <v>0</v>
          </cell>
          <cell r="I2102">
            <v>0</v>
          </cell>
          <cell r="J2102">
            <v>790000000</v>
          </cell>
        </row>
        <row r="2103">
          <cell r="B2103" t="str">
            <v>5.1.05.05.02</v>
          </cell>
          <cell r="C2103" t="str">
            <v>Belanja Hibah kepada Badan dan Lembaga Nirlaba, Sukarela dan Sosial yang Telah Memiliki Surat Keterangan Terdaftar</v>
          </cell>
          <cell r="D2103">
            <v>5112000000</v>
          </cell>
          <cell r="E2103">
            <v>7117639565</v>
          </cell>
          <cell r="F2103">
            <v>0</v>
          </cell>
          <cell r="G2103">
            <v>0</v>
          </cell>
          <cell r="H2103">
            <v>0</v>
          </cell>
          <cell r="I2103">
            <v>0</v>
          </cell>
          <cell r="J2103">
            <v>7117639565</v>
          </cell>
        </row>
        <row r="2104">
          <cell r="B2104" t="str">
            <v>5.1.05.05.03</v>
          </cell>
          <cell r="C2104" t="str">
            <v>Belanja Hibah kepada Badan dan Lembaga Nirlaba, Sukarela Bersifat Sosial Kemasyarakatan</v>
          </cell>
          <cell r="D2104">
            <v>550000000</v>
          </cell>
          <cell r="E2104">
            <v>720000000</v>
          </cell>
          <cell r="F2104">
            <v>0</v>
          </cell>
          <cell r="G2104">
            <v>0</v>
          </cell>
          <cell r="H2104">
            <v>0</v>
          </cell>
          <cell r="I2104">
            <v>0</v>
          </cell>
          <cell r="J2104">
            <v>720000000</v>
          </cell>
        </row>
        <row r="2105">
          <cell r="B2105" t="str">
            <v>5.1.05.05.04</v>
          </cell>
          <cell r="C2105" t="str">
            <v>Belanja Hibah kepada Koperasi</v>
          </cell>
          <cell r="D2105">
            <v>100000000</v>
          </cell>
          <cell r="E2105">
            <v>100000000</v>
          </cell>
          <cell r="F2105">
            <v>0</v>
          </cell>
          <cell r="G2105">
            <v>0</v>
          </cell>
          <cell r="H2105">
            <v>0</v>
          </cell>
          <cell r="I2105">
            <v>0</v>
          </cell>
          <cell r="J2105">
            <v>100000000</v>
          </cell>
        </row>
        <row r="2106">
          <cell r="B2106" t="str">
            <v>5.1.05.05.05</v>
          </cell>
          <cell r="C2106" t="str">
            <v>Belanja Hibah kepada Usaha Mikro dan Usaha Kecil</v>
          </cell>
          <cell r="F2106">
            <v>0</v>
          </cell>
          <cell r="G2106">
            <v>0</v>
          </cell>
          <cell r="H2106">
            <v>0</v>
          </cell>
          <cell r="I2106">
            <v>0</v>
          </cell>
          <cell r="J2106">
            <v>0</v>
          </cell>
        </row>
        <row r="2107">
          <cell r="B2107" t="str">
            <v>5.1.05.05.06</v>
          </cell>
          <cell r="C2107" t="str">
            <v>Belanja Hibah kepada Organisasi Kemasyarakatan yang Berbadan Hukum Indonesia</v>
          </cell>
          <cell r="F2107">
            <v>0</v>
          </cell>
          <cell r="G2107">
            <v>0</v>
          </cell>
          <cell r="H2107">
            <v>0</v>
          </cell>
          <cell r="I2107">
            <v>0</v>
          </cell>
          <cell r="J2107">
            <v>0</v>
          </cell>
        </row>
        <row r="2108">
          <cell r="B2108" t="str">
            <v>5.1.05.06</v>
          </cell>
          <cell r="C2108" t="str">
            <v>Belanja Hibah Dana BOS</v>
          </cell>
          <cell r="D2108">
            <v>0</v>
          </cell>
          <cell r="E2108">
            <v>0</v>
          </cell>
          <cell r="J2108">
            <v>0</v>
          </cell>
        </row>
        <row r="2109">
          <cell r="B2109" t="str">
            <v>5.1.05.06.01</v>
          </cell>
          <cell r="C2109" t="str">
            <v>Belanja Hibah Uang Dana BOS yang Diterima oleh Satdikdas Negeri</v>
          </cell>
          <cell r="F2109">
            <v>0</v>
          </cell>
          <cell r="G2109">
            <v>0</v>
          </cell>
          <cell r="H2109">
            <v>0</v>
          </cell>
          <cell r="I2109">
            <v>0</v>
          </cell>
          <cell r="J2109">
            <v>0</v>
          </cell>
        </row>
        <row r="2110">
          <cell r="B2110" t="str">
            <v>5.1.05.06.02</v>
          </cell>
          <cell r="C2110" t="str">
            <v>Belanja Hibah Uang Dana BOS yang Diterima oleh Satdikdas Swasta</v>
          </cell>
          <cell r="F2110">
            <v>0</v>
          </cell>
          <cell r="G2110">
            <v>0</v>
          </cell>
          <cell r="H2110">
            <v>0</v>
          </cell>
          <cell r="I2110">
            <v>0</v>
          </cell>
          <cell r="J2110">
            <v>0</v>
          </cell>
        </row>
        <row r="2111">
          <cell r="B2111" t="str">
            <v>5.1.05.06.03</v>
          </cell>
          <cell r="C2111" t="str">
            <v>Belanja Hibah Uang Dana BOS yang Diterima oleh Satdikmen Swasta</v>
          </cell>
          <cell r="F2111">
            <v>0</v>
          </cell>
          <cell r="G2111">
            <v>0</v>
          </cell>
          <cell r="H2111">
            <v>0</v>
          </cell>
          <cell r="I2111">
            <v>0</v>
          </cell>
          <cell r="J2111">
            <v>0</v>
          </cell>
        </row>
        <row r="2112">
          <cell r="B2112" t="str">
            <v>5.1.05.06.04</v>
          </cell>
          <cell r="C2112" t="str">
            <v>Belanja Hibah Uang Dana BOS yang Diterima oleh Satdiksus Swasta</v>
          </cell>
          <cell r="F2112">
            <v>0</v>
          </cell>
          <cell r="G2112">
            <v>0</v>
          </cell>
          <cell r="H2112">
            <v>0</v>
          </cell>
          <cell r="I2112">
            <v>0</v>
          </cell>
          <cell r="J2112">
            <v>0</v>
          </cell>
        </row>
        <row r="2113">
          <cell r="B2113" t="str">
            <v>5.1.05.07</v>
          </cell>
          <cell r="C2113" t="str">
            <v>Belanja Hibah Bantuan Keuangan kepada Partai Politik</v>
          </cell>
          <cell r="D2113">
            <v>794052000</v>
          </cell>
          <cell r="E2113">
            <v>877637000</v>
          </cell>
          <cell r="J2113">
            <v>877637000</v>
          </cell>
        </row>
        <row r="2114">
          <cell r="B2114" t="str">
            <v>5.1.05.07.01</v>
          </cell>
          <cell r="C2114" t="str">
            <v>Belanja Hibah Bantuan Keuangan kepada Partai Politik</v>
          </cell>
          <cell r="D2114">
            <v>794052000</v>
          </cell>
          <cell r="E2114">
            <v>877637000</v>
          </cell>
          <cell r="F2114">
            <v>0</v>
          </cell>
          <cell r="G2114">
            <v>0</v>
          </cell>
          <cell r="H2114">
            <v>0</v>
          </cell>
          <cell r="I2114">
            <v>0</v>
          </cell>
          <cell r="J2114">
            <v>877637000</v>
          </cell>
        </row>
        <row r="2115">
          <cell r="B2115" t="str">
            <v>5.1.05.08</v>
          </cell>
          <cell r="C2115" t="str">
            <v>Belanja Hibah Dana BOSP</v>
          </cell>
          <cell r="D2115">
            <v>21831625793</v>
          </cell>
          <cell r="E2115">
            <v>20413368150</v>
          </cell>
          <cell r="J2115">
            <v>20460045420</v>
          </cell>
        </row>
        <row r="2116">
          <cell r="B2116" t="str">
            <v>5.1.05.08.01</v>
          </cell>
          <cell r="C2116" t="str">
            <v>Belanja Hibah Dana BOSP-BOS</v>
          </cell>
          <cell r="D2116">
            <v>2902666650</v>
          </cell>
          <cell r="E2116">
            <v>2374751300</v>
          </cell>
          <cell r="F2116">
            <v>0</v>
          </cell>
          <cell r="G2116">
            <v>0</v>
          </cell>
          <cell r="H2116">
            <v>0</v>
          </cell>
          <cell r="I2116">
            <v>0</v>
          </cell>
          <cell r="J2116">
            <v>2374751300</v>
          </cell>
        </row>
        <row r="2117">
          <cell r="B2117" t="str">
            <v>5.1.05.08.02</v>
          </cell>
          <cell r="C2117" t="str">
            <v>Belanja Hibah Dana BOSP-BOP PAUD</v>
          </cell>
          <cell r="D2117">
            <v>16180211343</v>
          </cell>
          <cell r="E2117">
            <v>15060891000</v>
          </cell>
          <cell r="F2117">
            <v>0</v>
          </cell>
          <cell r="G2117">
            <v>14506230</v>
          </cell>
          <cell r="H2117">
            <v>0</v>
          </cell>
          <cell r="I2117">
            <v>0</v>
          </cell>
          <cell r="J2117">
            <v>15046384770</v>
          </cell>
        </row>
        <row r="2118">
          <cell r="B2118" t="str">
            <v>5.1.05.08.03</v>
          </cell>
          <cell r="C2118" t="str">
            <v>Belanja Hibah Dana BOSP-BOP Kesetaraan</v>
          </cell>
          <cell r="D2118">
            <v>2748747800</v>
          </cell>
          <cell r="E2118">
            <v>2977725850</v>
          </cell>
          <cell r="F2118">
            <v>61183500</v>
          </cell>
          <cell r="G2118">
            <v>0</v>
          </cell>
          <cell r="H2118">
            <v>0</v>
          </cell>
          <cell r="I2118">
            <v>0</v>
          </cell>
          <cell r="J2118">
            <v>3038909350</v>
          </cell>
        </row>
        <row r="2119">
          <cell r="B2119" t="str">
            <v>5.1.05.09</v>
          </cell>
          <cell r="C2119" t="str">
            <v>Belanja Hibah kepada BUMDesa</v>
          </cell>
          <cell r="D2119">
            <v>0</v>
          </cell>
          <cell r="E2119">
            <v>0</v>
          </cell>
          <cell r="J2119">
            <v>0</v>
          </cell>
        </row>
        <row r="2120">
          <cell r="B2120" t="str">
            <v>5.1.05.09.01</v>
          </cell>
          <cell r="C2120" t="str">
            <v>Belanja Hibah Uang kepada BUMDesa</v>
          </cell>
          <cell r="F2120">
            <v>0</v>
          </cell>
          <cell r="G2120">
            <v>0</v>
          </cell>
          <cell r="H2120">
            <v>0</v>
          </cell>
          <cell r="I2120">
            <v>0</v>
          </cell>
          <cell r="J2120">
            <v>0</v>
          </cell>
        </row>
        <row r="2121">
          <cell r="B2121" t="str">
            <v>5.1.05.09.02</v>
          </cell>
          <cell r="C2121" t="str">
            <v>Belanja Hibah Barang kepada BUMDesa</v>
          </cell>
          <cell r="F2121">
            <v>0</v>
          </cell>
          <cell r="G2121">
            <v>0</v>
          </cell>
          <cell r="H2121">
            <v>0</v>
          </cell>
          <cell r="I2121">
            <v>0</v>
          </cell>
          <cell r="J2121">
            <v>0</v>
          </cell>
        </row>
        <row r="2122">
          <cell r="B2122" t="str">
            <v>5.1.05.09.03</v>
          </cell>
          <cell r="C2122" t="str">
            <v>Belanja Hibah Jasa kepada BUMDesa</v>
          </cell>
          <cell r="F2122">
            <v>0</v>
          </cell>
          <cell r="G2122">
            <v>0</v>
          </cell>
          <cell r="H2122">
            <v>0</v>
          </cell>
          <cell r="I2122">
            <v>0</v>
          </cell>
          <cell r="J2122">
            <v>0</v>
          </cell>
        </row>
        <row r="2123">
          <cell r="B2123" t="str">
            <v>5.1.05.10</v>
          </cell>
          <cell r="C2123" t="str">
            <v>Belanja Hibah kepada Koperasi</v>
          </cell>
          <cell r="D2123">
            <v>0</v>
          </cell>
          <cell r="E2123">
            <v>0</v>
          </cell>
          <cell r="J2123">
            <v>0</v>
          </cell>
        </row>
        <row r="2124">
          <cell r="B2124" t="str">
            <v>5.1.05.10.01</v>
          </cell>
          <cell r="C2124" t="str">
            <v>Belanja Hibah Uang kepada Koperasi</v>
          </cell>
          <cell r="F2124">
            <v>0</v>
          </cell>
          <cell r="G2124">
            <v>0</v>
          </cell>
          <cell r="H2124">
            <v>0</v>
          </cell>
          <cell r="I2124">
            <v>0</v>
          </cell>
          <cell r="J2124">
            <v>0</v>
          </cell>
        </row>
        <row r="2125">
          <cell r="B2125" t="str">
            <v>5.1.05.10.02</v>
          </cell>
          <cell r="C2125" t="str">
            <v>Belanja Hibah Barang kepada Koperasi</v>
          </cell>
          <cell r="F2125">
            <v>0</v>
          </cell>
          <cell r="G2125">
            <v>0</v>
          </cell>
          <cell r="H2125">
            <v>0</v>
          </cell>
          <cell r="I2125">
            <v>0</v>
          </cell>
          <cell r="J2125">
            <v>0</v>
          </cell>
        </row>
        <row r="2126">
          <cell r="B2126" t="str">
            <v>5.1.05.10.03</v>
          </cell>
          <cell r="C2126" t="str">
            <v>Belanja Hibah Jasa kepada Koperasi</v>
          </cell>
          <cell r="F2126">
            <v>0</v>
          </cell>
          <cell r="G2126">
            <v>0</v>
          </cell>
          <cell r="H2126">
            <v>0</v>
          </cell>
          <cell r="I2126">
            <v>0</v>
          </cell>
          <cell r="J2126">
            <v>0</v>
          </cell>
        </row>
        <row r="2128">
          <cell r="B2128" t="str">
            <v>5.1.06</v>
          </cell>
          <cell r="C2128" t="str">
            <v>Belanja Bantuan Sosial</v>
          </cell>
          <cell r="D2128">
            <v>310600000</v>
          </cell>
          <cell r="E2128">
            <v>451000000</v>
          </cell>
          <cell r="J2128">
            <v>451000000</v>
          </cell>
        </row>
        <row r="2129">
          <cell r="B2129" t="str">
            <v>5.1.06.01</v>
          </cell>
          <cell r="C2129" t="str">
            <v>Belanja Bantuan Sosial kepada Individu</v>
          </cell>
          <cell r="D2129">
            <v>100600000</v>
          </cell>
          <cell r="E2129">
            <v>0</v>
          </cell>
          <cell r="J2129">
            <v>0</v>
          </cell>
        </row>
        <row r="2130">
          <cell r="B2130" t="str">
            <v>5.1.06.01.01</v>
          </cell>
          <cell r="C2130" t="str">
            <v>Belanja Bantuan Sosial Uang yang direncanakan kepada Individu</v>
          </cell>
          <cell r="D2130">
            <v>100600000</v>
          </cell>
          <cell r="F2130">
            <v>0</v>
          </cell>
          <cell r="G2130">
            <v>0</v>
          </cell>
          <cell r="H2130">
            <v>0</v>
          </cell>
          <cell r="I2130">
            <v>0</v>
          </cell>
          <cell r="J2130">
            <v>0</v>
          </cell>
        </row>
        <row r="2131">
          <cell r="B2131" t="str">
            <v>5.1.06.01.02</v>
          </cell>
          <cell r="C2131" t="str">
            <v>Belanja Bantuan Sosial Barang yang Direncanakan kepada Individu</v>
          </cell>
          <cell r="F2131">
            <v>0</v>
          </cell>
          <cell r="G2131">
            <v>0</v>
          </cell>
          <cell r="H2131">
            <v>0</v>
          </cell>
          <cell r="I2131">
            <v>0</v>
          </cell>
          <cell r="J2131">
            <v>0</v>
          </cell>
        </row>
        <row r="2132">
          <cell r="B2132" t="str">
            <v>5.1.06.02</v>
          </cell>
          <cell r="C2132" t="str">
            <v>Belanja Bantuan Sosial kepada Keluarga</v>
          </cell>
          <cell r="D2132">
            <v>0</v>
          </cell>
          <cell r="E2132">
            <v>0</v>
          </cell>
          <cell r="J2132">
            <v>0</v>
          </cell>
        </row>
        <row r="2133">
          <cell r="B2133" t="str">
            <v>5.1.06.02.01</v>
          </cell>
          <cell r="C2133" t="str">
            <v>Belanja Bantuan Sosial Uang yang direncanakan kepada Keluarga</v>
          </cell>
          <cell r="F2133">
            <v>0</v>
          </cell>
          <cell r="G2133">
            <v>0</v>
          </cell>
          <cell r="H2133">
            <v>0</v>
          </cell>
          <cell r="I2133">
            <v>0</v>
          </cell>
          <cell r="J2133">
            <v>0</v>
          </cell>
        </row>
        <row r="2134">
          <cell r="B2134" t="str">
            <v>5.1.06.02.02</v>
          </cell>
          <cell r="C2134" t="str">
            <v>Belanja Bantuan Sosial Barang yang Direncanakan kepada Keluarga</v>
          </cell>
          <cell r="F2134">
            <v>0</v>
          </cell>
          <cell r="G2134">
            <v>0</v>
          </cell>
          <cell r="H2134">
            <v>0</v>
          </cell>
          <cell r="I2134">
            <v>0</v>
          </cell>
          <cell r="J2134">
            <v>0</v>
          </cell>
        </row>
        <row r="2135">
          <cell r="B2135" t="str">
            <v>5.1.06.03</v>
          </cell>
          <cell r="C2135" t="str">
            <v>Belanja Bantuan Sosial kepada Kelompok Masyarakat</v>
          </cell>
          <cell r="D2135">
            <v>0</v>
          </cell>
          <cell r="E2135">
            <v>396000000</v>
          </cell>
          <cell r="J2135">
            <v>396000000</v>
          </cell>
        </row>
        <row r="2136">
          <cell r="B2136" t="str">
            <v>5.1.06.03.01</v>
          </cell>
          <cell r="C2136" t="str">
            <v>Belanja Bantuan Sosial Uang yang direncanakan kepada Kelompok Masyarakat</v>
          </cell>
          <cell r="E2136">
            <v>396000000</v>
          </cell>
          <cell r="F2136">
            <v>0</v>
          </cell>
          <cell r="G2136">
            <v>0</v>
          </cell>
          <cell r="H2136">
            <v>0</v>
          </cell>
          <cell r="I2136">
            <v>0</v>
          </cell>
          <cell r="J2136">
            <v>396000000</v>
          </cell>
        </row>
        <row r="2137">
          <cell r="B2137" t="str">
            <v>5.1.06.03.02</v>
          </cell>
          <cell r="C2137" t="str">
            <v>Belanja Bantuan Sosial Barang yang Direncanakan kepada Kelompok Masyarakat</v>
          </cell>
          <cell r="F2137">
            <v>0</v>
          </cell>
          <cell r="G2137">
            <v>0</v>
          </cell>
          <cell r="H2137">
            <v>0</v>
          </cell>
          <cell r="I2137">
            <v>0</v>
          </cell>
          <cell r="J2137">
            <v>0</v>
          </cell>
        </row>
        <row r="2138">
          <cell r="B2138" t="str">
            <v>5.1.06.04</v>
          </cell>
          <cell r="C2138" t="str">
            <v>Belanja Bantuan Sosial kepada Lembaga Non Pemerintahan (Bidang Pendidikan, Keagamaan dan Bidang Lainnya)</v>
          </cell>
          <cell r="D2138">
            <v>210000000</v>
          </cell>
          <cell r="E2138">
            <v>55000000</v>
          </cell>
          <cell r="J2138">
            <v>55000000</v>
          </cell>
        </row>
        <row r="2139">
          <cell r="B2139" t="str">
            <v>5.1.06.04.01</v>
          </cell>
          <cell r="C2139" t="str">
            <v>Belanja Bantuan Sosial Uang yang direncanakan kepada Lembaga Non Pemerintahan (Bidang Pendidikan, Keagamaan dan Bidang Lainnya)</v>
          </cell>
          <cell r="D2139">
            <v>210000000</v>
          </cell>
          <cell r="E2139">
            <v>55000000</v>
          </cell>
          <cell r="F2139">
            <v>0</v>
          </cell>
          <cell r="G2139">
            <v>0</v>
          </cell>
          <cell r="H2139">
            <v>0</v>
          </cell>
          <cell r="I2139">
            <v>0</v>
          </cell>
          <cell r="J2139">
            <v>55000000</v>
          </cell>
        </row>
        <row r="2140">
          <cell r="B2140" t="str">
            <v>5.1.06.04.02</v>
          </cell>
          <cell r="C2140" t="str">
            <v>Belanja Bantuan Sosial Barang yang Direncanakan kepada Lembaga Non Pemerintahan Bidang (Pendidikan, Keagamaan dan Bidang Lainnya)</v>
          </cell>
          <cell r="F2140">
            <v>0</v>
          </cell>
          <cell r="G2140">
            <v>0</v>
          </cell>
          <cell r="H2140">
            <v>0</v>
          </cell>
          <cell r="I2140">
            <v>0</v>
          </cell>
          <cell r="J2140">
            <v>0</v>
          </cell>
        </row>
        <row r="2142">
          <cell r="B2142" t="str">
            <v>5.1.07</v>
          </cell>
          <cell r="C2142" t="str">
            <v>Belanja Imbalan</v>
          </cell>
          <cell r="D2142">
            <v>0</v>
          </cell>
          <cell r="E2142">
            <v>0</v>
          </cell>
          <cell r="J2142">
            <v>0</v>
          </cell>
        </row>
        <row r="2143">
          <cell r="B2143" t="str">
            <v>5.1.07.01</v>
          </cell>
          <cell r="C2143" t="str">
            <v>Belanja Imbalan Sukuk Daerah</v>
          </cell>
          <cell r="D2143">
            <v>0</v>
          </cell>
          <cell r="E2143">
            <v>0</v>
          </cell>
          <cell r="J2143">
            <v>0</v>
          </cell>
        </row>
        <row r="2144">
          <cell r="B2144" t="str">
            <v>5.1.07.01.01</v>
          </cell>
          <cell r="C2144" t="str">
            <v>Belanja Imbalan Sukuk Daerah</v>
          </cell>
          <cell r="F2144">
            <v>0</v>
          </cell>
          <cell r="G2144">
            <v>0</v>
          </cell>
          <cell r="H2144">
            <v>0</v>
          </cell>
          <cell r="I2144">
            <v>0</v>
          </cell>
          <cell r="J2144">
            <v>0</v>
          </cell>
        </row>
        <row r="2146">
          <cell r="B2146" t="str">
            <v>5.2</v>
          </cell>
          <cell r="C2146" t="str">
            <v>BELANJA MODAL</v>
          </cell>
          <cell r="D2146">
            <v>212987711149</v>
          </cell>
          <cell r="E2146">
            <v>163119210730</v>
          </cell>
          <cell r="J2146">
            <v>163126710730</v>
          </cell>
        </row>
        <row r="2147">
          <cell r="B2147" t="str">
            <v>5.2.01</v>
          </cell>
          <cell r="C2147" t="str">
            <v>Belanja Modal Tanah</v>
          </cell>
          <cell r="D2147">
            <v>241362000</v>
          </cell>
          <cell r="E2147">
            <v>273738000</v>
          </cell>
          <cell r="J2147">
            <v>273738000</v>
          </cell>
        </row>
        <row r="2148">
          <cell r="B2148" t="str">
            <v>5.2.01.01</v>
          </cell>
          <cell r="C2148" t="str">
            <v>Belanja Modal Tanah</v>
          </cell>
          <cell r="D2148">
            <v>241362000</v>
          </cell>
          <cell r="E2148">
            <v>273738000</v>
          </cell>
          <cell r="J2148">
            <v>273738000</v>
          </cell>
        </row>
        <row r="2149">
          <cell r="B2149" t="str">
            <v>5.2.01.01.01</v>
          </cell>
          <cell r="C2149" t="str">
            <v>Belanja Modal Tanah Persil</v>
          </cell>
          <cell r="D2149">
            <v>0</v>
          </cell>
          <cell r="E2149">
            <v>243738000</v>
          </cell>
          <cell r="F2149">
            <v>0</v>
          </cell>
          <cell r="G2149">
            <v>0</v>
          </cell>
          <cell r="H2149">
            <v>0</v>
          </cell>
          <cell r="I2149">
            <v>0</v>
          </cell>
          <cell r="J2149">
            <v>243738000</v>
          </cell>
        </row>
        <row r="2150">
          <cell r="B2150" t="str">
            <v>5.2.01.01.02</v>
          </cell>
          <cell r="C2150" t="str">
            <v>Belanja Modal Tanah Non Persil</v>
          </cell>
          <cell r="D2150">
            <v>108915000</v>
          </cell>
          <cell r="E2150">
            <v>30000000</v>
          </cell>
          <cell r="F2150">
            <v>0</v>
          </cell>
          <cell r="G2150">
            <v>0</v>
          </cell>
          <cell r="H2150">
            <v>0</v>
          </cell>
          <cell r="I2150">
            <v>0</v>
          </cell>
          <cell r="J2150">
            <v>30000000</v>
          </cell>
        </row>
        <row r="2151">
          <cell r="B2151" t="str">
            <v>5.2.01.01.03</v>
          </cell>
          <cell r="C2151" t="str">
            <v>Belanja Modal Lapangan</v>
          </cell>
          <cell r="D2151">
            <v>132447000</v>
          </cell>
          <cell r="E2151">
            <v>0</v>
          </cell>
          <cell r="F2151">
            <v>0</v>
          </cell>
          <cell r="G2151">
            <v>0</v>
          </cell>
          <cell r="H2151">
            <v>0</v>
          </cell>
          <cell r="I2151">
            <v>0</v>
          </cell>
          <cell r="J2151">
            <v>0</v>
          </cell>
        </row>
        <row r="2152">
          <cell r="B2152" t="str">
            <v>5.2.01.99</v>
          </cell>
          <cell r="C2152" t="str">
            <v>Belanja Modal Tanah BLUD</v>
          </cell>
          <cell r="D2152">
            <v>0</v>
          </cell>
          <cell r="E2152">
            <v>0</v>
          </cell>
          <cell r="J2152">
            <v>0</v>
          </cell>
        </row>
        <row r="2153">
          <cell r="B2153" t="str">
            <v>5.2.01.99.99</v>
          </cell>
          <cell r="C2153" t="str">
            <v>Belanja Modal Tanah BLUD</v>
          </cell>
          <cell r="F2153">
            <v>0</v>
          </cell>
          <cell r="G2153">
            <v>0</v>
          </cell>
          <cell r="H2153">
            <v>0</v>
          </cell>
          <cell r="I2153">
            <v>0</v>
          </cell>
          <cell r="J2153">
            <v>0</v>
          </cell>
        </row>
        <row r="2155">
          <cell r="B2155" t="str">
            <v>5.2.02</v>
          </cell>
          <cell r="C2155" t="str">
            <v>Belanja Modal Peralatan dan Mesin</v>
          </cell>
          <cell r="D2155">
            <v>45626675608</v>
          </cell>
          <cell r="E2155">
            <v>36375768312</v>
          </cell>
          <cell r="J2155">
            <v>36383268312</v>
          </cell>
        </row>
        <row r="2156">
          <cell r="B2156" t="str">
            <v>5.2.02.01</v>
          </cell>
          <cell r="C2156" t="str">
            <v>Belanja Modal Alat Besar</v>
          </cell>
          <cell r="D2156">
            <v>1869977660</v>
          </cell>
          <cell r="E2156">
            <v>6111809580</v>
          </cell>
          <cell r="J2156">
            <v>6111809580</v>
          </cell>
        </row>
        <row r="2157">
          <cell r="B2157" t="str">
            <v>5.2.02.01.01</v>
          </cell>
          <cell r="C2157" t="str">
            <v>Belanja Modal Alat Besar Darat</v>
          </cell>
          <cell r="D2157">
            <v>1280600000</v>
          </cell>
          <cell r="E2157">
            <v>3892500000</v>
          </cell>
          <cell r="F2157">
            <v>0</v>
          </cell>
          <cell r="G2157">
            <v>0</v>
          </cell>
          <cell r="H2157">
            <v>0</v>
          </cell>
          <cell r="I2157">
            <v>0</v>
          </cell>
          <cell r="J2157">
            <v>3892500000</v>
          </cell>
        </row>
        <row r="2158">
          <cell r="B2158" t="str">
            <v>5.2.02.01.02</v>
          </cell>
          <cell r="C2158" t="str">
            <v>Belanja Modal Alat Besar Apung</v>
          </cell>
          <cell r="F2158">
            <v>0</v>
          </cell>
          <cell r="G2158">
            <v>0</v>
          </cell>
          <cell r="H2158">
            <v>0</v>
          </cell>
          <cell r="I2158">
            <v>0</v>
          </cell>
          <cell r="J2158">
            <v>0</v>
          </cell>
        </row>
        <row r="2159">
          <cell r="B2159" t="str">
            <v>5.2.02.01.03</v>
          </cell>
          <cell r="C2159" t="str">
            <v>Belanja Modal Alat Bantu</v>
          </cell>
          <cell r="D2159">
            <v>589377660</v>
          </cell>
          <cell r="E2159">
            <v>2219309580</v>
          </cell>
          <cell r="F2159">
            <v>0</v>
          </cell>
          <cell r="G2159">
            <v>0</v>
          </cell>
          <cell r="H2159">
            <v>0</v>
          </cell>
          <cell r="I2159">
            <v>0</v>
          </cell>
          <cell r="J2159">
            <v>2219309580</v>
          </cell>
        </row>
        <row r="2160">
          <cell r="B2160" t="str">
            <v>5.2.02.02</v>
          </cell>
          <cell r="C2160" t="str">
            <v>Belanja Modal Alat Angkutan</v>
          </cell>
          <cell r="D2160">
            <v>11138380000</v>
          </cell>
          <cell r="E2160">
            <v>5942552001</v>
          </cell>
          <cell r="J2160">
            <v>5942552001</v>
          </cell>
        </row>
        <row r="2161">
          <cell r="B2161" t="str">
            <v>5.2.02.02.01</v>
          </cell>
          <cell r="C2161" t="str">
            <v>Belanja Modal Alat Angkutan Darat Bermotor</v>
          </cell>
          <cell r="D2161">
            <v>11138380000</v>
          </cell>
          <cell r="E2161">
            <v>5935952001</v>
          </cell>
          <cell r="F2161">
            <v>0</v>
          </cell>
          <cell r="G2161">
            <v>0</v>
          </cell>
          <cell r="H2161">
            <v>0</v>
          </cell>
          <cell r="I2161">
            <v>0</v>
          </cell>
          <cell r="J2161">
            <v>5935952001</v>
          </cell>
        </row>
        <row r="2162">
          <cell r="B2162" t="str">
            <v>5.2.02.02.02</v>
          </cell>
          <cell r="C2162" t="str">
            <v>Belanja Modal Alat Angkutan Darat Tak Bermotor</v>
          </cell>
          <cell r="F2162">
            <v>0</v>
          </cell>
          <cell r="G2162">
            <v>0</v>
          </cell>
          <cell r="H2162">
            <v>0</v>
          </cell>
          <cell r="I2162">
            <v>0</v>
          </cell>
          <cell r="J2162">
            <v>0</v>
          </cell>
        </row>
        <row r="2163">
          <cell r="B2163" t="str">
            <v>5.2.02.02.03</v>
          </cell>
          <cell r="C2163" t="str">
            <v>Belanja Modal Alat Angkutan Apung Bermotor</v>
          </cell>
          <cell r="E2163">
            <v>6600000</v>
          </cell>
          <cell r="F2163">
            <v>0</v>
          </cell>
          <cell r="G2163">
            <v>0</v>
          </cell>
          <cell r="H2163">
            <v>0</v>
          </cell>
          <cell r="I2163">
            <v>0</v>
          </cell>
          <cell r="J2163">
            <v>6600000</v>
          </cell>
        </row>
        <row r="2164">
          <cell r="B2164" t="str">
            <v>5.2.02.02.04</v>
          </cell>
          <cell r="C2164" t="str">
            <v>Belanja Modal Alat Angkutan Apung Tak Bermotor</v>
          </cell>
          <cell r="F2164">
            <v>0</v>
          </cell>
          <cell r="G2164">
            <v>0</v>
          </cell>
          <cell r="H2164">
            <v>0</v>
          </cell>
          <cell r="I2164">
            <v>0</v>
          </cell>
          <cell r="J2164">
            <v>0</v>
          </cell>
        </row>
        <row r="2165">
          <cell r="B2165" t="str">
            <v>5.2.02.02.05</v>
          </cell>
          <cell r="C2165" t="str">
            <v>Belanja Modal Alat Angkutan Bermotor Udara</v>
          </cell>
          <cell r="F2165">
            <v>0</v>
          </cell>
          <cell r="G2165">
            <v>0</v>
          </cell>
          <cell r="H2165">
            <v>0</v>
          </cell>
          <cell r="I2165">
            <v>0</v>
          </cell>
          <cell r="J2165">
            <v>0</v>
          </cell>
        </row>
        <row r="2166">
          <cell r="B2166" t="str">
            <v>5.2.02.03</v>
          </cell>
          <cell r="C2166" t="str">
            <v>Belanja Modal Alat Bengkel dan Alat Ukur</v>
          </cell>
          <cell r="D2166">
            <v>9897430</v>
          </cell>
          <cell r="E2166">
            <v>252831000</v>
          </cell>
          <cell r="J2166">
            <v>252831000</v>
          </cell>
        </row>
        <row r="2167">
          <cell r="B2167" t="str">
            <v>5.2.02.03.01</v>
          </cell>
          <cell r="C2167" t="str">
            <v>Belanja Modal Alat Bengkel Bermesin</v>
          </cell>
          <cell r="F2167">
            <v>0</v>
          </cell>
          <cell r="G2167">
            <v>0</v>
          </cell>
          <cell r="H2167">
            <v>0</v>
          </cell>
          <cell r="I2167">
            <v>0</v>
          </cell>
          <cell r="J2167">
            <v>0</v>
          </cell>
        </row>
        <row r="2168">
          <cell r="B2168" t="str">
            <v>5.2.02.03.02</v>
          </cell>
          <cell r="C2168" t="str">
            <v>Belanja Modal Alat Bengkel Tak Bermesin</v>
          </cell>
          <cell r="E2168">
            <v>675000</v>
          </cell>
          <cell r="F2168">
            <v>0</v>
          </cell>
          <cell r="G2168">
            <v>0</v>
          </cell>
          <cell r="H2168">
            <v>0</v>
          </cell>
          <cell r="I2168">
            <v>0</v>
          </cell>
          <cell r="J2168">
            <v>675000</v>
          </cell>
        </row>
        <row r="2169">
          <cell r="B2169" t="str">
            <v>5.2.02.03.03</v>
          </cell>
          <cell r="C2169" t="str">
            <v>Belanja Modal Alat Ukur</v>
          </cell>
          <cell r="D2169">
            <v>9897430</v>
          </cell>
          <cell r="E2169">
            <v>252156000</v>
          </cell>
          <cell r="F2169">
            <v>0</v>
          </cell>
          <cell r="G2169">
            <v>0</v>
          </cell>
          <cell r="H2169">
            <v>0</v>
          </cell>
          <cell r="I2169">
            <v>0</v>
          </cell>
          <cell r="J2169">
            <v>252156000</v>
          </cell>
        </row>
        <row r="2170">
          <cell r="B2170" t="str">
            <v>5.2.02.04</v>
          </cell>
          <cell r="C2170" t="str">
            <v>Belanja Modal Alat Pertanian</v>
          </cell>
          <cell r="D2170">
            <v>124800000</v>
          </cell>
          <cell r="E2170">
            <v>157597260</v>
          </cell>
          <cell r="J2170">
            <v>157597260</v>
          </cell>
        </row>
        <row r="2171">
          <cell r="B2171" t="str">
            <v>5.2.02.04.01</v>
          </cell>
          <cell r="C2171" t="str">
            <v>Belanja Modal Alat Pengolahan</v>
          </cell>
          <cell r="D2171">
            <v>124800000</v>
          </cell>
          <cell r="E2171">
            <v>157597260</v>
          </cell>
          <cell r="F2171">
            <v>0</v>
          </cell>
          <cell r="G2171">
            <v>0</v>
          </cell>
          <cell r="H2171">
            <v>0</v>
          </cell>
          <cell r="I2171">
            <v>0</v>
          </cell>
          <cell r="J2171">
            <v>157597260</v>
          </cell>
        </row>
        <row r="2172">
          <cell r="B2172" t="str">
            <v>5.2.02.05</v>
          </cell>
          <cell r="C2172" t="str">
            <v>Belanja Modal Alat Kantor dan Rumah Tangga</v>
          </cell>
          <cell r="D2172">
            <v>8858217200</v>
          </cell>
          <cell r="E2172">
            <v>5704375158</v>
          </cell>
          <cell r="J2172">
            <v>5704375158</v>
          </cell>
        </row>
        <row r="2173">
          <cell r="B2173" t="str">
            <v>5.2.02.05.01</v>
          </cell>
          <cell r="C2173" t="str">
            <v>Belanja Modal Alat Kantor</v>
          </cell>
          <cell r="D2173">
            <v>420150000</v>
          </cell>
          <cell r="E2173">
            <v>963541440</v>
          </cell>
          <cell r="F2173">
            <v>0</v>
          </cell>
          <cell r="G2173">
            <v>0</v>
          </cell>
          <cell r="H2173">
            <v>0</v>
          </cell>
          <cell r="I2173">
            <v>0</v>
          </cell>
          <cell r="J2173">
            <v>963541440</v>
          </cell>
        </row>
        <row r="2174">
          <cell r="B2174" t="str">
            <v>5.2.02.05.02</v>
          </cell>
          <cell r="C2174" t="str">
            <v>Belanja Modal Alat Rumah Tangga</v>
          </cell>
          <cell r="D2174">
            <v>8152507200</v>
          </cell>
          <cell r="E2174">
            <v>4564888218</v>
          </cell>
          <cell r="F2174">
            <v>0</v>
          </cell>
          <cell r="G2174">
            <v>0</v>
          </cell>
          <cell r="H2174">
            <v>0</v>
          </cell>
          <cell r="I2174">
            <v>0</v>
          </cell>
          <cell r="J2174">
            <v>4564888218</v>
          </cell>
        </row>
        <row r="2175">
          <cell r="B2175" t="str">
            <v>5.2.02.05.03</v>
          </cell>
          <cell r="C2175" t="str">
            <v>Belanja Modal Meja dan Kursi Kerja/Rapat Pejabat</v>
          </cell>
          <cell r="D2175">
            <v>285560000</v>
          </cell>
          <cell r="E2175">
            <v>175945500</v>
          </cell>
          <cell r="F2175">
            <v>0</v>
          </cell>
          <cell r="G2175">
            <v>0</v>
          </cell>
          <cell r="H2175">
            <v>0</v>
          </cell>
          <cell r="I2175">
            <v>0</v>
          </cell>
          <cell r="J2175">
            <v>175945500</v>
          </cell>
        </row>
        <row r="2176">
          <cell r="B2176" t="str">
            <v>5.2.02.06</v>
          </cell>
          <cell r="C2176" t="str">
            <v>Belanja Modal Alat Studio, Komunikasi, dan Pemancar</v>
          </cell>
          <cell r="D2176">
            <v>558945038</v>
          </cell>
          <cell r="E2176">
            <v>562513340</v>
          </cell>
          <cell r="J2176">
            <v>562513340</v>
          </cell>
        </row>
        <row r="2177">
          <cell r="B2177" t="str">
            <v>5.2.02.06.01</v>
          </cell>
          <cell r="C2177" t="str">
            <v>Belanja Modal Alat Studio</v>
          </cell>
          <cell r="D2177">
            <v>430649400</v>
          </cell>
          <cell r="E2177">
            <v>525163340</v>
          </cell>
          <cell r="F2177">
            <v>0</v>
          </cell>
          <cell r="G2177">
            <v>0</v>
          </cell>
          <cell r="H2177">
            <v>0</v>
          </cell>
          <cell r="I2177">
            <v>0</v>
          </cell>
          <cell r="J2177">
            <v>525163340</v>
          </cell>
        </row>
        <row r="2178">
          <cell r="B2178" t="str">
            <v>5.2.02.06.02</v>
          </cell>
          <cell r="C2178" t="str">
            <v>Belanja Modal Alat Komunikasi</v>
          </cell>
          <cell r="D2178">
            <v>128295638</v>
          </cell>
          <cell r="E2178">
            <v>37350000</v>
          </cell>
          <cell r="F2178">
            <v>0</v>
          </cell>
          <cell r="G2178">
            <v>0</v>
          </cell>
          <cell r="H2178">
            <v>0</v>
          </cell>
          <cell r="I2178">
            <v>0</v>
          </cell>
          <cell r="J2178">
            <v>37350000</v>
          </cell>
        </row>
        <row r="2179">
          <cell r="B2179" t="str">
            <v>5.2.02.06.03</v>
          </cell>
          <cell r="C2179" t="str">
            <v>Belanja Modal Peralatan Pemancar</v>
          </cell>
          <cell r="F2179">
            <v>0</v>
          </cell>
          <cell r="G2179">
            <v>0</v>
          </cell>
          <cell r="H2179">
            <v>0</v>
          </cell>
          <cell r="I2179">
            <v>0</v>
          </cell>
          <cell r="J2179">
            <v>0</v>
          </cell>
        </row>
        <row r="2180">
          <cell r="B2180" t="str">
            <v>5.2.02.06.04</v>
          </cell>
          <cell r="C2180" t="str">
            <v>Belanja Modal Peralatan Komunikasi Navigasi</v>
          </cell>
          <cell r="F2180">
            <v>0</v>
          </cell>
          <cell r="G2180">
            <v>0</v>
          </cell>
          <cell r="H2180">
            <v>0</v>
          </cell>
          <cell r="I2180">
            <v>0</v>
          </cell>
          <cell r="J2180">
            <v>0</v>
          </cell>
        </row>
        <row r="2181">
          <cell r="B2181" t="str">
            <v>5.2.02.07</v>
          </cell>
          <cell r="C2181" t="str">
            <v>Belanja Modal Alat Kedokteran dan Kesehatan</v>
          </cell>
          <cell r="D2181">
            <v>6012252964</v>
          </cell>
          <cell r="E2181">
            <v>1028263000</v>
          </cell>
          <cell r="J2181">
            <v>1028263000</v>
          </cell>
        </row>
        <row r="2182">
          <cell r="B2182" t="str">
            <v>5.2.02.07.01</v>
          </cell>
          <cell r="C2182" t="str">
            <v>Belanja Modal Alat Kedokteran</v>
          </cell>
          <cell r="E2182">
            <v>102090000</v>
          </cell>
          <cell r="F2182">
            <v>0</v>
          </cell>
          <cell r="G2182">
            <v>0</v>
          </cell>
          <cell r="H2182">
            <v>0</v>
          </cell>
          <cell r="I2182">
            <v>0</v>
          </cell>
          <cell r="J2182">
            <v>102090000</v>
          </cell>
        </row>
        <row r="2183">
          <cell r="B2183" t="str">
            <v>5.2.02.07.02</v>
          </cell>
          <cell r="C2183" t="str">
            <v>Belanja Modal Alat Kesehatan Umum</v>
          </cell>
          <cell r="D2183">
            <v>6012252964</v>
          </cell>
          <cell r="E2183">
            <v>926173000</v>
          </cell>
          <cell r="F2183">
            <v>0</v>
          </cell>
          <cell r="G2183">
            <v>0</v>
          </cell>
          <cell r="H2183">
            <v>0</v>
          </cell>
          <cell r="I2183">
            <v>0</v>
          </cell>
          <cell r="J2183">
            <v>926173000</v>
          </cell>
        </row>
        <row r="2184">
          <cell r="B2184" t="str">
            <v>5.2.02.08</v>
          </cell>
          <cell r="C2184" t="str">
            <v>Belanja Modal Alat Laboratorium</v>
          </cell>
          <cell r="D2184">
            <v>3455698500</v>
          </cell>
          <cell r="E2184">
            <v>1819305687</v>
          </cell>
          <cell r="J2184">
            <v>1819305687</v>
          </cell>
        </row>
        <row r="2185">
          <cell r="B2185" t="str">
            <v>5.2.02.08.01</v>
          </cell>
          <cell r="C2185" t="str">
            <v>Belanja Modal Unit Alat Laboratorium</v>
          </cell>
          <cell r="D2185">
            <v>538200000</v>
          </cell>
          <cell r="E2185">
            <v>284499999</v>
          </cell>
          <cell r="F2185">
            <v>0</v>
          </cell>
          <cell r="G2185">
            <v>0</v>
          </cell>
          <cell r="H2185">
            <v>0</v>
          </cell>
          <cell r="I2185">
            <v>0</v>
          </cell>
          <cell r="J2185">
            <v>284499999</v>
          </cell>
        </row>
        <row r="2186">
          <cell r="B2186" t="str">
            <v>5.2.02.08.02</v>
          </cell>
          <cell r="C2186" t="str">
            <v>Belanja Modal Unit Alat Laboratorium Kimia Nuklir</v>
          </cell>
          <cell r="F2186">
            <v>0</v>
          </cell>
          <cell r="G2186">
            <v>0</v>
          </cell>
          <cell r="H2186">
            <v>0</v>
          </cell>
          <cell r="I2186">
            <v>0</v>
          </cell>
          <cell r="J2186">
            <v>0</v>
          </cell>
        </row>
        <row r="2187">
          <cell r="B2187" t="str">
            <v>5.2.02.08.03</v>
          </cell>
          <cell r="C2187" t="str">
            <v>Belanja Modal Alat Peraga Praktek Sekolah</v>
          </cell>
          <cell r="D2187">
            <v>2917498500</v>
          </cell>
          <cell r="E2187">
            <v>1534805688</v>
          </cell>
          <cell r="F2187">
            <v>0</v>
          </cell>
          <cell r="G2187">
            <v>0</v>
          </cell>
          <cell r="H2187">
            <v>0</v>
          </cell>
          <cell r="I2187">
            <v>0</v>
          </cell>
          <cell r="J2187">
            <v>1534805688</v>
          </cell>
        </row>
        <row r="2188">
          <cell r="B2188" t="str">
            <v>5.2.02.08.04</v>
          </cell>
          <cell r="C2188" t="str">
            <v>Belanja Modal Alat Laboratorium Fisika Nuklir/Elektronika</v>
          </cell>
          <cell r="F2188">
            <v>0</v>
          </cell>
          <cell r="G2188">
            <v>0</v>
          </cell>
          <cell r="H2188">
            <v>0</v>
          </cell>
          <cell r="I2188">
            <v>0</v>
          </cell>
          <cell r="J2188">
            <v>0</v>
          </cell>
        </row>
        <row r="2189">
          <cell r="B2189" t="str">
            <v>5.2.02.08.05</v>
          </cell>
          <cell r="C2189" t="str">
            <v>Belanja Modal Alat Proteksi Radiasi/Proteksi Lingkungan</v>
          </cell>
          <cell r="F2189">
            <v>0</v>
          </cell>
          <cell r="G2189">
            <v>0</v>
          </cell>
          <cell r="H2189">
            <v>0</v>
          </cell>
          <cell r="I2189">
            <v>0</v>
          </cell>
          <cell r="J2189">
            <v>0</v>
          </cell>
        </row>
        <row r="2190">
          <cell r="B2190" t="str">
            <v>5.2.02.08.06</v>
          </cell>
          <cell r="C2190" t="str">
            <v>Belanja Modal Radiation Application and Non Destructive Testing Laboratory Lainnya</v>
          </cell>
          <cell r="F2190">
            <v>0</v>
          </cell>
          <cell r="G2190">
            <v>0</v>
          </cell>
          <cell r="H2190">
            <v>0</v>
          </cell>
          <cell r="I2190">
            <v>0</v>
          </cell>
          <cell r="J2190">
            <v>0</v>
          </cell>
        </row>
        <row r="2191">
          <cell r="B2191" t="str">
            <v>5.2.02.08.07</v>
          </cell>
          <cell r="C2191" t="str">
            <v>Belanja Modal Alat Laboratorium Lingkungan Hidup</v>
          </cell>
          <cell r="F2191">
            <v>0</v>
          </cell>
          <cell r="G2191">
            <v>0</v>
          </cell>
          <cell r="H2191">
            <v>0</v>
          </cell>
          <cell r="I2191">
            <v>0</v>
          </cell>
          <cell r="J2191">
            <v>0</v>
          </cell>
        </row>
        <row r="2192">
          <cell r="B2192" t="str">
            <v>5.2.02.08.08</v>
          </cell>
          <cell r="C2192" t="str">
            <v>Belanja Modal Peralatan Laboratorium Hydrodinamica</v>
          </cell>
          <cell r="F2192">
            <v>0</v>
          </cell>
          <cell r="G2192">
            <v>0</v>
          </cell>
          <cell r="H2192">
            <v>0</v>
          </cell>
          <cell r="I2192">
            <v>0</v>
          </cell>
          <cell r="J2192">
            <v>0</v>
          </cell>
        </row>
        <row r="2193">
          <cell r="B2193" t="str">
            <v>5.2.02.08.09</v>
          </cell>
          <cell r="C2193" t="str">
            <v>Belanja Modal Alat Laboratorium Standarisasi Kalibrasi dan Instrumentasi</v>
          </cell>
          <cell r="F2193">
            <v>0</v>
          </cell>
          <cell r="G2193">
            <v>0</v>
          </cell>
          <cell r="H2193">
            <v>0</v>
          </cell>
          <cell r="I2193">
            <v>0</v>
          </cell>
          <cell r="J2193">
            <v>0</v>
          </cell>
        </row>
        <row r="2194">
          <cell r="B2194" t="str">
            <v>5.2.02.10</v>
          </cell>
          <cell r="C2194" t="str">
            <v>Belanja Modal Komputer</v>
          </cell>
          <cell r="D2194">
            <v>4311154698</v>
          </cell>
          <cell r="E2194">
            <v>3397467508</v>
          </cell>
          <cell r="J2194">
            <v>3397467508</v>
          </cell>
        </row>
        <row r="2195">
          <cell r="B2195" t="str">
            <v>5.2.02.10.01</v>
          </cell>
          <cell r="C2195" t="str">
            <v>Belanja Modal Komputer Unit</v>
          </cell>
          <cell r="D2195">
            <v>3352442534</v>
          </cell>
          <cell r="E2195">
            <v>2744349468</v>
          </cell>
          <cell r="F2195">
            <v>0</v>
          </cell>
          <cell r="G2195">
            <v>0</v>
          </cell>
          <cell r="H2195">
            <v>0</v>
          </cell>
          <cell r="I2195">
            <v>0</v>
          </cell>
          <cell r="J2195">
            <v>2744349468</v>
          </cell>
        </row>
        <row r="2196">
          <cell r="B2196" t="str">
            <v>5.2.02.10.02</v>
          </cell>
          <cell r="C2196" t="str">
            <v>Belanja Modal Peralatan Komputer</v>
          </cell>
          <cell r="D2196">
            <v>958712164</v>
          </cell>
          <cell r="E2196">
            <v>653118040</v>
          </cell>
          <cell r="F2196">
            <v>0</v>
          </cell>
          <cell r="G2196">
            <v>0</v>
          </cell>
          <cell r="H2196">
            <v>0</v>
          </cell>
          <cell r="I2196">
            <v>0</v>
          </cell>
          <cell r="J2196">
            <v>653118040</v>
          </cell>
        </row>
        <row r="2197">
          <cell r="B2197" t="str">
            <v>5.2.02.11</v>
          </cell>
          <cell r="C2197" t="str">
            <v>Belanja Modal Alat Eksplorasi</v>
          </cell>
          <cell r="D2197">
            <v>209836085</v>
          </cell>
          <cell r="E2197">
            <v>154143490</v>
          </cell>
          <cell r="J2197">
            <v>154143490</v>
          </cell>
        </row>
        <row r="2198">
          <cell r="B2198" t="str">
            <v>5.2.02.11.01</v>
          </cell>
          <cell r="C2198" t="str">
            <v>Belanja Modal Alat Eksplorasi Topografi</v>
          </cell>
          <cell r="D2198">
            <v>209836085</v>
          </cell>
          <cell r="E2198">
            <v>154143490</v>
          </cell>
          <cell r="F2198">
            <v>0</v>
          </cell>
          <cell r="G2198">
            <v>0</v>
          </cell>
          <cell r="H2198">
            <v>0</v>
          </cell>
          <cell r="I2198">
            <v>0</v>
          </cell>
          <cell r="J2198">
            <v>154143490</v>
          </cell>
        </row>
        <row r="2199">
          <cell r="B2199" t="str">
            <v>5.2.02.11.02</v>
          </cell>
          <cell r="C2199" t="str">
            <v>Belanja Modal Alat Eksplorasi Geofisika</v>
          </cell>
          <cell r="F2199">
            <v>0</v>
          </cell>
          <cell r="G2199">
            <v>0</v>
          </cell>
          <cell r="H2199">
            <v>0</v>
          </cell>
          <cell r="I2199">
            <v>0</v>
          </cell>
          <cell r="J2199">
            <v>0</v>
          </cell>
        </row>
        <row r="2200">
          <cell r="B2200" t="str">
            <v>5.2.02.12</v>
          </cell>
          <cell r="C2200" t="str">
            <v>Belanja Modal Alat Pengeboran</v>
          </cell>
          <cell r="D2200">
            <v>0</v>
          </cell>
          <cell r="E2200">
            <v>0</v>
          </cell>
          <cell r="J2200">
            <v>0</v>
          </cell>
        </row>
        <row r="2201">
          <cell r="B2201" t="str">
            <v>5.2.02.12.01</v>
          </cell>
          <cell r="C2201" t="str">
            <v>Belanja Modal Alat Pengeboran Mesin</v>
          </cell>
          <cell r="F2201">
            <v>0</v>
          </cell>
          <cell r="G2201">
            <v>0</v>
          </cell>
          <cell r="H2201">
            <v>0</v>
          </cell>
          <cell r="I2201">
            <v>0</v>
          </cell>
          <cell r="J2201">
            <v>0</v>
          </cell>
        </row>
        <row r="2202">
          <cell r="B2202" t="str">
            <v>5.2.02.12.02</v>
          </cell>
          <cell r="C2202" t="str">
            <v>Belanja Modal Alat Pengeboran Non Mesin</v>
          </cell>
          <cell r="F2202">
            <v>0</v>
          </cell>
          <cell r="G2202">
            <v>0</v>
          </cell>
          <cell r="H2202">
            <v>0</v>
          </cell>
          <cell r="I2202">
            <v>0</v>
          </cell>
          <cell r="J2202">
            <v>0</v>
          </cell>
        </row>
        <row r="2203">
          <cell r="B2203" t="str">
            <v>5.2.02.13</v>
          </cell>
          <cell r="C2203" t="str">
            <v>Belanja Modal Alat Produksi, Pengolahan, dan Pemurnian</v>
          </cell>
          <cell r="D2203">
            <v>0</v>
          </cell>
          <cell r="E2203">
            <v>0</v>
          </cell>
          <cell r="J2203">
            <v>0</v>
          </cell>
        </row>
        <row r="2204">
          <cell r="B2204" t="str">
            <v>5.2.02.13.01</v>
          </cell>
          <cell r="C2204" t="str">
            <v>Belanja Modal Sumur</v>
          </cell>
          <cell r="F2204">
            <v>0</v>
          </cell>
          <cell r="G2204">
            <v>0</v>
          </cell>
          <cell r="H2204">
            <v>0</v>
          </cell>
          <cell r="I2204">
            <v>0</v>
          </cell>
          <cell r="J2204">
            <v>0</v>
          </cell>
        </row>
        <row r="2205">
          <cell r="B2205" t="str">
            <v>5.2.02.13.02</v>
          </cell>
          <cell r="C2205" t="str">
            <v>Belanja Modal Produksi</v>
          </cell>
          <cell r="F2205">
            <v>0</v>
          </cell>
          <cell r="G2205">
            <v>0</v>
          </cell>
          <cell r="H2205">
            <v>0</v>
          </cell>
          <cell r="I2205">
            <v>0</v>
          </cell>
          <cell r="J2205">
            <v>0</v>
          </cell>
        </row>
        <row r="2206">
          <cell r="B2206" t="str">
            <v>5.2.02.13.03</v>
          </cell>
          <cell r="C2206" t="str">
            <v>Belanja Modal Pengolahan dan Pemurnian</v>
          </cell>
          <cell r="F2206">
            <v>0</v>
          </cell>
          <cell r="G2206">
            <v>0</v>
          </cell>
          <cell r="H2206">
            <v>0</v>
          </cell>
          <cell r="I2206">
            <v>0</v>
          </cell>
          <cell r="J2206">
            <v>0</v>
          </cell>
        </row>
        <row r="2207">
          <cell r="B2207" t="str">
            <v>5.2.02.14</v>
          </cell>
          <cell r="C2207" t="str">
            <v>Belanja Modal Alat Bantu Eksplorasi</v>
          </cell>
          <cell r="D2207">
            <v>0</v>
          </cell>
          <cell r="E2207">
            <v>0</v>
          </cell>
          <cell r="J2207">
            <v>0</v>
          </cell>
        </row>
        <row r="2208">
          <cell r="B2208" t="str">
            <v>5.2.02.14.01</v>
          </cell>
          <cell r="C2208" t="str">
            <v>Belanja Modal Alat Bantu Eksplorasi</v>
          </cell>
          <cell r="F2208">
            <v>0</v>
          </cell>
          <cell r="G2208">
            <v>0</v>
          </cell>
          <cell r="H2208">
            <v>0</v>
          </cell>
          <cell r="I2208">
            <v>0</v>
          </cell>
          <cell r="J2208">
            <v>0</v>
          </cell>
        </row>
        <row r="2209">
          <cell r="B2209" t="str">
            <v>5.2.02.14.02</v>
          </cell>
          <cell r="C2209" t="str">
            <v>Belanja Modal Alat Bantu Produksi</v>
          </cell>
          <cell r="F2209">
            <v>0</v>
          </cell>
          <cell r="G2209">
            <v>0</v>
          </cell>
          <cell r="H2209">
            <v>0</v>
          </cell>
          <cell r="I2209">
            <v>0</v>
          </cell>
          <cell r="J2209">
            <v>0</v>
          </cell>
        </row>
        <row r="2210">
          <cell r="B2210" t="str">
            <v>5.2.02.15</v>
          </cell>
          <cell r="C2210" t="str">
            <v>Belanja Modal Alat Keselamatan Kerja</v>
          </cell>
          <cell r="D2210">
            <v>0</v>
          </cell>
          <cell r="E2210">
            <v>123940000</v>
          </cell>
          <cell r="J2210">
            <v>123940000</v>
          </cell>
        </row>
        <row r="2211">
          <cell r="B2211" t="str">
            <v>5.2.02.15.01</v>
          </cell>
          <cell r="C2211" t="str">
            <v>Belanja Modal Alat Deteksi</v>
          </cell>
          <cell r="F2211">
            <v>0</v>
          </cell>
          <cell r="G2211">
            <v>0</v>
          </cell>
          <cell r="H2211">
            <v>0</v>
          </cell>
          <cell r="I2211">
            <v>0</v>
          </cell>
          <cell r="J2211">
            <v>0</v>
          </cell>
        </row>
        <row r="2212">
          <cell r="B2212" t="str">
            <v>5.2.02.15.02</v>
          </cell>
          <cell r="C2212" t="str">
            <v>Belanja Modal Alat Pelindung</v>
          </cell>
          <cell r="E2212">
            <v>123940000</v>
          </cell>
          <cell r="F2212">
            <v>0</v>
          </cell>
          <cell r="G2212">
            <v>0</v>
          </cell>
          <cell r="H2212">
            <v>0</v>
          </cell>
          <cell r="I2212">
            <v>0</v>
          </cell>
          <cell r="J2212">
            <v>123940000</v>
          </cell>
        </row>
        <row r="2213">
          <cell r="B2213" t="str">
            <v>5.2.02.15.03</v>
          </cell>
          <cell r="C2213" t="str">
            <v>Belanja Modal Alat SAR</v>
          </cell>
          <cell r="F2213">
            <v>0</v>
          </cell>
          <cell r="G2213">
            <v>0</v>
          </cell>
          <cell r="H2213">
            <v>0</v>
          </cell>
          <cell r="I2213">
            <v>0</v>
          </cell>
          <cell r="J2213">
            <v>0</v>
          </cell>
        </row>
        <row r="2214">
          <cell r="B2214" t="str">
            <v>5.2.02.15.04</v>
          </cell>
          <cell r="C2214" t="str">
            <v>Belanja Modal Alat Kerja Penerbangan</v>
          </cell>
          <cell r="F2214">
            <v>0</v>
          </cell>
          <cell r="G2214">
            <v>0</v>
          </cell>
          <cell r="H2214">
            <v>0</v>
          </cell>
          <cell r="I2214">
            <v>0</v>
          </cell>
          <cell r="J2214">
            <v>0</v>
          </cell>
        </row>
        <row r="2215">
          <cell r="B2215" t="str">
            <v>5.2.02.16</v>
          </cell>
          <cell r="C2215" t="str">
            <v>Belanja Modal Alat Peraga</v>
          </cell>
          <cell r="D2215">
            <v>0</v>
          </cell>
          <cell r="E2215">
            <v>0</v>
          </cell>
          <cell r="J2215">
            <v>0</v>
          </cell>
        </row>
        <row r="2216">
          <cell r="B2216" t="str">
            <v>5.2.02.16.01</v>
          </cell>
          <cell r="C2216" t="str">
            <v>Belanja Modal Alat Peraga Pelatihan dan Percontohan</v>
          </cell>
          <cell r="F2216">
            <v>0</v>
          </cell>
          <cell r="G2216">
            <v>0</v>
          </cell>
          <cell r="H2216">
            <v>0</v>
          </cell>
          <cell r="I2216">
            <v>0</v>
          </cell>
          <cell r="J2216">
            <v>0</v>
          </cell>
        </row>
        <row r="2217">
          <cell r="B2217" t="str">
            <v>5.2.02.17</v>
          </cell>
          <cell r="C2217" t="str">
            <v>Belanja Modal Peralatan Proses/Produksi</v>
          </cell>
          <cell r="D2217">
            <v>0</v>
          </cell>
          <cell r="E2217">
            <v>0</v>
          </cell>
          <cell r="J2217">
            <v>0</v>
          </cell>
        </row>
        <row r="2218">
          <cell r="B2218" t="str">
            <v>5.2.02.17.01</v>
          </cell>
          <cell r="C2218" t="str">
            <v>Belanja Modal Unit Peralatan Proses/Produksi</v>
          </cell>
          <cell r="F2218">
            <v>0</v>
          </cell>
          <cell r="G2218">
            <v>0</v>
          </cell>
          <cell r="H2218">
            <v>0</v>
          </cell>
          <cell r="I2218">
            <v>0</v>
          </cell>
          <cell r="J2218">
            <v>0</v>
          </cell>
        </row>
        <row r="2219">
          <cell r="B2219" t="str">
            <v>5.2.02.18</v>
          </cell>
          <cell r="C2219" t="str">
            <v>Belanja Modal Rambu-Rambu</v>
          </cell>
          <cell r="D2219">
            <v>188597000</v>
          </cell>
          <cell r="E2219">
            <v>455572500</v>
          </cell>
          <cell r="J2219">
            <v>455572500</v>
          </cell>
        </row>
        <row r="2220">
          <cell r="B2220" t="str">
            <v>5.2.02.18.01</v>
          </cell>
          <cell r="C2220" t="str">
            <v>Belanja Modal Rambu-Rambu Lalu Lintas Darat</v>
          </cell>
          <cell r="D2220">
            <v>188597000</v>
          </cell>
          <cell r="E2220">
            <v>455572500</v>
          </cell>
          <cell r="F2220">
            <v>0</v>
          </cell>
          <cell r="G2220">
            <v>0</v>
          </cell>
          <cell r="H2220">
            <v>0</v>
          </cell>
          <cell r="I2220">
            <v>0</v>
          </cell>
          <cell r="J2220">
            <v>455572500</v>
          </cell>
        </row>
        <row r="2221">
          <cell r="B2221" t="str">
            <v>5.2.02.18.02</v>
          </cell>
          <cell r="C2221" t="str">
            <v>Belanja Modal Rambu-Rambu Lalu Lintas Udara</v>
          </cell>
          <cell r="F2221">
            <v>0</v>
          </cell>
          <cell r="G2221">
            <v>0</v>
          </cell>
          <cell r="H2221">
            <v>0</v>
          </cell>
          <cell r="I2221">
            <v>0</v>
          </cell>
          <cell r="J2221">
            <v>0</v>
          </cell>
        </row>
        <row r="2222">
          <cell r="B2222" t="str">
            <v>5.2.02.18.03</v>
          </cell>
          <cell r="C2222" t="str">
            <v>Belanja Modal Rambu-Rambu Lalu Lintas Laut</v>
          </cell>
          <cell r="F2222">
            <v>0</v>
          </cell>
          <cell r="G2222">
            <v>0</v>
          </cell>
          <cell r="H2222">
            <v>0</v>
          </cell>
          <cell r="I2222">
            <v>0</v>
          </cell>
          <cell r="J2222">
            <v>0</v>
          </cell>
        </row>
        <row r="2223">
          <cell r="B2223" t="str">
            <v>5.2.02.19</v>
          </cell>
          <cell r="C2223" t="str">
            <v>Belanja Modal Peralatan Olahraga</v>
          </cell>
          <cell r="D2223">
            <v>25000000</v>
          </cell>
          <cell r="E2223">
            <v>93403000</v>
          </cell>
          <cell r="J2223">
            <v>93403000</v>
          </cell>
        </row>
        <row r="2224">
          <cell r="B2224" t="str">
            <v>5.2.02.19.01</v>
          </cell>
          <cell r="C2224" t="str">
            <v>Belanja Modal Peralatan Olahraga</v>
          </cell>
          <cell r="D2224">
            <v>25000000</v>
          </cell>
          <cell r="E2224">
            <v>93403000</v>
          </cell>
          <cell r="F2224">
            <v>0</v>
          </cell>
          <cell r="G2224">
            <v>0</v>
          </cell>
          <cell r="H2224">
            <v>0</v>
          </cell>
          <cell r="I2224">
            <v>0</v>
          </cell>
          <cell r="J2224">
            <v>93403000</v>
          </cell>
        </row>
        <row r="2225">
          <cell r="B2225" t="str">
            <v>5.2.02.88</v>
          </cell>
          <cell r="C2225" t="str">
            <v>Belanja Modal Peralatan dan Mesin BOS</v>
          </cell>
          <cell r="D2225">
            <v>5420205813</v>
          </cell>
          <cell r="E2225">
            <v>0</v>
          </cell>
          <cell r="J2225">
            <v>7500000</v>
          </cell>
        </row>
        <row r="2226">
          <cell r="B2226" t="str">
            <v>5.2.02.88.88</v>
          </cell>
          <cell r="C2226" t="str">
            <v>Belanja Modal Peralatan dan Mesin BOS</v>
          </cell>
          <cell r="D2226">
            <v>5420205813</v>
          </cell>
          <cell r="F2226">
            <v>7500000</v>
          </cell>
          <cell r="G2226">
            <v>0</v>
          </cell>
          <cell r="H2226">
            <v>0</v>
          </cell>
          <cell r="I2226">
            <v>0</v>
          </cell>
          <cell r="J2226">
            <v>7500000</v>
          </cell>
        </row>
        <row r="2227">
          <cell r="B2227" t="str">
            <v>5.2.02.89</v>
          </cell>
          <cell r="C2227" t="str">
            <v>Belanja Modal Peralatan dan Mesin BOSP</v>
          </cell>
          <cell r="D2227">
            <v>896861100</v>
          </cell>
          <cell r="E2227">
            <v>6284683624</v>
          </cell>
          <cell r="J2227">
            <v>6284683624</v>
          </cell>
        </row>
        <row r="2228">
          <cell r="B2228" t="str">
            <v>5.2.02.89.01</v>
          </cell>
          <cell r="C2228" t="str">
            <v>Belanja Modal Peralatan dan Mesin BOSP-BOS</v>
          </cell>
          <cell r="D2228">
            <v>896861100</v>
          </cell>
          <cell r="E2228">
            <v>6239276624</v>
          </cell>
          <cell r="F2228">
            <v>0</v>
          </cell>
          <cell r="G2228">
            <v>0</v>
          </cell>
          <cell r="H2228">
            <v>0</v>
          </cell>
          <cell r="I2228">
            <v>0</v>
          </cell>
          <cell r="J2228">
            <v>6239276624</v>
          </cell>
        </row>
        <row r="2229">
          <cell r="B2229" t="str">
            <v>5.2.02.89.02</v>
          </cell>
          <cell r="C2229" t="str">
            <v>Belanja Modal Peralatan dan Mesin BOSP-BOP PAUD</v>
          </cell>
          <cell r="E2229">
            <v>45407000</v>
          </cell>
          <cell r="F2229">
            <v>0</v>
          </cell>
          <cell r="G2229">
            <v>0</v>
          </cell>
          <cell r="H2229">
            <v>0</v>
          </cell>
          <cell r="I2229">
            <v>0</v>
          </cell>
          <cell r="J2229">
            <v>45407000</v>
          </cell>
        </row>
        <row r="2230">
          <cell r="B2230" t="str">
            <v>5.2.02.89.03</v>
          </cell>
          <cell r="C2230" t="str">
            <v>Belanja Modal Peralatan dan Mesin BOSP-BOP Kesetaraan</v>
          </cell>
          <cell r="F2230">
            <v>0</v>
          </cell>
          <cell r="G2230">
            <v>0</v>
          </cell>
          <cell r="H2230">
            <v>0</v>
          </cell>
          <cell r="I2230">
            <v>0</v>
          </cell>
          <cell r="J2230">
            <v>0</v>
          </cell>
        </row>
        <row r="2231">
          <cell r="B2231" t="str">
            <v>5.2.02.99</v>
          </cell>
          <cell r="C2231" t="str">
            <v>Belanja Modal Peralatan dan Mesin BLUD</v>
          </cell>
          <cell r="D2231">
            <v>2546852120</v>
          </cell>
          <cell r="E2231">
            <v>4287311164</v>
          </cell>
          <cell r="J2231">
            <v>4287311164</v>
          </cell>
        </row>
        <row r="2232">
          <cell r="B2232" t="str">
            <v>5.2.02.99.99</v>
          </cell>
          <cell r="C2232" t="str">
            <v>Belanja Modal Peralatan dan Mesin BLUD</v>
          </cell>
          <cell r="D2232">
            <v>2546852120</v>
          </cell>
          <cell r="E2232">
            <v>4287311164</v>
          </cell>
          <cell r="F2232">
            <v>0</v>
          </cell>
          <cell r="G2232">
            <v>0</v>
          </cell>
          <cell r="H2232">
            <v>0</v>
          </cell>
          <cell r="I2232">
            <v>0</v>
          </cell>
          <cell r="J2232">
            <v>4287311164</v>
          </cell>
        </row>
        <row r="2234">
          <cell r="B2234" t="str">
            <v>5.2.03</v>
          </cell>
          <cell r="C2234" t="str">
            <v>Belanja Modal Gedung dan Bangunan</v>
          </cell>
          <cell r="D2234">
            <v>111617512105</v>
          </cell>
          <cell r="E2234">
            <v>70165358002</v>
          </cell>
          <cell r="J2234">
            <v>70165358002</v>
          </cell>
        </row>
        <row r="2235">
          <cell r="B2235" t="str">
            <v>5.2.03.01</v>
          </cell>
          <cell r="C2235" t="str">
            <v>Belanja Modal Bangunan Gedung</v>
          </cell>
          <cell r="D2235">
            <v>98667139805</v>
          </cell>
          <cell r="E2235">
            <v>60229507002</v>
          </cell>
          <cell r="J2235">
            <v>60229507002</v>
          </cell>
        </row>
        <row r="2236">
          <cell r="B2236" t="str">
            <v>5.2.03.01.01</v>
          </cell>
          <cell r="C2236" t="str">
            <v>Belanja Modal Bangunan Gedung Tempat Kerja</v>
          </cell>
          <cell r="D2236">
            <v>97945239805</v>
          </cell>
          <cell r="E2236">
            <v>58164014702</v>
          </cell>
          <cell r="F2236">
            <v>0</v>
          </cell>
          <cell r="G2236">
            <v>0</v>
          </cell>
          <cell r="H2236">
            <v>0</v>
          </cell>
          <cell r="I2236">
            <v>0</v>
          </cell>
          <cell r="J2236">
            <v>58164014702</v>
          </cell>
        </row>
        <row r="2237">
          <cell r="B2237" t="str">
            <v>5.2.03.01.02</v>
          </cell>
          <cell r="C2237" t="str">
            <v>Belanja Modal Bangunan Gedung Tempat Tinggal</v>
          </cell>
          <cell r="D2237">
            <v>721900000</v>
          </cell>
          <cell r="E2237">
            <v>2065492300</v>
          </cell>
          <cell r="F2237">
            <v>0</v>
          </cell>
          <cell r="G2237">
            <v>0</v>
          </cell>
          <cell r="H2237">
            <v>0</v>
          </cell>
          <cell r="I2237">
            <v>0</v>
          </cell>
          <cell r="J2237">
            <v>2065492300</v>
          </cell>
        </row>
        <row r="2238">
          <cell r="B2238" t="str">
            <v>5.2.03.02</v>
          </cell>
          <cell r="C2238" t="str">
            <v>Belanja Modal Monumen</v>
          </cell>
          <cell r="D2238">
            <v>0</v>
          </cell>
          <cell r="E2238">
            <v>0</v>
          </cell>
          <cell r="J2238">
            <v>0</v>
          </cell>
        </row>
        <row r="2239">
          <cell r="B2239" t="str">
            <v>5.2.03.02.01</v>
          </cell>
          <cell r="C2239" t="str">
            <v>Belanja Modal Candi/Tugu Peringatan/Prasasti</v>
          </cell>
          <cell r="F2239">
            <v>0</v>
          </cell>
          <cell r="G2239">
            <v>0</v>
          </cell>
          <cell r="H2239">
            <v>0</v>
          </cell>
          <cell r="I2239">
            <v>0</v>
          </cell>
          <cell r="J2239">
            <v>0</v>
          </cell>
        </row>
        <row r="2240">
          <cell r="B2240" t="str">
            <v>5.2.03.03</v>
          </cell>
          <cell r="C2240" t="str">
            <v>Belanja Modal Bangunan Menara</v>
          </cell>
          <cell r="D2240">
            <v>0</v>
          </cell>
          <cell r="E2240">
            <v>0</v>
          </cell>
          <cell r="J2240">
            <v>0</v>
          </cell>
        </row>
        <row r="2241">
          <cell r="B2241" t="str">
            <v>5.2.03.03.01</v>
          </cell>
          <cell r="C2241" t="str">
            <v>Belanja Modal Bangunan Menara Perambuan</v>
          </cell>
          <cell r="F2241">
            <v>0</v>
          </cell>
          <cell r="G2241">
            <v>0</v>
          </cell>
          <cell r="H2241">
            <v>0</v>
          </cell>
          <cell r="I2241">
            <v>0</v>
          </cell>
          <cell r="J2241">
            <v>0</v>
          </cell>
        </row>
        <row r="2242">
          <cell r="B2242" t="str">
            <v>5.2.03.04</v>
          </cell>
          <cell r="C2242" t="str">
            <v>Belanja Modal Tugu Titik Kontrol/Pasti</v>
          </cell>
          <cell r="D2242">
            <v>6553578650</v>
          </cell>
          <cell r="E2242">
            <v>7055357000</v>
          </cell>
          <cell r="J2242">
            <v>7055357000</v>
          </cell>
        </row>
        <row r="2243">
          <cell r="B2243" t="str">
            <v>5.2.03.04.01</v>
          </cell>
          <cell r="C2243" t="str">
            <v>Belanja Modal Tugu/Tanda Batas</v>
          </cell>
          <cell r="D2243">
            <v>6553578650</v>
          </cell>
          <cell r="E2243">
            <v>7055357000</v>
          </cell>
          <cell r="F2243">
            <v>0</v>
          </cell>
          <cell r="G2243">
            <v>0</v>
          </cell>
          <cell r="H2243">
            <v>0</v>
          </cell>
          <cell r="I2243">
            <v>0</v>
          </cell>
          <cell r="J2243">
            <v>7055357000</v>
          </cell>
        </row>
        <row r="2244">
          <cell r="B2244" t="str">
            <v>5.2.03.99</v>
          </cell>
          <cell r="C2244" t="str">
            <v>Belanja Modal Gedung dan Bangunan BLUD</v>
          </cell>
          <cell r="D2244">
            <v>6396793650</v>
          </cell>
          <cell r="E2244">
            <v>2880494000</v>
          </cell>
          <cell r="J2244">
            <v>2880494000</v>
          </cell>
        </row>
        <row r="2245">
          <cell r="B2245" t="str">
            <v>5.2.03.99.99</v>
          </cell>
          <cell r="C2245" t="str">
            <v>Belanja Modal Gedung dan Bangunan BLUD</v>
          </cell>
          <cell r="D2245">
            <v>6396793650</v>
          </cell>
          <cell r="E2245">
            <v>2880494000</v>
          </cell>
          <cell r="F2245">
            <v>0</v>
          </cell>
          <cell r="G2245">
            <v>0</v>
          </cell>
          <cell r="H2245">
            <v>0</v>
          </cell>
          <cell r="I2245">
            <v>0</v>
          </cell>
          <cell r="J2245">
            <v>2880494000</v>
          </cell>
        </row>
        <row r="2247">
          <cell r="B2247" t="str">
            <v>5.2.04</v>
          </cell>
          <cell r="C2247" t="str">
            <v>Belanja Modal Jalan, Jaringan, dan Irigasi</v>
          </cell>
          <cell r="D2247">
            <v>52778791401</v>
          </cell>
          <cell r="E2247">
            <v>48711569675</v>
          </cell>
          <cell r="J2247">
            <v>48711569675</v>
          </cell>
        </row>
        <row r="2248">
          <cell r="B2248" t="str">
            <v>5.2.04.01</v>
          </cell>
          <cell r="C2248" t="str">
            <v>Belanja Modal Jalan dan Jembatan</v>
          </cell>
          <cell r="D2248">
            <v>35974403150</v>
          </cell>
          <cell r="E2248">
            <v>35640907100</v>
          </cell>
          <cell r="J2248">
            <v>35640907100</v>
          </cell>
        </row>
        <row r="2249">
          <cell r="B2249" t="str">
            <v>5.2.04.01.01</v>
          </cell>
          <cell r="C2249" t="str">
            <v>Belanja Modal Jalan</v>
          </cell>
          <cell r="D2249">
            <v>33796003150</v>
          </cell>
          <cell r="E2249">
            <v>21304315300</v>
          </cell>
          <cell r="F2249">
            <v>0</v>
          </cell>
          <cell r="G2249">
            <v>0</v>
          </cell>
          <cell r="H2249">
            <v>0</v>
          </cell>
          <cell r="I2249">
            <v>0</v>
          </cell>
          <cell r="J2249">
            <v>21304315300</v>
          </cell>
        </row>
        <row r="2250">
          <cell r="B2250" t="str">
            <v>5.2.04.01.02</v>
          </cell>
          <cell r="C2250" t="str">
            <v>Belanja Modal Jembatan</v>
          </cell>
          <cell r="D2250">
            <v>2178400000</v>
          </cell>
          <cell r="E2250">
            <v>14336591800</v>
          </cell>
          <cell r="F2250">
            <v>0</v>
          </cell>
          <cell r="G2250">
            <v>0</v>
          </cell>
          <cell r="H2250">
            <v>0</v>
          </cell>
          <cell r="I2250">
            <v>0</v>
          </cell>
          <cell r="J2250">
            <v>14336591800</v>
          </cell>
        </row>
        <row r="2251">
          <cell r="B2251" t="str">
            <v>5.2.04.02</v>
          </cell>
          <cell r="C2251" t="str">
            <v>Belanja Modal Bangunan Air</v>
          </cell>
          <cell r="D2251">
            <v>13667034351</v>
          </cell>
          <cell r="E2251">
            <v>6962867600</v>
          </cell>
          <cell r="J2251">
            <v>6962867600</v>
          </cell>
        </row>
        <row r="2252">
          <cell r="B2252" t="str">
            <v>5.2.04.02.01</v>
          </cell>
          <cell r="C2252" t="str">
            <v>Belanja Modal Bangunan Air Irigasi</v>
          </cell>
          <cell r="D2252">
            <v>12917034351</v>
          </cell>
          <cell r="E2252">
            <v>5759627600</v>
          </cell>
          <cell r="F2252">
            <v>0</v>
          </cell>
          <cell r="G2252">
            <v>0</v>
          </cell>
          <cell r="H2252">
            <v>0</v>
          </cell>
          <cell r="I2252">
            <v>0</v>
          </cell>
          <cell r="J2252">
            <v>5759627600</v>
          </cell>
        </row>
        <row r="2253">
          <cell r="B2253" t="str">
            <v>5.2.04.02.02</v>
          </cell>
          <cell r="C2253" t="str">
            <v>Belanja Modal Bangunan Pengairan Pasang Surut</v>
          </cell>
          <cell r="F2253">
            <v>0</v>
          </cell>
          <cell r="G2253">
            <v>0</v>
          </cell>
          <cell r="H2253">
            <v>0</v>
          </cell>
          <cell r="I2253">
            <v>0</v>
          </cell>
          <cell r="J2253">
            <v>0</v>
          </cell>
        </row>
        <row r="2254">
          <cell r="B2254" t="str">
            <v>5.2.04.02.03</v>
          </cell>
          <cell r="C2254" t="str">
            <v>Belanja Modal Bangunan Pengembangan Rawa dan Polder</v>
          </cell>
          <cell r="F2254">
            <v>0</v>
          </cell>
          <cell r="G2254">
            <v>0</v>
          </cell>
          <cell r="H2254">
            <v>0</v>
          </cell>
          <cell r="I2254">
            <v>0</v>
          </cell>
          <cell r="J2254">
            <v>0</v>
          </cell>
        </row>
        <row r="2255">
          <cell r="B2255" t="str">
            <v>5.2.04.02.04</v>
          </cell>
          <cell r="C2255" t="str">
            <v>Belanja Modal Bangunan Pengaman Sungai/Pantai dan Penanggulangan Bencana Alam</v>
          </cell>
          <cell r="F2255">
            <v>0</v>
          </cell>
          <cell r="G2255">
            <v>0</v>
          </cell>
          <cell r="H2255">
            <v>0</v>
          </cell>
          <cell r="I2255">
            <v>0</v>
          </cell>
          <cell r="J2255">
            <v>0</v>
          </cell>
        </row>
        <row r="2256">
          <cell r="B2256" t="str">
            <v>5.2.04.02.05</v>
          </cell>
          <cell r="C2256" t="str">
            <v>Belanja Modal Bangunan Pengembangan Sumber Air dan Air Tanah</v>
          </cell>
          <cell r="F2256">
            <v>0</v>
          </cell>
          <cell r="G2256">
            <v>0</v>
          </cell>
          <cell r="H2256">
            <v>0</v>
          </cell>
          <cell r="I2256">
            <v>0</v>
          </cell>
          <cell r="J2256">
            <v>0</v>
          </cell>
        </row>
        <row r="2257">
          <cell r="B2257" t="str">
            <v>5.2.04.02.06</v>
          </cell>
          <cell r="C2257" t="str">
            <v>Belanja Modal Bangunan Air Bersih/Air Baku</v>
          </cell>
          <cell r="D2257">
            <v>750000000</v>
          </cell>
          <cell r="E2257">
            <v>1203240000</v>
          </cell>
          <cell r="F2257">
            <v>0</v>
          </cell>
          <cell r="G2257">
            <v>0</v>
          </cell>
          <cell r="H2257">
            <v>0</v>
          </cell>
          <cell r="I2257">
            <v>0</v>
          </cell>
          <cell r="J2257">
            <v>1203240000</v>
          </cell>
        </row>
        <row r="2258">
          <cell r="B2258" t="str">
            <v>5.2.04.02.07</v>
          </cell>
          <cell r="C2258" t="str">
            <v>Belanja Modal Bangunan Air Kotor</v>
          </cell>
          <cell r="F2258">
            <v>0</v>
          </cell>
          <cell r="G2258">
            <v>0</v>
          </cell>
          <cell r="H2258">
            <v>0</v>
          </cell>
          <cell r="I2258">
            <v>0</v>
          </cell>
          <cell r="J2258">
            <v>0</v>
          </cell>
        </row>
        <row r="2259">
          <cell r="B2259" t="str">
            <v>5.2.04.03</v>
          </cell>
          <cell r="C2259" t="str">
            <v>Belanja Modal Instalasi</v>
          </cell>
          <cell r="D2259">
            <v>543817000</v>
          </cell>
          <cell r="E2259">
            <v>555090000</v>
          </cell>
          <cell r="J2259">
            <v>555090000</v>
          </cell>
        </row>
        <row r="2260">
          <cell r="B2260" t="str">
            <v>5.2.04.03.01</v>
          </cell>
          <cell r="C2260" t="str">
            <v>Belanja Modal Instalasi Air Bersih/Air Baku</v>
          </cell>
          <cell r="D2260">
            <v>7824000</v>
          </cell>
          <cell r="E2260">
            <v>375100000</v>
          </cell>
          <cell r="F2260">
            <v>0</v>
          </cell>
          <cell r="G2260">
            <v>0</v>
          </cell>
          <cell r="H2260">
            <v>0</v>
          </cell>
          <cell r="I2260">
            <v>0</v>
          </cell>
          <cell r="J2260">
            <v>375100000</v>
          </cell>
        </row>
        <row r="2261">
          <cell r="B2261" t="str">
            <v>5.2.04.03.02</v>
          </cell>
          <cell r="C2261" t="str">
            <v>Belanja Modal Instalasi Air Kotor</v>
          </cell>
          <cell r="F2261">
            <v>0</v>
          </cell>
          <cell r="G2261">
            <v>0</v>
          </cell>
          <cell r="H2261">
            <v>0</v>
          </cell>
          <cell r="I2261">
            <v>0</v>
          </cell>
          <cell r="J2261">
            <v>0</v>
          </cell>
        </row>
        <row r="2262">
          <cell r="B2262" t="str">
            <v>5.2.04.03.03</v>
          </cell>
          <cell r="C2262" t="str">
            <v>Belanja Modal Instalasi Pengolahan Sampah</v>
          </cell>
          <cell r="D2262">
            <v>535993000</v>
          </cell>
          <cell r="E2262">
            <v>179990000</v>
          </cell>
          <cell r="F2262">
            <v>0</v>
          </cell>
          <cell r="G2262">
            <v>0</v>
          </cell>
          <cell r="H2262">
            <v>0</v>
          </cell>
          <cell r="I2262">
            <v>0</v>
          </cell>
          <cell r="J2262">
            <v>179990000</v>
          </cell>
        </row>
        <row r="2263">
          <cell r="B2263" t="str">
            <v>5.2.04.03.04</v>
          </cell>
          <cell r="C2263" t="str">
            <v>Belanja Modal Instalasi Pengolahan Bahan Bangunan</v>
          </cell>
          <cell r="F2263">
            <v>0</v>
          </cell>
          <cell r="G2263">
            <v>0</v>
          </cell>
          <cell r="H2263">
            <v>0</v>
          </cell>
          <cell r="I2263">
            <v>0</v>
          </cell>
          <cell r="J2263">
            <v>0</v>
          </cell>
        </row>
        <row r="2264">
          <cell r="B2264" t="str">
            <v>5.2.04.03.05</v>
          </cell>
          <cell r="C2264" t="str">
            <v>Belanja Modal Instalasi Pembangkit Listrik</v>
          </cell>
          <cell r="F2264">
            <v>0</v>
          </cell>
          <cell r="G2264">
            <v>0</v>
          </cell>
          <cell r="H2264">
            <v>0</v>
          </cell>
          <cell r="I2264">
            <v>0</v>
          </cell>
          <cell r="J2264">
            <v>0</v>
          </cell>
        </row>
        <row r="2265">
          <cell r="B2265" t="str">
            <v>5.2.04.03.06</v>
          </cell>
          <cell r="C2265" t="str">
            <v>Belanja Modal Instalasi Gardu Listrik</v>
          </cell>
          <cell r="F2265">
            <v>0</v>
          </cell>
          <cell r="G2265">
            <v>0</v>
          </cell>
          <cell r="H2265">
            <v>0</v>
          </cell>
          <cell r="I2265">
            <v>0</v>
          </cell>
          <cell r="J2265">
            <v>0</v>
          </cell>
        </row>
        <row r="2266">
          <cell r="B2266" t="str">
            <v>5.2.04.03.07</v>
          </cell>
          <cell r="C2266" t="str">
            <v>Belanja Modal Instalasi Pertahanan</v>
          </cell>
          <cell r="F2266">
            <v>0</v>
          </cell>
          <cell r="G2266">
            <v>0</v>
          </cell>
          <cell r="H2266">
            <v>0</v>
          </cell>
          <cell r="I2266">
            <v>0</v>
          </cell>
          <cell r="J2266">
            <v>0</v>
          </cell>
        </row>
        <row r="2267">
          <cell r="B2267" t="str">
            <v>5.2.04.03.08</v>
          </cell>
          <cell r="C2267" t="str">
            <v>Belanja Modal Instalasi Gas</v>
          </cell>
          <cell r="F2267">
            <v>0</v>
          </cell>
          <cell r="G2267">
            <v>0</v>
          </cell>
          <cell r="H2267">
            <v>0</v>
          </cell>
          <cell r="I2267">
            <v>0</v>
          </cell>
          <cell r="J2267">
            <v>0</v>
          </cell>
        </row>
        <row r="2268">
          <cell r="B2268" t="str">
            <v>5.2.04.03.09</v>
          </cell>
          <cell r="C2268" t="str">
            <v>Belanja Modal Instalasi Pengaman</v>
          </cell>
          <cell r="F2268">
            <v>0</v>
          </cell>
          <cell r="G2268">
            <v>0</v>
          </cell>
          <cell r="H2268">
            <v>0</v>
          </cell>
          <cell r="I2268">
            <v>0</v>
          </cell>
          <cell r="J2268">
            <v>0</v>
          </cell>
        </row>
        <row r="2269">
          <cell r="B2269" t="str">
            <v>5.2.04.03.10</v>
          </cell>
          <cell r="C2269" t="str">
            <v>Belanja Modal Instalasi Lain</v>
          </cell>
          <cell r="F2269">
            <v>0</v>
          </cell>
          <cell r="G2269">
            <v>0</v>
          </cell>
          <cell r="H2269">
            <v>0</v>
          </cell>
          <cell r="I2269">
            <v>0</v>
          </cell>
          <cell r="J2269">
            <v>0</v>
          </cell>
        </row>
        <row r="2270">
          <cell r="B2270" t="str">
            <v>5.2.04.04</v>
          </cell>
          <cell r="C2270" t="str">
            <v>Belanja Modal Jaringan</v>
          </cell>
          <cell r="D2270">
            <v>1637316000</v>
          </cell>
          <cell r="E2270">
            <v>5547704975</v>
          </cell>
          <cell r="J2270">
            <v>5547704975</v>
          </cell>
        </row>
        <row r="2271">
          <cell r="B2271" t="str">
            <v>5.2.04.04.01</v>
          </cell>
          <cell r="C2271" t="str">
            <v>Belanja Modal Jaringan Air Minum</v>
          </cell>
          <cell r="D2271">
            <v>188500000</v>
          </cell>
          <cell r="F2271">
            <v>0</v>
          </cell>
          <cell r="G2271">
            <v>0</v>
          </cell>
          <cell r="H2271">
            <v>0</v>
          </cell>
          <cell r="I2271">
            <v>0</v>
          </cell>
          <cell r="J2271">
            <v>0</v>
          </cell>
        </row>
        <row r="2272">
          <cell r="B2272" t="str">
            <v>5.2.04.04.02</v>
          </cell>
          <cell r="C2272" t="str">
            <v>Belanja Modal Jaringan Listrik</v>
          </cell>
          <cell r="D2272">
            <v>1448816000</v>
          </cell>
          <cell r="E2272">
            <v>5547704975</v>
          </cell>
          <cell r="F2272">
            <v>0</v>
          </cell>
          <cell r="G2272">
            <v>0</v>
          </cell>
          <cell r="H2272">
            <v>0</v>
          </cell>
          <cell r="I2272">
            <v>0</v>
          </cell>
          <cell r="J2272">
            <v>5547704975</v>
          </cell>
        </row>
        <row r="2273">
          <cell r="B2273" t="str">
            <v>5.2.04.04.03</v>
          </cell>
          <cell r="C2273" t="str">
            <v>Belanja Modal Jaringan Telepon</v>
          </cell>
          <cell r="F2273">
            <v>0</v>
          </cell>
          <cell r="G2273">
            <v>0</v>
          </cell>
          <cell r="H2273">
            <v>0</v>
          </cell>
          <cell r="I2273">
            <v>0</v>
          </cell>
          <cell r="J2273">
            <v>0</v>
          </cell>
        </row>
        <row r="2274">
          <cell r="B2274" t="str">
            <v>5.2.04.04.04</v>
          </cell>
          <cell r="C2274" t="str">
            <v>Belanja Modal Jaringan Gas</v>
          </cell>
          <cell r="F2274">
            <v>0</v>
          </cell>
          <cell r="G2274">
            <v>0</v>
          </cell>
          <cell r="H2274">
            <v>0</v>
          </cell>
          <cell r="I2274">
            <v>0</v>
          </cell>
          <cell r="J2274">
            <v>0</v>
          </cell>
        </row>
        <row r="2275">
          <cell r="B2275" t="str">
            <v>5.2.04.99</v>
          </cell>
          <cell r="C2275" t="str">
            <v>Belanja Modal Jalan, Jaringan, dan Irigasi BLUD</v>
          </cell>
          <cell r="D2275">
            <v>956220900</v>
          </cell>
          <cell r="E2275">
            <v>5000000</v>
          </cell>
          <cell r="J2275">
            <v>5000000</v>
          </cell>
        </row>
        <row r="2276">
          <cell r="B2276" t="str">
            <v>5.2.04.99.99</v>
          </cell>
          <cell r="C2276" t="str">
            <v>Belanja Modal Jalan, Jaringan, dan Irigasi BLUD</v>
          </cell>
          <cell r="D2276">
            <v>956220900</v>
          </cell>
          <cell r="E2276">
            <v>5000000</v>
          </cell>
          <cell r="F2276">
            <v>0</v>
          </cell>
          <cell r="G2276">
            <v>0</v>
          </cell>
          <cell r="H2276">
            <v>0</v>
          </cell>
          <cell r="I2276">
            <v>0</v>
          </cell>
          <cell r="J2276">
            <v>5000000</v>
          </cell>
        </row>
        <row r="2278">
          <cell r="B2278" t="str">
            <v>5.2.05</v>
          </cell>
          <cell r="C2278" t="str">
            <v>Belanja Modal Aset Tetap Lainnya</v>
          </cell>
          <cell r="D2278">
            <v>2667420035</v>
          </cell>
          <cell r="E2278">
            <v>7592776741</v>
          </cell>
          <cell r="J2278">
            <v>7592776741</v>
          </cell>
        </row>
        <row r="2279">
          <cell r="B2279" t="str">
            <v>5.2.05.01</v>
          </cell>
          <cell r="C2279" t="str">
            <v>Belanja Modal Bahan Perpustakaan</v>
          </cell>
          <cell r="D2279">
            <v>343927600</v>
          </cell>
          <cell r="E2279">
            <v>601069346</v>
          </cell>
          <cell r="J2279">
            <v>601069346</v>
          </cell>
        </row>
        <row r="2280">
          <cell r="B2280" t="str">
            <v>5.2.05.01.01</v>
          </cell>
          <cell r="C2280" t="str">
            <v>Belanja Modal Bahan Perpustakaan Tercetak</v>
          </cell>
          <cell r="D2280">
            <v>343927600</v>
          </cell>
          <cell r="E2280">
            <v>601069346</v>
          </cell>
          <cell r="F2280">
            <v>0</v>
          </cell>
          <cell r="G2280">
            <v>0</v>
          </cell>
          <cell r="H2280">
            <v>0</v>
          </cell>
          <cell r="I2280">
            <v>0</v>
          </cell>
          <cell r="J2280">
            <v>601069346</v>
          </cell>
        </row>
        <row r="2281">
          <cell r="B2281" t="str">
            <v>5.2.05.01.02</v>
          </cell>
          <cell r="C2281" t="str">
            <v>Belanja Modal Bahan Perpustakaan Terekam dan Bentuk Mikro</v>
          </cell>
          <cell r="F2281">
            <v>0</v>
          </cell>
          <cell r="G2281">
            <v>0</v>
          </cell>
          <cell r="H2281">
            <v>0</v>
          </cell>
          <cell r="I2281">
            <v>0</v>
          </cell>
          <cell r="J2281">
            <v>0</v>
          </cell>
        </row>
        <row r="2282">
          <cell r="B2282" t="str">
            <v>5.2.05.01.03</v>
          </cell>
          <cell r="C2282" t="str">
            <v>Belanja Modal Kartografi, Naskah, dan Lukisan</v>
          </cell>
          <cell r="F2282">
            <v>0</v>
          </cell>
          <cell r="G2282">
            <v>0</v>
          </cell>
          <cell r="H2282">
            <v>0</v>
          </cell>
          <cell r="I2282">
            <v>0</v>
          </cell>
          <cell r="J2282">
            <v>0</v>
          </cell>
        </row>
        <row r="2283">
          <cell r="B2283" t="str">
            <v>5.2.05.01.04</v>
          </cell>
          <cell r="C2283" t="str">
            <v>Belanja Modal Musik</v>
          </cell>
          <cell r="F2283">
            <v>0</v>
          </cell>
          <cell r="G2283">
            <v>0</v>
          </cell>
          <cell r="H2283">
            <v>0</v>
          </cell>
          <cell r="I2283">
            <v>0</v>
          </cell>
          <cell r="J2283">
            <v>0</v>
          </cell>
        </row>
        <row r="2284">
          <cell r="B2284" t="str">
            <v>5.2.05.01.05</v>
          </cell>
          <cell r="C2284" t="str">
            <v>Belanja Modal Karya Grafika (Graphic Material)</v>
          </cell>
          <cell r="F2284">
            <v>0</v>
          </cell>
          <cell r="G2284">
            <v>0</v>
          </cell>
          <cell r="H2284">
            <v>0</v>
          </cell>
          <cell r="I2284">
            <v>0</v>
          </cell>
          <cell r="J2284">
            <v>0</v>
          </cell>
        </row>
        <row r="2285">
          <cell r="B2285" t="str">
            <v>5.2.05.01.06</v>
          </cell>
          <cell r="C2285" t="str">
            <v>Belanja Modal Three Dimensional Artifacts and Realita</v>
          </cell>
          <cell r="F2285">
            <v>0</v>
          </cell>
          <cell r="G2285">
            <v>0</v>
          </cell>
          <cell r="H2285">
            <v>0</v>
          </cell>
          <cell r="I2285">
            <v>0</v>
          </cell>
          <cell r="J2285">
            <v>0</v>
          </cell>
        </row>
        <row r="2286">
          <cell r="B2286" t="str">
            <v>5.2.05.01.07</v>
          </cell>
          <cell r="C2286" t="str">
            <v>Belanja Modal Tarscalt</v>
          </cell>
          <cell r="F2286">
            <v>0</v>
          </cell>
          <cell r="G2286">
            <v>0</v>
          </cell>
          <cell r="H2286">
            <v>0</v>
          </cell>
          <cell r="I2286">
            <v>0</v>
          </cell>
          <cell r="J2286">
            <v>0</v>
          </cell>
        </row>
        <row r="2287">
          <cell r="B2287" t="str">
            <v>5.2.05.02</v>
          </cell>
          <cell r="C2287" t="str">
            <v>Belanja Modal Barang Bercorak Kesenian/Kebudayaan/Olahraga</v>
          </cell>
          <cell r="D2287">
            <v>79438000</v>
          </cell>
          <cell r="E2287">
            <v>0</v>
          </cell>
          <cell r="J2287">
            <v>0</v>
          </cell>
        </row>
        <row r="2288">
          <cell r="B2288" t="str">
            <v>5.2.05.02.01</v>
          </cell>
          <cell r="C2288" t="str">
            <v>Belanja Modal Barang Bercorak Kesenian</v>
          </cell>
          <cell r="D2288">
            <v>79438000</v>
          </cell>
          <cell r="F2288">
            <v>0</v>
          </cell>
          <cell r="G2288">
            <v>0</v>
          </cell>
          <cell r="H2288">
            <v>0</v>
          </cell>
          <cell r="I2288">
            <v>0</v>
          </cell>
          <cell r="J2288">
            <v>0</v>
          </cell>
        </row>
        <row r="2289">
          <cell r="B2289" t="str">
            <v>5.2.05.02.02</v>
          </cell>
          <cell r="C2289" t="str">
            <v>Belanja Modal Alat Bercorak Kebudayaan</v>
          </cell>
          <cell r="F2289">
            <v>0</v>
          </cell>
          <cell r="G2289">
            <v>0</v>
          </cell>
          <cell r="H2289">
            <v>0</v>
          </cell>
          <cell r="I2289">
            <v>0</v>
          </cell>
          <cell r="J2289">
            <v>0</v>
          </cell>
        </row>
        <row r="2290">
          <cell r="B2290" t="str">
            <v>5.2.05.02.03</v>
          </cell>
          <cell r="C2290" t="str">
            <v>Belanja Modal Tanda Penghargaan</v>
          </cell>
          <cell r="F2290">
            <v>0</v>
          </cell>
          <cell r="G2290">
            <v>0</v>
          </cell>
          <cell r="H2290">
            <v>0</v>
          </cell>
          <cell r="I2290">
            <v>0</v>
          </cell>
          <cell r="J2290">
            <v>0</v>
          </cell>
        </row>
        <row r="2291">
          <cell r="B2291" t="str">
            <v>5.2.05.03</v>
          </cell>
          <cell r="C2291" t="str">
            <v>Belanja Modal Hewan</v>
          </cell>
          <cell r="D2291">
            <v>0</v>
          </cell>
          <cell r="E2291">
            <v>0</v>
          </cell>
          <cell r="J2291">
            <v>0</v>
          </cell>
        </row>
        <row r="2292">
          <cell r="B2292" t="str">
            <v>5.2.05.03.01</v>
          </cell>
          <cell r="C2292" t="str">
            <v>Belanja Modal Hewan Piaraan</v>
          </cell>
          <cell r="F2292">
            <v>0</v>
          </cell>
          <cell r="G2292">
            <v>0</v>
          </cell>
          <cell r="H2292">
            <v>0</v>
          </cell>
          <cell r="I2292">
            <v>0</v>
          </cell>
          <cell r="J2292">
            <v>0</v>
          </cell>
        </row>
        <row r="2293">
          <cell r="B2293" t="str">
            <v>5.2.05.03.02</v>
          </cell>
          <cell r="C2293" t="str">
            <v>Belanja Modal Ternak</v>
          </cell>
          <cell r="F2293">
            <v>0</v>
          </cell>
          <cell r="G2293">
            <v>0</v>
          </cell>
          <cell r="H2293">
            <v>0</v>
          </cell>
          <cell r="I2293">
            <v>0</v>
          </cell>
          <cell r="J2293">
            <v>0</v>
          </cell>
        </row>
        <row r="2294">
          <cell r="B2294" t="str">
            <v>5.2.05.03.03</v>
          </cell>
          <cell r="C2294" t="str">
            <v>Belanja Modal Hewan Lainnya</v>
          </cell>
          <cell r="F2294">
            <v>0</v>
          </cell>
          <cell r="G2294">
            <v>0</v>
          </cell>
          <cell r="H2294">
            <v>0</v>
          </cell>
          <cell r="I2294">
            <v>0</v>
          </cell>
          <cell r="J2294">
            <v>0</v>
          </cell>
        </row>
        <row r="2295">
          <cell r="B2295" t="str">
            <v>5.2.05.04</v>
          </cell>
          <cell r="C2295" t="str">
            <v>Belanja Modal Biota Perairan</v>
          </cell>
          <cell r="D2295">
            <v>0</v>
          </cell>
          <cell r="E2295">
            <v>0</v>
          </cell>
          <cell r="J2295">
            <v>0</v>
          </cell>
        </row>
        <row r="2296">
          <cell r="B2296" t="str">
            <v>5.2.05.04.01</v>
          </cell>
          <cell r="C2296" t="str">
            <v>Belanja Modal Ikan Bersirip (Pisces/Ikan Bersirip)</v>
          </cell>
          <cell r="F2296">
            <v>0</v>
          </cell>
          <cell r="G2296">
            <v>0</v>
          </cell>
          <cell r="H2296">
            <v>0</v>
          </cell>
          <cell r="I2296">
            <v>0</v>
          </cell>
          <cell r="J2296">
            <v>0</v>
          </cell>
        </row>
        <row r="2297">
          <cell r="B2297" t="str">
            <v>5.2.05.04.02</v>
          </cell>
          <cell r="C2297" t="str">
            <v>Belanja Modal Crustacea (Udang, Rajungan, Kepiting, dan Sebangsanya)</v>
          </cell>
          <cell r="F2297">
            <v>0</v>
          </cell>
          <cell r="G2297">
            <v>0</v>
          </cell>
          <cell r="H2297">
            <v>0</v>
          </cell>
          <cell r="I2297">
            <v>0</v>
          </cell>
          <cell r="J2297">
            <v>0</v>
          </cell>
        </row>
        <row r="2298">
          <cell r="B2298" t="str">
            <v>5.2.05.04.03</v>
          </cell>
          <cell r="C2298" t="str">
            <v>Belanja Modal Mollusca (Kerang, Tiram, Cumi-cumi, Gurita, Siput, dan Sebangsanya)</v>
          </cell>
          <cell r="F2298">
            <v>0</v>
          </cell>
          <cell r="G2298">
            <v>0</v>
          </cell>
          <cell r="H2298">
            <v>0</v>
          </cell>
          <cell r="I2298">
            <v>0</v>
          </cell>
          <cell r="J2298">
            <v>0</v>
          </cell>
        </row>
        <row r="2299">
          <cell r="B2299" t="str">
            <v>5.2.05.04.04</v>
          </cell>
          <cell r="C2299" t="str">
            <v>Belanja Modal Coelenterata (Ubur-ubur dan Sebangsanya)</v>
          </cell>
          <cell r="F2299">
            <v>0</v>
          </cell>
          <cell r="G2299">
            <v>0</v>
          </cell>
          <cell r="H2299">
            <v>0</v>
          </cell>
          <cell r="I2299">
            <v>0</v>
          </cell>
          <cell r="J2299">
            <v>0</v>
          </cell>
        </row>
        <row r="2300">
          <cell r="B2300" t="str">
            <v>5.2.05.04.05</v>
          </cell>
          <cell r="C2300" t="str">
            <v>Belanja Modal Echinodermata (Tripang, Bulu Babi, dan Sebangsanya)</v>
          </cell>
          <cell r="F2300">
            <v>0</v>
          </cell>
          <cell r="G2300">
            <v>0</v>
          </cell>
          <cell r="H2300">
            <v>0</v>
          </cell>
          <cell r="I2300">
            <v>0</v>
          </cell>
          <cell r="J2300">
            <v>0</v>
          </cell>
        </row>
        <row r="2301">
          <cell r="B2301" t="str">
            <v>5.2.05.04.06</v>
          </cell>
          <cell r="C2301" t="str">
            <v>Belanja Modal Amphibia (Kodok dan Sebangsanya)</v>
          </cell>
          <cell r="F2301">
            <v>0</v>
          </cell>
          <cell r="G2301">
            <v>0</v>
          </cell>
          <cell r="H2301">
            <v>0</v>
          </cell>
          <cell r="I2301">
            <v>0</v>
          </cell>
          <cell r="J2301">
            <v>0</v>
          </cell>
        </row>
        <row r="2302">
          <cell r="B2302" t="str">
            <v>5.2.05.04.07</v>
          </cell>
          <cell r="C2302" t="str">
            <v>Belanja Modal Reptilia (Buaya, Penyu, Kura-kura, Biawak, Ular Air, dan Sebangsanya)</v>
          </cell>
          <cell r="F2302">
            <v>0</v>
          </cell>
          <cell r="G2302">
            <v>0</v>
          </cell>
          <cell r="H2302">
            <v>0</v>
          </cell>
          <cell r="I2302">
            <v>0</v>
          </cell>
          <cell r="J2302">
            <v>0</v>
          </cell>
        </row>
        <row r="2303">
          <cell r="B2303" t="str">
            <v>5.2.05.04.08</v>
          </cell>
          <cell r="C2303" t="str">
            <v>Belanja Modal Mammalia (Paus, Lumba-lumba, Pesut, Duyung, dan Sebangsanya)</v>
          </cell>
          <cell r="F2303">
            <v>0</v>
          </cell>
          <cell r="G2303">
            <v>0</v>
          </cell>
          <cell r="H2303">
            <v>0</v>
          </cell>
          <cell r="I2303">
            <v>0</v>
          </cell>
          <cell r="J2303">
            <v>0</v>
          </cell>
        </row>
        <row r="2304">
          <cell r="B2304" t="str">
            <v>5.2.05.04.09</v>
          </cell>
          <cell r="C2304" t="str">
            <v>Belanja Modal Algae (Rumput Laut dan Tumbuh-Tumbuhan Lain yang Hidup di Dalam Air)</v>
          </cell>
          <cell r="F2304">
            <v>0</v>
          </cell>
          <cell r="G2304">
            <v>0</v>
          </cell>
          <cell r="H2304">
            <v>0</v>
          </cell>
          <cell r="I2304">
            <v>0</v>
          </cell>
          <cell r="J2304">
            <v>0</v>
          </cell>
        </row>
        <row r="2305">
          <cell r="B2305" t="str">
            <v>5.2.05.04.10</v>
          </cell>
          <cell r="C2305" t="str">
            <v>Belanja Modal Biota Perairan Lainnya</v>
          </cell>
          <cell r="F2305">
            <v>0</v>
          </cell>
          <cell r="G2305">
            <v>0</v>
          </cell>
          <cell r="H2305">
            <v>0</v>
          </cell>
          <cell r="I2305">
            <v>0</v>
          </cell>
          <cell r="J2305">
            <v>0</v>
          </cell>
        </row>
        <row r="2306">
          <cell r="B2306" t="str">
            <v>5.2.05.05</v>
          </cell>
          <cell r="C2306" t="str">
            <v>Belanja Modal Tanaman</v>
          </cell>
          <cell r="D2306">
            <v>0</v>
          </cell>
          <cell r="E2306">
            <v>0</v>
          </cell>
          <cell r="J2306">
            <v>0</v>
          </cell>
        </row>
        <row r="2307">
          <cell r="B2307" t="str">
            <v>5.2.05.05.01</v>
          </cell>
          <cell r="C2307" t="str">
            <v>Belanja Modal Tanaman</v>
          </cell>
          <cell r="F2307">
            <v>0</v>
          </cell>
          <cell r="G2307">
            <v>0</v>
          </cell>
          <cell r="H2307">
            <v>0</v>
          </cell>
          <cell r="I2307">
            <v>0</v>
          </cell>
          <cell r="J2307">
            <v>0</v>
          </cell>
        </row>
        <row r="2308">
          <cell r="B2308" t="str">
            <v>5.2.05.06</v>
          </cell>
          <cell r="C2308" t="str">
            <v>Belanja Modal Barang Koleksi Non Budaya</v>
          </cell>
          <cell r="D2308">
            <v>0</v>
          </cell>
          <cell r="E2308">
            <v>0</v>
          </cell>
          <cell r="J2308">
            <v>0</v>
          </cell>
        </row>
        <row r="2309">
          <cell r="B2309" t="str">
            <v>5.2.05.06.01</v>
          </cell>
          <cell r="C2309" t="str">
            <v>Belanja Modal Barang Koleksi Non Budaya</v>
          </cell>
          <cell r="F2309">
            <v>0</v>
          </cell>
          <cell r="G2309">
            <v>0</v>
          </cell>
          <cell r="H2309">
            <v>0</v>
          </cell>
          <cell r="I2309">
            <v>0</v>
          </cell>
          <cell r="J2309">
            <v>0</v>
          </cell>
        </row>
        <row r="2310">
          <cell r="B2310" t="str">
            <v>5.2.05.07</v>
          </cell>
          <cell r="C2310" t="str">
            <v>Belanja Modal Aset Tetap Dalam Renovasi</v>
          </cell>
          <cell r="D2310">
            <v>0</v>
          </cell>
          <cell r="E2310">
            <v>498650000</v>
          </cell>
          <cell r="J2310">
            <v>498650000</v>
          </cell>
        </row>
        <row r="2311">
          <cell r="B2311" t="str">
            <v>5.2.05.07.01</v>
          </cell>
          <cell r="C2311" t="str">
            <v>Belanja Modal Aset Tetap Dalam Renovasi</v>
          </cell>
          <cell r="E2311">
            <v>498650000</v>
          </cell>
          <cell r="F2311">
            <v>0</v>
          </cell>
          <cell r="G2311">
            <v>0</v>
          </cell>
          <cell r="H2311">
            <v>0</v>
          </cell>
          <cell r="I2311">
            <v>0</v>
          </cell>
          <cell r="J2311">
            <v>498650000</v>
          </cell>
        </row>
        <row r="2312">
          <cell r="B2312" t="str">
            <v>5.2.05.08</v>
          </cell>
          <cell r="C2312" t="str">
            <v>Belanja Modal Aset Tidak Berwujud</v>
          </cell>
          <cell r="D2312">
            <v>0</v>
          </cell>
          <cell r="E2312">
            <v>0</v>
          </cell>
          <cell r="J2312">
            <v>0</v>
          </cell>
        </row>
        <row r="2313">
          <cell r="B2313" t="str">
            <v>5.2.05.08.01</v>
          </cell>
          <cell r="C2313" t="str">
            <v>Belanja Modal Aset Tidak Berwujud</v>
          </cell>
          <cell r="F2313">
            <v>0</v>
          </cell>
          <cell r="G2313">
            <v>0</v>
          </cell>
          <cell r="H2313">
            <v>0</v>
          </cell>
          <cell r="I2313">
            <v>0</v>
          </cell>
          <cell r="J2313">
            <v>0</v>
          </cell>
        </row>
        <row r="2314">
          <cell r="B2314" t="str">
            <v>5.2.05.88</v>
          </cell>
          <cell r="C2314" t="str">
            <v>Belanja Modal Aset Tetap Lainnya BOS</v>
          </cell>
          <cell r="D2314">
            <v>2218154435</v>
          </cell>
          <cell r="E2314">
            <v>0</v>
          </cell>
          <cell r="J2314">
            <v>0</v>
          </cell>
        </row>
        <row r="2315">
          <cell r="B2315" t="str">
            <v>5.2.05.88.88</v>
          </cell>
          <cell r="C2315" t="str">
            <v>Belanja Modal Aset Tetap Lainnya BOS</v>
          </cell>
          <cell r="D2315">
            <v>2218154435</v>
          </cell>
          <cell r="F2315">
            <v>0</v>
          </cell>
          <cell r="G2315">
            <v>0</v>
          </cell>
          <cell r="H2315">
            <v>0</v>
          </cell>
          <cell r="I2315">
            <v>0</v>
          </cell>
          <cell r="J2315">
            <v>0</v>
          </cell>
        </row>
        <row r="2316">
          <cell r="B2316" t="str">
            <v>5.2.05.89</v>
          </cell>
          <cell r="C2316" t="str">
            <v>Belanja Modal Aset Tetap Lainnya BOSP</v>
          </cell>
          <cell r="D2316">
            <v>16400000</v>
          </cell>
          <cell r="E2316">
            <v>6493057395</v>
          </cell>
          <cell r="J2316">
            <v>6493057395</v>
          </cell>
        </row>
        <row r="2317">
          <cell r="B2317" t="str">
            <v>5.2.05.89.01</v>
          </cell>
          <cell r="C2317" t="str">
            <v>Belanja Modal Aset Tetap Lainnya BOSP-BOS</v>
          </cell>
          <cell r="D2317">
            <v>16400000</v>
          </cell>
          <cell r="E2317">
            <v>6485137195</v>
          </cell>
          <cell r="F2317">
            <v>0</v>
          </cell>
          <cell r="G2317">
            <v>0</v>
          </cell>
          <cell r="H2317">
            <v>0</v>
          </cell>
          <cell r="I2317">
            <v>0</v>
          </cell>
          <cell r="J2317">
            <v>6485137195</v>
          </cell>
        </row>
        <row r="2318">
          <cell r="B2318" t="str">
            <v>5.2.05.89.02</v>
          </cell>
          <cell r="C2318" t="str">
            <v>Belanja Modal Aset Tetap Lainnya BOSP-BOP PAUD</v>
          </cell>
          <cell r="E2318">
            <v>7920200</v>
          </cell>
          <cell r="F2318">
            <v>0</v>
          </cell>
          <cell r="G2318">
            <v>0</v>
          </cell>
          <cell r="H2318">
            <v>0</v>
          </cell>
          <cell r="I2318">
            <v>0</v>
          </cell>
          <cell r="J2318">
            <v>7920200</v>
          </cell>
        </row>
        <row r="2319">
          <cell r="B2319" t="str">
            <v>5.2.05.89.03</v>
          </cell>
          <cell r="C2319" t="str">
            <v>Belanja Modal Aset Tetap Lainnya BOSP-BOP Kesetaraan</v>
          </cell>
          <cell r="F2319">
            <v>0</v>
          </cell>
          <cell r="G2319">
            <v>0</v>
          </cell>
          <cell r="H2319">
            <v>0</v>
          </cell>
          <cell r="I2319">
            <v>0</v>
          </cell>
          <cell r="J2319">
            <v>0</v>
          </cell>
        </row>
        <row r="2320">
          <cell r="B2320" t="str">
            <v>5.2.05.99</v>
          </cell>
          <cell r="C2320" t="str">
            <v>Belanja Modal Aset Tetap Lainnya BLUD</v>
          </cell>
          <cell r="D2320">
            <v>9500000</v>
          </cell>
          <cell r="E2320">
            <v>0</v>
          </cell>
          <cell r="J2320">
            <v>0</v>
          </cell>
        </row>
        <row r="2321">
          <cell r="B2321" t="str">
            <v>5.2.05.99.99</v>
          </cell>
          <cell r="C2321" t="str">
            <v>Belanja Modal Aset Tetap Lainnya BLUD</v>
          </cell>
          <cell r="D2321">
            <v>9500000</v>
          </cell>
          <cell r="F2321">
            <v>0</v>
          </cell>
          <cell r="G2321">
            <v>0</v>
          </cell>
          <cell r="H2321">
            <v>0</v>
          </cell>
          <cell r="I2321">
            <v>0</v>
          </cell>
          <cell r="J2321">
            <v>0</v>
          </cell>
        </row>
        <row r="2323">
          <cell r="B2323" t="str">
            <v>5.2.06</v>
          </cell>
          <cell r="C2323" t="str">
            <v>Belanja Modal Aset Lainnya</v>
          </cell>
          <cell r="D2323">
            <v>55950000</v>
          </cell>
          <cell r="E2323">
            <v>0</v>
          </cell>
          <cell r="J2323">
            <v>0</v>
          </cell>
        </row>
        <row r="2324">
          <cell r="B2324" t="str">
            <v>5.2.06.01</v>
          </cell>
          <cell r="C2324" t="str">
            <v>Belanja Modal Aset Lainnya-Aset Tidak Berwujud</v>
          </cell>
          <cell r="D2324">
            <v>49950000</v>
          </cell>
          <cell r="E2324">
            <v>0</v>
          </cell>
          <cell r="J2324">
            <v>0</v>
          </cell>
        </row>
        <row r="2325">
          <cell r="B2325" t="str">
            <v>5.2.06.01.01</v>
          </cell>
          <cell r="C2325" t="str">
            <v>Belanja Modal Aset Tidak Berwujud</v>
          </cell>
          <cell r="D2325">
            <v>49950000</v>
          </cell>
          <cell r="F2325">
            <v>0</v>
          </cell>
          <cell r="G2325">
            <v>0</v>
          </cell>
          <cell r="H2325">
            <v>0</v>
          </cell>
          <cell r="I2325">
            <v>0</v>
          </cell>
          <cell r="J2325">
            <v>0</v>
          </cell>
        </row>
        <row r="2326">
          <cell r="B2326" t="str">
            <v>5.2.06.99</v>
          </cell>
          <cell r="C2326" t="str">
            <v>Belanja Modal Aset Lainnya BLUD</v>
          </cell>
          <cell r="D2326">
            <v>6000000</v>
          </cell>
          <cell r="E2326">
            <v>0</v>
          </cell>
          <cell r="J2326">
            <v>0</v>
          </cell>
        </row>
        <row r="2327">
          <cell r="B2327" t="str">
            <v>5.2.06.99.99</v>
          </cell>
          <cell r="C2327" t="str">
            <v>Belanja Modal Aset Lainnya BLUD</v>
          </cell>
          <cell r="D2327">
            <v>6000000</v>
          </cell>
          <cell r="F2327">
            <v>0</v>
          </cell>
          <cell r="G2327">
            <v>0</v>
          </cell>
          <cell r="H2327">
            <v>0</v>
          </cell>
          <cell r="I2327">
            <v>0</v>
          </cell>
          <cell r="J2327">
            <v>0</v>
          </cell>
        </row>
        <row r="2329">
          <cell r="B2329" t="str">
            <v>5.3</v>
          </cell>
          <cell r="C2329" t="str">
            <v>BELANJA TIDAK TERDUGA</v>
          </cell>
          <cell r="D2329">
            <v>1621640000</v>
          </cell>
          <cell r="E2329">
            <v>3938150000</v>
          </cell>
          <cell r="J2329">
            <v>3938150000</v>
          </cell>
        </row>
        <row r="2330">
          <cell r="B2330" t="str">
            <v>5.3.01</v>
          </cell>
          <cell r="C2330" t="str">
            <v>Belanja Tidak Terduga</v>
          </cell>
          <cell r="D2330">
            <v>1621640000</v>
          </cell>
          <cell r="E2330">
            <v>3938150000</v>
          </cell>
          <cell r="J2330">
            <v>3938150000</v>
          </cell>
        </row>
        <row r="2331">
          <cell r="B2331" t="str">
            <v>5.3.01.01</v>
          </cell>
          <cell r="C2331" t="str">
            <v>Belanja Tidak Terduga</v>
          </cell>
          <cell r="D2331">
            <v>1621640000</v>
          </cell>
          <cell r="E2331">
            <v>3938150000</v>
          </cell>
          <cell r="J2331">
            <v>3938150000</v>
          </cell>
        </row>
        <row r="2332">
          <cell r="B2332" t="str">
            <v>5.3.01.01.01</v>
          </cell>
          <cell r="C2332" t="str">
            <v>Belanja Tidak Terduga</v>
          </cell>
          <cell r="D2332">
            <v>1621640000</v>
          </cell>
          <cell r="E2332">
            <v>3938150000</v>
          </cell>
          <cell r="F2332">
            <v>0</v>
          </cell>
          <cell r="G2332">
            <v>0</v>
          </cell>
          <cell r="H2332">
            <v>0</v>
          </cell>
          <cell r="I2332">
            <v>0</v>
          </cell>
          <cell r="J2332">
            <v>3938150000</v>
          </cell>
        </row>
        <row r="2334">
          <cell r="B2334" t="str">
            <v>5.4</v>
          </cell>
          <cell r="C2334" t="str">
            <v>BELANJA TRANSFER</v>
          </cell>
          <cell r="D2334">
            <v>297295188555</v>
          </cell>
          <cell r="E2334">
            <v>286042473554</v>
          </cell>
          <cell r="J2334">
            <v>286042473554</v>
          </cell>
        </row>
        <row r="2335">
          <cell r="B2335" t="str">
            <v>5.4.01</v>
          </cell>
          <cell r="C2335" t="str">
            <v>Belanja Bagi Hasil</v>
          </cell>
          <cell r="D2335">
            <v>3318345692</v>
          </cell>
          <cell r="E2335">
            <v>4252200290</v>
          </cell>
          <cell r="J2335">
            <v>4252200290</v>
          </cell>
        </row>
        <row r="2336">
          <cell r="B2336" t="str">
            <v>5.4.01.01</v>
          </cell>
          <cell r="C2336" t="str">
            <v>Belanja Bagi Hasil Pajak Daerah Kepada Pemerintahan Kabupaten/Kota dan Desa</v>
          </cell>
          <cell r="D2336">
            <v>0</v>
          </cell>
          <cell r="E2336">
            <v>2983619018</v>
          </cell>
          <cell r="J2336">
            <v>2983619018</v>
          </cell>
        </row>
        <row r="2337">
          <cell r="B2337" t="str">
            <v>5.4.01.01.01</v>
          </cell>
          <cell r="C2337" t="str">
            <v>Belanja Bagi Hasil Pajak Daerah Kepada Pemerintahan Kabupaten</v>
          </cell>
          <cell r="F2337">
            <v>0</v>
          </cell>
          <cell r="G2337">
            <v>0</v>
          </cell>
          <cell r="H2337">
            <v>0</v>
          </cell>
          <cell r="I2337">
            <v>0</v>
          </cell>
          <cell r="J2337">
            <v>0</v>
          </cell>
        </row>
        <row r="2338">
          <cell r="B2338" t="str">
            <v>5.4.01.01.02</v>
          </cell>
          <cell r="C2338" t="str">
            <v>Belanja Bagi Hasil Pajak Daerah Kepada Pemerintahan Kota</v>
          </cell>
          <cell r="F2338">
            <v>0</v>
          </cell>
          <cell r="G2338">
            <v>0</v>
          </cell>
          <cell r="H2338">
            <v>0</v>
          </cell>
          <cell r="I2338">
            <v>0</v>
          </cell>
          <cell r="J2338">
            <v>0</v>
          </cell>
        </row>
        <row r="2339">
          <cell r="B2339" t="str">
            <v>5.4.01.01.03</v>
          </cell>
          <cell r="C2339" t="str">
            <v>Belanja Bagi Hasil Pajak Daerah Kepada Pemerintahan Desa</v>
          </cell>
          <cell r="E2339">
            <v>2983619018</v>
          </cell>
          <cell r="F2339">
            <v>0</v>
          </cell>
          <cell r="G2339">
            <v>0</v>
          </cell>
          <cell r="H2339">
            <v>0</v>
          </cell>
          <cell r="I2339">
            <v>0</v>
          </cell>
          <cell r="J2339">
            <v>2983619018</v>
          </cell>
        </row>
        <row r="2340">
          <cell r="B2340" t="str">
            <v>5.4.01.02</v>
          </cell>
          <cell r="C2340" t="str">
            <v>Belanja Bagi Hasil Retribusi Daerah Kabupaten/Kota Kepada Pemerintah Desa</v>
          </cell>
          <cell r="D2340">
            <v>3318345692</v>
          </cell>
          <cell r="E2340">
            <v>1268581272</v>
          </cell>
          <cell r="J2340">
            <v>1268581272</v>
          </cell>
        </row>
        <row r="2341">
          <cell r="B2341" t="str">
            <v>5.4.01.02.01</v>
          </cell>
          <cell r="C2341" t="str">
            <v>Belanja Bagi Hasil Retribusi Daerah Kabupaten/Kota Kepada Pemerintah Desa</v>
          </cell>
          <cell r="D2341">
            <v>3318345692</v>
          </cell>
          <cell r="E2341">
            <v>1268581272</v>
          </cell>
          <cell r="F2341">
            <v>0</v>
          </cell>
          <cell r="G2341">
            <v>0</v>
          </cell>
          <cell r="H2341">
            <v>0</v>
          </cell>
          <cell r="I2341">
            <v>0</v>
          </cell>
          <cell r="J2341">
            <v>1268581272</v>
          </cell>
        </row>
        <row r="2343">
          <cell r="B2343" t="str">
            <v>5.4.02</v>
          </cell>
          <cell r="C2343" t="str">
            <v>Belanja Bantuan Keuangan</v>
          </cell>
          <cell r="D2343">
            <v>293976842863</v>
          </cell>
          <cell r="E2343">
            <v>281790273264</v>
          </cell>
          <cell r="J2343">
            <v>281790273264</v>
          </cell>
        </row>
        <row r="2344">
          <cell r="B2344" t="str">
            <v>5.4.02.01</v>
          </cell>
          <cell r="C2344" t="str">
            <v>Belanja Bantuan Keuangan antar Daerah Provinsi</v>
          </cell>
          <cell r="D2344">
            <v>0</v>
          </cell>
          <cell r="E2344">
            <v>0</v>
          </cell>
          <cell r="J2344">
            <v>0</v>
          </cell>
        </row>
        <row r="2345">
          <cell r="B2345" t="str">
            <v>5.4.02.01.01</v>
          </cell>
          <cell r="C2345" t="str">
            <v>Belanja Bantuan Keuangan Umum antar Daerah Provinsi</v>
          </cell>
          <cell r="F2345">
            <v>0</v>
          </cell>
          <cell r="G2345">
            <v>0</v>
          </cell>
          <cell r="H2345">
            <v>0</v>
          </cell>
          <cell r="I2345">
            <v>0</v>
          </cell>
          <cell r="J2345">
            <v>0</v>
          </cell>
        </row>
        <row r="2346">
          <cell r="B2346" t="str">
            <v>5.4.02.01.02</v>
          </cell>
          <cell r="C2346" t="str">
            <v>Belanja Bantuan Keuangan Khusus antar Daerah Provinsi</v>
          </cell>
          <cell r="F2346">
            <v>0</v>
          </cell>
          <cell r="G2346">
            <v>0</v>
          </cell>
          <cell r="H2346">
            <v>0</v>
          </cell>
          <cell r="I2346">
            <v>0</v>
          </cell>
          <cell r="J2346">
            <v>0</v>
          </cell>
        </row>
        <row r="2347">
          <cell r="B2347" t="str">
            <v>5.4.02.02</v>
          </cell>
          <cell r="C2347" t="str">
            <v>Belanja Bantuan Keuangan antar Daerah Kabupaten/Kota</v>
          </cell>
          <cell r="D2347">
            <v>0</v>
          </cell>
          <cell r="E2347">
            <v>0</v>
          </cell>
          <cell r="J2347">
            <v>0</v>
          </cell>
        </row>
        <row r="2348">
          <cell r="B2348" t="str">
            <v>5.4.02.02.01</v>
          </cell>
          <cell r="C2348" t="str">
            <v>Belanja Bantuan Keuangan Umum antar Daerah Kabupaten/Kota</v>
          </cell>
          <cell r="F2348">
            <v>0</v>
          </cell>
          <cell r="G2348">
            <v>0</v>
          </cell>
          <cell r="H2348">
            <v>0</v>
          </cell>
          <cell r="I2348">
            <v>0</v>
          </cell>
          <cell r="J2348">
            <v>0</v>
          </cell>
        </row>
        <row r="2349">
          <cell r="B2349" t="str">
            <v>5.4.02.02.02</v>
          </cell>
          <cell r="C2349" t="str">
            <v>Belanja Bantuan Keuangan Khusus kepada Pemerintah Kabupaten/Kota</v>
          </cell>
          <cell r="F2349">
            <v>0</v>
          </cell>
          <cell r="G2349">
            <v>0</v>
          </cell>
          <cell r="H2349">
            <v>0</v>
          </cell>
          <cell r="I2349">
            <v>0</v>
          </cell>
          <cell r="J2349">
            <v>0</v>
          </cell>
        </row>
        <row r="2350">
          <cell r="B2350" t="str">
            <v>5.4.02.03</v>
          </cell>
          <cell r="C2350" t="str">
            <v>Belanja Bantuan Keuangan Daerah Provinsi ke Kabupaten/Kota</v>
          </cell>
          <cell r="D2350">
            <v>0</v>
          </cell>
          <cell r="E2350">
            <v>0</v>
          </cell>
          <cell r="J2350">
            <v>0</v>
          </cell>
        </row>
        <row r="2351">
          <cell r="B2351" t="str">
            <v>5.4.02.03.01</v>
          </cell>
          <cell r="C2351" t="str">
            <v>Belanja Bantuan Keuangan Umum Daerah Provinsi ke Kabupaten/Kota</v>
          </cell>
          <cell r="F2351">
            <v>0</v>
          </cell>
          <cell r="G2351">
            <v>0</v>
          </cell>
          <cell r="H2351">
            <v>0</v>
          </cell>
          <cell r="I2351">
            <v>0</v>
          </cell>
          <cell r="J2351">
            <v>0</v>
          </cell>
        </row>
        <row r="2352">
          <cell r="B2352" t="str">
            <v>5.4.02.03.02</v>
          </cell>
          <cell r="C2352" t="str">
            <v>Belanja Bantuan Keuangan Khusus Daerah Provinsi ke Kabupaten/Kota</v>
          </cell>
          <cell r="F2352">
            <v>0</v>
          </cell>
          <cell r="G2352">
            <v>0</v>
          </cell>
          <cell r="H2352">
            <v>0</v>
          </cell>
          <cell r="I2352">
            <v>0</v>
          </cell>
          <cell r="J2352">
            <v>0</v>
          </cell>
        </row>
        <row r="2353">
          <cell r="B2353" t="str">
            <v>5.4.02.04</v>
          </cell>
          <cell r="C2353" t="str">
            <v>Belanja Bantuan Keuangan Kabupaten/Kota ke Daerah Provinsi</v>
          </cell>
          <cell r="D2353">
            <v>0</v>
          </cell>
          <cell r="E2353">
            <v>0</v>
          </cell>
          <cell r="J2353">
            <v>0</v>
          </cell>
        </row>
        <row r="2354">
          <cell r="B2354" t="str">
            <v>5.4.02.04.01</v>
          </cell>
          <cell r="C2354" t="str">
            <v>Belanja Bantuan Keuangan Umum Daerah Kabupaten/Kota ke Provinsi</v>
          </cell>
          <cell r="F2354">
            <v>0</v>
          </cell>
          <cell r="G2354">
            <v>0</v>
          </cell>
          <cell r="H2354">
            <v>0</v>
          </cell>
          <cell r="I2354">
            <v>0</v>
          </cell>
          <cell r="J2354">
            <v>0</v>
          </cell>
        </row>
        <row r="2355">
          <cell r="B2355" t="str">
            <v>5.4.02.04.02</v>
          </cell>
          <cell r="C2355" t="str">
            <v>Belanja Bantuan Keuangan Khusus Daerah Kabupaten/Kota ke Provinsi</v>
          </cell>
          <cell r="F2355">
            <v>0</v>
          </cell>
          <cell r="G2355">
            <v>0</v>
          </cell>
          <cell r="H2355">
            <v>0</v>
          </cell>
          <cell r="I2355">
            <v>0</v>
          </cell>
          <cell r="J2355">
            <v>0</v>
          </cell>
        </row>
        <row r="2356">
          <cell r="B2356" t="str">
            <v>5.4.02.05</v>
          </cell>
          <cell r="C2356" t="str">
            <v>Belanja Bantuan Keuangan Daerah Provinsi atau Kabupaten/Kota kepada Desa</v>
          </cell>
          <cell r="D2356">
            <v>293976842863</v>
          </cell>
          <cell r="E2356">
            <v>281790273264</v>
          </cell>
          <cell r="J2356">
            <v>281790273264</v>
          </cell>
        </row>
        <row r="2357">
          <cell r="B2357" t="str">
            <v>5.4.02.05.01</v>
          </cell>
          <cell r="C2357" t="str">
            <v>Belanja Bantuan Keuangan Umum Daerah Provinsi atau Kabupaten/Kota kepada Desa</v>
          </cell>
          <cell r="D2357">
            <v>293976842863</v>
          </cell>
          <cell r="E2357">
            <v>281790273264</v>
          </cell>
          <cell r="F2357">
            <v>0</v>
          </cell>
          <cell r="G2357">
            <v>0</v>
          </cell>
          <cell r="H2357">
            <v>0</v>
          </cell>
          <cell r="I2357">
            <v>0</v>
          </cell>
          <cell r="J2357">
            <v>281790273264</v>
          </cell>
        </row>
        <row r="2358">
          <cell r="B2358" t="str">
            <v>5.4.02.05.02</v>
          </cell>
          <cell r="C2358" t="str">
            <v>Belanja Bantuan Keuangan Khusus Daerah Provinsi atau Kabupaten/Kota kepada Desa</v>
          </cell>
          <cell r="F2358">
            <v>0</v>
          </cell>
          <cell r="G2358">
            <v>0</v>
          </cell>
          <cell r="H2358">
            <v>0</v>
          </cell>
          <cell r="I2358">
            <v>0</v>
          </cell>
          <cell r="J2358">
            <v>0</v>
          </cell>
        </row>
        <row r="2359">
          <cell r="B2359" t="str">
            <v>5.4.02.06</v>
          </cell>
          <cell r="C2359" t="str">
            <v>Belanja Transfer Dana Otonomi Khusus Provinsi kepada Kabupaten/Kota</v>
          </cell>
          <cell r="D2359">
            <v>0</v>
          </cell>
          <cell r="E2359">
            <v>0</v>
          </cell>
          <cell r="J2359">
            <v>0</v>
          </cell>
        </row>
        <row r="2360">
          <cell r="B2360" t="str">
            <v>5.4.02.06.01</v>
          </cell>
          <cell r="C2360" t="str">
            <v>Belanja Transfer Dana Otonomi Khusus Provinsi kepada Kabupaten/Kota</v>
          </cell>
          <cell r="F2360">
            <v>0</v>
          </cell>
          <cell r="G2360">
            <v>0</v>
          </cell>
          <cell r="H2360">
            <v>0</v>
          </cell>
          <cell r="I2360">
            <v>0</v>
          </cell>
          <cell r="J2360">
            <v>0</v>
          </cell>
        </row>
        <row r="2362">
          <cell r="B2362" t="str">
            <v>LRA</v>
          </cell>
          <cell r="C2362" t="str">
            <v>SURPLUS/(DEFISIT)</v>
          </cell>
          <cell r="D2362">
            <v>10848290178.51001</v>
          </cell>
          <cell r="E2362">
            <v>28708950184.430176</v>
          </cell>
          <cell r="J2362">
            <v>28686131109.180176</v>
          </cell>
        </row>
        <row r="2364">
          <cell r="B2364" t="str">
            <v>6</v>
          </cell>
          <cell r="C2364" t="str">
            <v>PEMBIAYAAN DAERAH</v>
          </cell>
          <cell r="D2364">
            <v>29078203358.449997</v>
          </cell>
          <cell r="E2364">
            <v>39729972000.959999</v>
          </cell>
          <cell r="J2364">
            <v>39729751363.519997</v>
          </cell>
        </row>
        <row r="2365">
          <cell r="B2365" t="str">
            <v>6.1</v>
          </cell>
          <cell r="C2365" t="str">
            <v>PENERIMAAN PEMBIAYAAN</v>
          </cell>
          <cell r="D2365">
            <v>30078203358.449997</v>
          </cell>
          <cell r="E2365">
            <v>39929972000.959999</v>
          </cell>
          <cell r="J2365">
            <v>39929751363.519997</v>
          </cell>
        </row>
        <row r="2366">
          <cell r="B2366" t="str">
            <v>6.1.01</v>
          </cell>
          <cell r="C2366" t="str">
            <v>Sisa Lebih Perhitungan Anggaran Tahun Sebelumnya</v>
          </cell>
          <cell r="D2366">
            <v>30071323358.449997</v>
          </cell>
          <cell r="E2366">
            <v>39926493536.959999</v>
          </cell>
          <cell r="J2366">
            <v>39926272899.519997</v>
          </cell>
        </row>
        <row r="2367">
          <cell r="B2367" t="str">
            <v>6.1.01.01</v>
          </cell>
          <cell r="C2367" t="str">
            <v>Pelampauan Penerimaan PAD</v>
          </cell>
          <cell r="D2367">
            <v>0</v>
          </cell>
          <cell r="E2367">
            <v>0</v>
          </cell>
          <cell r="J2367">
            <v>0</v>
          </cell>
        </row>
        <row r="2368">
          <cell r="B2368" t="str">
            <v>6.1.01.01.01</v>
          </cell>
          <cell r="C2368" t="str">
            <v>Pelampauan Penerimaan PAD-Pajak Daerah</v>
          </cell>
          <cell r="F2368">
            <v>0</v>
          </cell>
          <cell r="G2368">
            <v>0</v>
          </cell>
          <cell r="H2368">
            <v>0</v>
          </cell>
          <cell r="I2368">
            <v>0</v>
          </cell>
          <cell r="J2368">
            <v>0</v>
          </cell>
        </row>
        <row r="2369">
          <cell r="B2369" t="str">
            <v>6.1.01.01.02</v>
          </cell>
          <cell r="C2369" t="str">
            <v>Pelampauan Penerimaan PAD-Retribusi Daerah</v>
          </cell>
          <cell r="F2369">
            <v>0</v>
          </cell>
          <cell r="G2369">
            <v>0</v>
          </cell>
          <cell r="H2369">
            <v>0</v>
          </cell>
          <cell r="I2369">
            <v>0</v>
          </cell>
          <cell r="J2369">
            <v>0</v>
          </cell>
        </row>
        <row r="2370">
          <cell r="B2370" t="str">
            <v>6.1.01.01.03</v>
          </cell>
          <cell r="C2370" t="str">
            <v>Pelampauan Penerimaan PAD-Hasil Pengelolaan Kekayaan Daerah yang Dipisahkan</v>
          </cell>
          <cell r="F2370">
            <v>0</v>
          </cell>
          <cell r="G2370">
            <v>0</v>
          </cell>
          <cell r="H2370">
            <v>0</v>
          </cell>
          <cell r="I2370">
            <v>0</v>
          </cell>
          <cell r="J2370">
            <v>0</v>
          </cell>
        </row>
        <row r="2371">
          <cell r="B2371" t="str">
            <v>6.1.01.01.04</v>
          </cell>
          <cell r="C2371" t="str">
            <v>Pelampauan Penerimaan PAD-Lain-lain PAD yang Sah</v>
          </cell>
          <cell r="F2371">
            <v>0</v>
          </cell>
          <cell r="G2371">
            <v>0</v>
          </cell>
          <cell r="H2371">
            <v>0</v>
          </cell>
          <cell r="I2371">
            <v>0</v>
          </cell>
          <cell r="J2371">
            <v>0</v>
          </cell>
        </row>
        <row r="2372">
          <cell r="B2372" t="str">
            <v>6.1.01.02</v>
          </cell>
          <cell r="C2372" t="str">
            <v>Pelampauan Penerimaan Pendapatan Transfer</v>
          </cell>
          <cell r="D2372">
            <v>0</v>
          </cell>
          <cell r="E2372">
            <v>0</v>
          </cell>
          <cell r="J2372">
            <v>0</v>
          </cell>
        </row>
        <row r="2373">
          <cell r="B2373" t="str">
            <v>6.1.01.02.01</v>
          </cell>
          <cell r="C2373" t="str">
            <v>Pelampauan Penerimaan Pendapatan Transfer-Transfer Pemerintah Pusat</v>
          </cell>
          <cell r="F2373">
            <v>0</v>
          </cell>
          <cell r="G2373">
            <v>0</v>
          </cell>
          <cell r="H2373">
            <v>0</v>
          </cell>
          <cell r="I2373">
            <v>0</v>
          </cell>
          <cell r="J2373">
            <v>0</v>
          </cell>
        </row>
        <row r="2374">
          <cell r="B2374" t="str">
            <v>6.1.01.02.02</v>
          </cell>
          <cell r="C2374" t="str">
            <v>Pelampauan Penerimaan Pendapatan Transfer antar Daerah</v>
          </cell>
          <cell r="F2374">
            <v>0</v>
          </cell>
          <cell r="G2374">
            <v>0</v>
          </cell>
          <cell r="H2374">
            <v>0</v>
          </cell>
          <cell r="I2374">
            <v>0</v>
          </cell>
          <cell r="J2374">
            <v>0</v>
          </cell>
        </row>
        <row r="2375">
          <cell r="B2375" t="str">
            <v>6.1.01.03</v>
          </cell>
          <cell r="C2375" t="str">
            <v>Pelampauan Penerimaan Lain-Lain Pendapatan Daerah yang Sah</v>
          </cell>
          <cell r="D2375">
            <v>0</v>
          </cell>
          <cell r="E2375">
            <v>0</v>
          </cell>
          <cell r="J2375">
            <v>0</v>
          </cell>
        </row>
        <row r="2376">
          <cell r="B2376" t="str">
            <v>6.1.01.03.01</v>
          </cell>
          <cell r="C2376" t="str">
            <v>Pelampauan Penerimaan Lain-Lain Pendapatan Daerah yang Sah-Pendapatan Hibah</v>
          </cell>
          <cell r="F2376">
            <v>0</v>
          </cell>
          <cell r="G2376">
            <v>0</v>
          </cell>
          <cell r="H2376">
            <v>0</v>
          </cell>
          <cell r="I2376">
            <v>0</v>
          </cell>
          <cell r="J2376">
            <v>0</v>
          </cell>
        </row>
        <row r="2377">
          <cell r="B2377" t="str">
            <v>6.1.01.03.02</v>
          </cell>
          <cell r="C2377" t="str">
            <v>Pelampauan Penerimaan Lain-Lain Pendapatan Daerah yang Sah-Dana Darurat</v>
          </cell>
          <cell r="F2377">
            <v>0</v>
          </cell>
          <cell r="G2377">
            <v>0</v>
          </cell>
          <cell r="H2377">
            <v>0</v>
          </cell>
          <cell r="I2377">
            <v>0</v>
          </cell>
          <cell r="J2377">
            <v>0</v>
          </cell>
        </row>
        <row r="2378">
          <cell r="B2378" t="str">
            <v>6.1.01.03.03</v>
          </cell>
          <cell r="C2378" t="str">
            <v>Pelampauan Penerimaan Lain-Lain Pendapatan Daerah yang Sah-Lain-Lain Pendapatan Sesuai dengan Ketentuan Peraturan Perundang-Undangan</v>
          </cell>
          <cell r="F2378">
            <v>0</v>
          </cell>
          <cell r="G2378">
            <v>0</v>
          </cell>
          <cell r="H2378">
            <v>0</v>
          </cell>
          <cell r="I2378">
            <v>0</v>
          </cell>
          <cell r="J2378">
            <v>0</v>
          </cell>
        </row>
        <row r="2379">
          <cell r="B2379" t="str">
            <v>6.1.01.04</v>
          </cell>
          <cell r="C2379" t="str">
            <v>Pelampauan Penerimaan Pembiayaan</v>
          </cell>
          <cell r="D2379">
            <v>0</v>
          </cell>
          <cell r="E2379">
            <v>0</v>
          </cell>
          <cell r="J2379">
            <v>0</v>
          </cell>
        </row>
        <row r="2380">
          <cell r="B2380" t="str">
            <v>6.1.01.04.01</v>
          </cell>
          <cell r="C2380" t="str">
            <v>Pelampauan Penerimaan Pembiayaan-Pencairan Dana Cadangan</v>
          </cell>
          <cell r="F2380">
            <v>0</v>
          </cell>
          <cell r="G2380">
            <v>0</v>
          </cell>
          <cell r="H2380">
            <v>0</v>
          </cell>
          <cell r="I2380">
            <v>0</v>
          </cell>
          <cell r="J2380">
            <v>0</v>
          </cell>
        </row>
        <row r="2381">
          <cell r="B2381" t="str">
            <v>6.1.01.04.02</v>
          </cell>
          <cell r="C2381" t="str">
            <v>Pelampauan Penerimaan Pembiayaan-Hasil Penjualan Kekayaan Daerah yang Dipisahkan</v>
          </cell>
          <cell r="F2381">
            <v>0</v>
          </cell>
          <cell r="G2381">
            <v>0</v>
          </cell>
          <cell r="H2381">
            <v>0</v>
          </cell>
          <cell r="I2381">
            <v>0</v>
          </cell>
          <cell r="J2381">
            <v>0</v>
          </cell>
        </row>
        <row r="2382">
          <cell r="B2382" t="str">
            <v>6.1.01.04.03</v>
          </cell>
          <cell r="C2382" t="str">
            <v>Pelampauan Penerimaan Pembiayaan-Penerimaan Pinjaman Daerah</v>
          </cell>
          <cell r="F2382">
            <v>0</v>
          </cell>
          <cell r="G2382">
            <v>0</v>
          </cell>
          <cell r="H2382">
            <v>0</v>
          </cell>
          <cell r="I2382">
            <v>0</v>
          </cell>
          <cell r="J2382">
            <v>0</v>
          </cell>
        </row>
        <row r="2383">
          <cell r="B2383" t="str">
            <v>6.1.01.04.04</v>
          </cell>
          <cell r="C2383" t="str">
            <v>Pelampauan Penerimaan Pembiayaan-Penerimaan Kembali Pemberian Pinjaman Daerah</v>
          </cell>
          <cell r="F2383">
            <v>0</v>
          </cell>
          <cell r="G2383">
            <v>0</v>
          </cell>
          <cell r="H2383">
            <v>0</v>
          </cell>
          <cell r="I2383">
            <v>0</v>
          </cell>
          <cell r="J2383">
            <v>0</v>
          </cell>
        </row>
        <row r="2384">
          <cell r="B2384" t="str">
            <v>6.1.01.04.05</v>
          </cell>
          <cell r="C2384" t="str">
            <v>Pelampauan Penerimaan Pembiayaan-Penerimaan Pembiayaan Lainnya Sesuai dengan Ketentuan Peraturan Perundang-Undangan</v>
          </cell>
          <cell r="F2384">
            <v>0</v>
          </cell>
          <cell r="G2384">
            <v>0</v>
          </cell>
          <cell r="H2384">
            <v>0</v>
          </cell>
          <cell r="I2384">
            <v>0</v>
          </cell>
          <cell r="J2384">
            <v>0</v>
          </cell>
        </row>
        <row r="2385">
          <cell r="B2385" t="str">
            <v>6.1.01.04.06</v>
          </cell>
          <cell r="C2385" t="str">
            <v>Pelampauan Penerimaan Pembiayaan-Penarikan Pokok Dana Abadi Daerah</v>
          </cell>
          <cell r="F2385">
            <v>0</v>
          </cell>
          <cell r="G2385">
            <v>0</v>
          </cell>
          <cell r="H2385">
            <v>0</v>
          </cell>
          <cell r="I2385">
            <v>0</v>
          </cell>
          <cell r="J2385">
            <v>0</v>
          </cell>
        </row>
        <row r="2386">
          <cell r="B2386" t="str">
            <v>6.1.01.04.07</v>
          </cell>
          <cell r="C2386" t="str">
            <v>Pelampauan Penerimaan Pembiayaan-Penerimaan Pembiayaan Utang Daerah</v>
          </cell>
          <cell r="F2386">
            <v>0</v>
          </cell>
          <cell r="G2386">
            <v>0</v>
          </cell>
          <cell r="H2386">
            <v>0</v>
          </cell>
          <cell r="I2386">
            <v>0</v>
          </cell>
          <cell r="J2386">
            <v>0</v>
          </cell>
        </row>
        <row r="2387">
          <cell r="B2387" t="str">
            <v>6.1.01.05</v>
          </cell>
          <cell r="C2387" t="str">
            <v>Penghematan Belanja</v>
          </cell>
          <cell r="D2387">
            <v>0</v>
          </cell>
          <cell r="E2387">
            <v>0</v>
          </cell>
          <cell r="J2387">
            <v>0</v>
          </cell>
        </row>
        <row r="2388">
          <cell r="B2388" t="str">
            <v>6.1.01.05.01</v>
          </cell>
          <cell r="C2388" t="str">
            <v>Penghematan Belanja-Belanja Operasi</v>
          </cell>
          <cell r="F2388">
            <v>0</v>
          </cell>
          <cell r="G2388">
            <v>0</v>
          </cell>
          <cell r="H2388">
            <v>0</v>
          </cell>
          <cell r="I2388">
            <v>0</v>
          </cell>
          <cell r="J2388">
            <v>0</v>
          </cell>
        </row>
        <row r="2389">
          <cell r="B2389" t="str">
            <v>6.1.01.05.02</v>
          </cell>
          <cell r="C2389" t="str">
            <v>Penghematan Belanja-Belanja Modal</v>
          </cell>
          <cell r="F2389">
            <v>0</v>
          </cell>
          <cell r="G2389">
            <v>0</v>
          </cell>
          <cell r="H2389">
            <v>0</v>
          </cell>
          <cell r="I2389">
            <v>0</v>
          </cell>
          <cell r="J2389">
            <v>0</v>
          </cell>
        </row>
        <row r="2390">
          <cell r="B2390" t="str">
            <v>6.1.01.05.03</v>
          </cell>
          <cell r="C2390" t="str">
            <v>Sisa Penggunaan Belanja Tidak Terduga</v>
          </cell>
          <cell r="F2390">
            <v>0</v>
          </cell>
          <cell r="G2390">
            <v>0</v>
          </cell>
          <cell r="H2390">
            <v>0</v>
          </cell>
          <cell r="I2390">
            <v>0</v>
          </cell>
          <cell r="J2390">
            <v>0</v>
          </cell>
        </row>
        <row r="2391">
          <cell r="B2391" t="str">
            <v>6.1.01.05.04</v>
          </cell>
          <cell r="C2391" t="str">
            <v>Sisa Belanja Transfer</v>
          </cell>
          <cell r="F2391">
            <v>0</v>
          </cell>
          <cell r="G2391">
            <v>0</v>
          </cell>
          <cell r="H2391">
            <v>0</v>
          </cell>
          <cell r="I2391">
            <v>0</v>
          </cell>
          <cell r="J2391">
            <v>0</v>
          </cell>
        </row>
        <row r="2392">
          <cell r="B2392" t="str">
            <v>6.1.01.06</v>
          </cell>
          <cell r="C2392" t="str">
            <v>Kewajiban kepada Pihak Ketiga sampai dengan Akhir Tahun Belum Terselesaikan</v>
          </cell>
          <cell r="D2392">
            <v>0</v>
          </cell>
          <cell r="E2392">
            <v>0</v>
          </cell>
          <cell r="J2392">
            <v>0</v>
          </cell>
        </row>
        <row r="2393">
          <cell r="B2393" t="str">
            <v>6.1.01.06.01</v>
          </cell>
          <cell r="C2393" t="str">
            <v>Uang Jaminan</v>
          </cell>
          <cell r="F2393">
            <v>0</v>
          </cell>
          <cell r="G2393">
            <v>0</v>
          </cell>
          <cell r="H2393">
            <v>0</v>
          </cell>
          <cell r="I2393">
            <v>0</v>
          </cell>
          <cell r="J2393">
            <v>0</v>
          </cell>
        </row>
        <row r="2394">
          <cell r="B2394" t="str">
            <v>6.1.01.07</v>
          </cell>
          <cell r="C2394" t="str">
            <v>Sisa Dana Akibat Tidak Tercapainya Capaian Target Kinerja dan Sisa Dana Pengeluaran Pembiayaan</v>
          </cell>
          <cell r="D2394">
            <v>29581461463.919998</v>
          </cell>
          <cell r="E2394">
            <v>39926493536.959999</v>
          </cell>
          <cell r="J2394">
            <v>39926493536.959999</v>
          </cell>
        </row>
        <row r="2395">
          <cell r="B2395" t="str">
            <v>6.1.01.07.01</v>
          </cell>
          <cell r="C2395" t="str">
            <v>Sisa Dana Akibat Tidak Tercapainya Capaian Target Kinerja</v>
          </cell>
          <cell r="D2395">
            <v>29581461463.919998</v>
          </cell>
          <cell r="E2395">
            <v>39926493536.959999</v>
          </cell>
          <cell r="F2395">
            <v>0</v>
          </cell>
          <cell r="G2395">
            <v>0</v>
          </cell>
          <cell r="H2395">
            <v>0</v>
          </cell>
          <cell r="I2395">
            <v>0</v>
          </cell>
          <cell r="J2395">
            <v>39926493536.959999</v>
          </cell>
        </row>
        <row r="2396">
          <cell r="B2396" t="str">
            <v>6.1.01.07.02</v>
          </cell>
          <cell r="C2396" t="str">
            <v>Sisa Dana Pengeluaran Pembiayaan</v>
          </cell>
          <cell r="F2396">
            <v>0</v>
          </cell>
          <cell r="G2396">
            <v>0</v>
          </cell>
          <cell r="H2396">
            <v>0</v>
          </cell>
          <cell r="I2396">
            <v>0</v>
          </cell>
          <cell r="J2396">
            <v>0</v>
          </cell>
        </row>
        <row r="2397">
          <cell r="B2397" t="str">
            <v>6.1.01.08</v>
          </cell>
          <cell r="C2397" t="str">
            <v>Sisa Belanja Lainnya</v>
          </cell>
          <cell r="D2397">
            <v>489861894.52999997</v>
          </cell>
          <cell r="E2397">
            <v>0</v>
          </cell>
          <cell r="J2397">
            <v>-220637.44</v>
          </cell>
        </row>
        <row r="2398">
          <cell r="B2398" t="str">
            <v>6.1.01.08.01</v>
          </cell>
          <cell r="C2398" t="str">
            <v>Sisa Lebih Perhitungan Anggaran BLUD</v>
          </cell>
          <cell r="F2398">
            <v>0</v>
          </cell>
          <cell r="G2398">
            <v>0</v>
          </cell>
          <cell r="H2398">
            <v>0</v>
          </cell>
          <cell r="I2398">
            <v>0</v>
          </cell>
          <cell r="J2398">
            <v>0</v>
          </cell>
        </row>
        <row r="2399">
          <cell r="B2399" t="str">
            <v>6.1.01.08.02</v>
          </cell>
          <cell r="C2399" t="str">
            <v>Sisa Dana BOS</v>
          </cell>
          <cell r="D2399">
            <v>22953446.529999997</v>
          </cell>
          <cell r="F2399">
            <v>0</v>
          </cell>
          <cell r="G2399">
            <v>89362.559999999998</v>
          </cell>
          <cell r="H2399">
            <v>0</v>
          </cell>
          <cell r="I2399">
            <v>0</v>
          </cell>
          <cell r="J2399">
            <v>89362.559999999998</v>
          </cell>
        </row>
        <row r="2400">
          <cell r="B2400" t="str">
            <v>6.1.01.08.03</v>
          </cell>
          <cell r="C2400" t="str">
            <v>Sisa Dana Kapitasi</v>
          </cell>
          <cell r="F2400">
            <v>0</v>
          </cell>
          <cell r="G2400">
            <v>0</v>
          </cell>
          <cell r="H2400">
            <v>0</v>
          </cell>
          <cell r="I2400">
            <v>0</v>
          </cell>
          <cell r="J2400">
            <v>0</v>
          </cell>
        </row>
        <row r="2401">
          <cell r="B2401" t="str">
            <v>6.1.01.08.04</v>
          </cell>
          <cell r="C2401" t="str">
            <v>Sisa Dana BOSP</v>
          </cell>
          <cell r="F2401">
            <v>310000</v>
          </cell>
          <cell r="G2401">
            <v>0</v>
          </cell>
          <cell r="H2401">
            <v>0</v>
          </cell>
          <cell r="I2401">
            <v>0</v>
          </cell>
          <cell r="J2401">
            <v>-310000</v>
          </cell>
        </row>
        <row r="2402">
          <cell r="B2402" t="str">
            <v>6.1.01.08.05</v>
          </cell>
          <cell r="C2402" t="str">
            <v>Sisa Dana BOK Puskesmas</v>
          </cell>
          <cell r="D2402">
            <v>466908448</v>
          </cell>
          <cell r="F2402">
            <v>0</v>
          </cell>
          <cell r="G2402">
            <v>0</v>
          </cell>
          <cell r="H2402">
            <v>0</v>
          </cell>
          <cell r="I2402">
            <v>0</v>
          </cell>
          <cell r="J2402">
            <v>0</v>
          </cell>
        </row>
        <row r="2403">
          <cell r="B2403" t="str">
            <v>6.1.01.09</v>
          </cell>
          <cell r="C2403" t="str">
            <v>Penarikan Sisa Lebih Perhitungan Anggaran BLUD</v>
          </cell>
          <cell r="D2403">
            <v>0</v>
          </cell>
          <cell r="E2403">
            <v>0</v>
          </cell>
          <cell r="J2403">
            <v>0</v>
          </cell>
        </row>
        <row r="2404">
          <cell r="B2404" t="str">
            <v>6.1.01.09.01</v>
          </cell>
          <cell r="C2404" t="str">
            <v>Penarikan Sisa Lebih Perhitungan Anggaran BLUD</v>
          </cell>
          <cell r="F2404">
            <v>0</v>
          </cell>
          <cell r="G2404">
            <v>0</v>
          </cell>
          <cell r="H2404">
            <v>0</v>
          </cell>
          <cell r="I2404">
            <v>0</v>
          </cell>
          <cell r="J2404">
            <v>0</v>
          </cell>
        </row>
        <row r="2405">
          <cell r="B2405" t="str">
            <v>6.1.01.10</v>
          </cell>
          <cell r="C2405" t="str">
            <v>Sisa Dana Otonomi Khusus</v>
          </cell>
          <cell r="D2405">
            <v>0</v>
          </cell>
          <cell r="E2405">
            <v>0</v>
          </cell>
          <cell r="J2405">
            <v>0</v>
          </cell>
        </row>
        <row r="2406">
          <cell r="B2406" t="str">
            <v>6.1.01.10.01</v>
          </cell>
          <cell r="C2406" t="str">
            <v>Sisa Dana Otonomi Khusus-Papua</v>
          </cell>
          <cell r="F2406">
            <v>0</v>
          </cell>
          <cell r="G2406">
            <v>0</v>
          </cell>
          <cell r="H2406">
            <v>0</v>
          </cell>
          <cell r="I2406">
            <v>0</v>
          </cell>
          <cell r="J2406">
            <v>0</v>
          </cell>
        </row>
        <row r="2407">
          <cell r="B2407" t="str">
            <v>6.1.01.10.02</v>
          </cell>
          <cell r="C2407" t="str">
            <v>Sisa Dana Otonomi Khusus-Aceh</v>
          </cell>
          <cell r="F2407">
            <v>0</v>
          </cell>
          <cell r="G2407">
            <v>0</v>
          </cell>
          <cell r="H2407">
            <v>0</v>
          </cell>
          <cell r="I2407">
            <v>0</v>
          </cell>
          <cell r="J2407">
            <v>0</v>
          </cell>
        </row>
        <row r="2409">
          <cell r="B2409" t="str">
            <v>6.1.02</v>
          </cell>
          <cell r="C2409" t="str">
            <v>Pencairan Dana Cadangan</v>
          </cell>
          <cell r="D2409">
            <v>0</v>
          </cell>
          <cell r="E2409">
            <v>0</v>
          </cell>
          <cell r="J2409">
            <v>0</v>
          </cell>
        </row>
        <row r="2410">
          <cell r="B2410" t="str">
            <v>6.1.02.01</v>
          </cell>
          <cell r="C2410" t="str">
            <v>Pencairan Dana Cadangan</v>
          </cell>
          <cell r="D2410">
            <v>0</v>
          </cell>
          <cell r="E2410">
            <v>0</v>
          </cell>
          <cell r="J2410">
            <v>0</v>
          </cell>
        </row>
        <row r="2411">
          <cell r="B2411" t="str">
            <v>6.1.02.01.01</v>
          </cell>
          <cell r="C2411" t="str">
            <v>Pencairan Dana Cadangan</v>
          </cell>
          <cell r="F2411">
            <v>0</v>
          </cell>
          <cell r="G2411">
            <v>0</v>
          </cell>
          <cell r="H2411">
            <v>0</v>
          </cell>
          <cell r="I2411">
            <v>0</v>
          </cell>
          <cell r="J2411">
            <v>0</v>
          </cell>
        </row>
        <row r="2412">
          <cell r="B2412" t="str">
            <v>6.1.02.02</v>
          </cell>
          <cell r="C2412" t="str">
            <v>Pencairan Dana Cadangan untuk Pembayaran Pokok Obligasi</v>
          </cell>
          <cell r="D2412">
            <v>0</v>
          </cell>
          <cell r="E2412">
            <v>0</v>
          </cell>
          <cell r="J2412">
            <v>0</v>
          </cell>
        </row>
        <row r="2413">
          <cell r="B2413" t="str">
            <v>6.1.02.02.01</v>
          </cell>
          <cell r="C2413" t="str">
            <v>Pencairan Dana Cadangan untuk Pembayaran Pokok Obligasi</v>
          </cell>
          <cell r="F2413">
            <v>0</v>
          </cell>
          <cell r="G2413">
            <v>0</v>
          </cell>
          <cell r="H2413">
            <v>0</v>
          </cell>
          <cell r="I2413">
            <v>0</v>
          </cell>
          <cell r="J2413">
            <v>0</v>
          </cell>
        </row>
        <row r="2414">
          <cell r="B2414" t="str">
            <v>6.1.02.03</v>
          </cell>
          <cell r="C2414" t="str">
            <v>Pencairan Dana Cadangan untuk Pembayaran Pokok Sukuk</v>
          </cell>
          <cell r="D2414">
            <v>0</v>
          </cell>
          <cell r="E2414">
            <v>0</v>
          </cell>
          <cell r="J2414">
            <v>0</v>
          </cell>
        </row>
        <row r="2415">
          <cell r="B2415" t="str">
            <v>6.1.02.03.01</v>
          </cell>
          <cell r="C2415" t="str">
            <v>Pencairan Dana Cadangan untuk Pembayaran Pokok Sukuk</v>
          </cell>
          <cell r="F2415">
            <v>0</v>
          </cell>
          <cell r="G2415">
            <v>0</v>
          </cell>
          <cell r="H2415">
            <v>0</v>
          </cell>
          <cell r="I2415">
            <v>0</v>
          </cell>
          <cell r="J2415">
            <v>0</v>
          </cell>
        </row>
        <row r="2417">
          <cell r="B2417" t="str">
            <v>6.1.03</v>
          </cell>
          <cell r="C2417" t="str">
            <v>Hasil Penjualan Kekayaan Daerah yang Dipisahkan</v>
          </cell>
          <cell r="D2417">
            <v>0</v>
          </cell>
          <cell r="E2417">
            <v>0</v>
          </cell>
          <cell r="J2417">
            <v>0</v>
          </cell>
        </row>
        <row r="2418">
          <cell r="B2418" t="str">
            <v>6.1.03.01</v>
          </cell>
          <cell r="C2418" t="str">
            <v>Hasil Penjualan Kekayaan Daerah yang Dipisahkan pada Badan Usaha Milik Negara (BUMN)</v>
          </cell>
          <cell r="D2418">
            <v>0</v>
          </cell>
          <cell r="E2418">
            <v>0</v>
          </cell>
          <cell r="J2418">
            <v>0</v>
          </cell>
        </row>
        <row r="2419">
          <cell r="B2419" t="str">
            <v>6.1.03.01.01</v>
          </cell>
          <cell r="C2419" t="str">
            <v>Hasil Penjualan Kekayaan Daerah yang Dipisahkan pada BUMN</v>
          </cell>
          <cell r="F2419">
            <v>0</v>
          </cell>
          <cell r="G2419">
            <v>0</v>
          </cell>
          <cell r="H2419">
            <v>0</v>
          </cell>
          <cell r="I2419">
            <v>0</v>
          </cell>
          <cell r="J2419">
            <v>0</v>
          </cell>
        </row>
        <row r="2420">
          <cell r="B2420" t="str">
            <v>6.1.03.02</v>
          </cell>
          <cell r="C2420" t="str">
            <v>Hasil Penjualan Kekayaan Daerah yang Dipisahkan pada Badan Usaha Milik Daerah (BUMD)</v>
          </cell>
          <cell r="D2420">
            <v>0</v>
          </cell>
          <cell r="E2420">
            <v>0</v>
          </cell>
          <cell r="J2420">
            <v>0</v>
          </cell>
        </row>
        <row r="2421">
          <cell r="B2421" t="str">
            <v>6.1.03.02.01</v>
          </cell>
          <cell r="C2421" t="str">
            <v>Hasil Penjualan Kekayaan Daerah yang Dipisahkan pada BUMD</v>
          </cell>
          <cell r="F2421">
            <v>0</v>
          </cell>
          <cell r="G2421">
            <v>0</v>
          </cell>
          <cell r="H2421">
            <v>0</v>
          </cell>
          <cell r="I2421">
            <v>0</v>
          </cell>
          <cell r="J2421">
            <v>0</v>
          </cell>
        </row>
        <row r="2423">
          <cell r="B2423" t="str">
            <v>6.1.04</v>
          </cell>
          <cell r="C2423" t="str">
            <v>Penerimaan Pinjaman Daerah</v>
          </cell>
          <cell r="D2423">
            <v>0</v>
          </cell>
          <cell r="E2423">
            <v>0</v>
          </cell>
          <cell r="J2423">
            <v>0</v>
          </cell>
        </row>
        <row r="2424">
          <cell r="B2424" t="str">
            <v>6.1.04.01</v>
          </cell>
          <cell r="C2424" t="str">
            <v>Pinjaman Daerah dari Pemerintah Pusat</v>
          </cell>
          <cell r="D2424">
            <v>0</v>
          </cell>
          <cell r="E2424">
            <v>0</v>
          </cell>
          <cell r="J2424">
            <v>0</v>
          </cell>
        </row>
        <row r="2425">
          <cell r="B2425" t="str">
            <v>6.1.04.01.01</v>
          </cell>
          <cell r="C2425" t="str">
            <v>Pinjaman Daerah dari Pemerintah Pusat-Penerusan Pinjaman Dalam Negeri-Jangka Menengah</v>
          </cell>
          <cell r="F2425">
            <v>0</v>
          </cell>
          <cell r="G2425">
            <v>0</v>
          </cell>
          <cell r="H2425">
            <v>0</v>
          </cell>
          <cell r="I2425">
            <v>0</v>
          </cell>
          <cell r="J2425">
            <v>0</v>
          </cell>
        </row>
        <row r="2426">
          <cell r="B2426" t="str">
            <v>6.1.04.01.02</v>
          </cell>
          <cell r="C2426" t="str">
            <v>Pinjaman Daerah dari Pemerintah Pusat-Penerusan Pinjaman Dalam Negeri-Jangka Panjang</v>
          </cell>
          <cell r="F2426">
            <v>0</v>
          </cell>
          <cell r="G2426">
            <v>0</v>
          </cell>
          <cell r="H2426">
            <v>0</v>
          </cell>
          <cell r="I2426">
            <v>0</v>
          </cell>
          <cell r="J2426">
            <v>0</v>
          </cell>
        </row>
        <row r="2427">
          <cell r="B2427" t="str">
            <v>6.1.04.01.03</v>
          </cell>
          <cell r="C2427" t="str">
            <v>Pinjaman Daerah dari Pemerintah Pusat-Penerusan Pinjaman Luar Negeri-Jangka Menengah</v>
          </cell>
          <cell r="F2427">
            <v>0</v>
          </cell>
          <cell r="G2427">
            <v>0</v>
          </cell>
          <cell r="H2427">
            <v>0</v>
          </cell>
          <cell r="I2427">
            <v>0</v>
          </cell>
          <cell r="J2427">
            <v>0</v>
          </cell>
        </row>
        <row r="2428">
          <cell r="B2428" t="str">
            <v>6.1.04.01.04</v>
          </cell>
          <cell r="C2428" t="str">
            <v>Pinjaman Daerah dari Pemerintah Pusat-Penerusan Pinjaman Luar Negeri-Jangka Panjang</v>
          </cell>
          <cell r="F2428">
            <v>0</v>
          </cell>
          <cell r="G2428">
            <v>0</v>
          </cell>
          <cell r="H2428">
            <v>0</v>
          </cell>
          <cell r="I2428">
            <v>0</v>
          </cell>
          <cell r="J2428">
            <v>0</v>
          </cell>
        </row>
        <row r="2429">
          <cell r="B2429" t="str">
            <v>6.1.04.01.05</v>
          </cell>
          <cell r="C2429" t="str">
            <v>Pinjaman Daerah dari Pemerintah Pusat-Sumber Lainnya sesuai dengan Ketentuan Peraturan Perundang-Undangan-Jangka Menengah</v>
          </cell>
          <cell r="F2429">
            <v>0</v>
          </cell>
          <cell r="G2429">
            <v>0</v>
          </cell>
          <cell r="H2429">
            <v>0</v>
          </cell>
          <cell r="I2429">
            <v>0</v>
          </cell>
          <cell r="J2429">
            <v>0</v>
          </cell>
        </row>
        <row r="2430">
          <cell r="B2430" t="str">
            <v>6.1.04.01.06</v>
          </cell>
          <cell r="C2430" t="str">
            <v>Pinjaman Daerah dari Pemerintah Pusat-Sumber Lainnya sesuai dengan Ketentuan Peraturan Perundang-undangan-Jangka Panjang</v>
          </cell>
          <cell r="F2430">
            <v>0</v>
          </cell>
          <cell r="G2430">
            <v>0</v>
          </cell>
          <cell r="H2430">
            <v>0</v>
          </cell>
          <cell r="I2430">
            <v>0</v>
          </cell>
          <cell r="J2430">
            <v>0</v>
          </cell>
        </row>
        <row r="2431">
          <cell r="B2431" t="str">
            <v>6.1.04.02</v>
          </cell>
          <cell r="C2431" t="str">
            <v>Pinjaman Daerah dari Pemerintah Daerah Lain</v>
          </cell>
          <cell r="D2431">
            <v>0</v>
          </cell>
          <cell r="E2431">
            <v>0</v>
          </cell>
          <cell r="J2431">
            <v>0</v>
          </cell>
        </row>
        <row r="2432">
          <cell r="B2432" t="str">
            <v>6.1.04.02.01</v>
          </cell>
          <cell r="C2432" t="str">
            <v>Pinjaman Daerah dari Pemerintah Daerah-Jangka Pendek</v>
          </cell>
          <cell r="F2432">
            <v>0</v>
          </cell>
          <cell r="G2432">
            <v>0</v>
          </cell>
          <cell r="H2432">
            <v>0</v>
          </cell>
          <cell r="I2432">
            <v>0</v>
          </cell>
          <cell r="J2432">
            <v>0</v>
          </cell>
        </row>
        <row r="2433">
          <cell r="B2433" t="str">
            <v>6.1.04.03</v>
          </cell>
          <cell r="C2433" t="str">
            <v>Pinjaman Daerah dari Lembaga Keuangan Bank (LKB)</v>
          </cell>
          <cell r="D2433">
            <v>0</v>
          </cell>
          <cell r="E2433">
            <v>0</v>
          </cell>
          <cell r="J2433">
            <v>0</v>
          </cell>
        </row>
        <row r="2434">
          <cell r="B2434" t="str">
            <v>6.1.04.03.01</v>
          </cell>
          <cell r="C2434" t="str">
            <v>Pinjaman Daerah dari Lembaga Keuangan Bank (LKB)-BUMN-Jangka Pendek</v>
          </cell>
          <cell r="F2434">
            <v>0</v>
          </cell>
          <cell r="G2434">
            <v>0</v>
          </cell>
          <cell r="H2434">
            <v>0</v>
          </cell>
          <cell r="I2434">
            <v>0</v>
          </cell>
          <cell r="J2434">
            <v>0</v>
          </cell>
        </row>
        <row r="2435">
          <cell r="B2435" t="str">
            <v>6.1.04.03.02</v>
          </cell>
          <cell r="C2435" t="str">
            <v>Pinjaman Daerah dari Lembaga Keuangan Bank (LKB)-BUMN-Jangka Menengah</v>
          </cell>
          <cell r="F2435">
            <v>0</v>
          </cell>
          <cell r="G2435">
            <v>0</v>
          </cell>
          <cell r="H2435">
            <v>0</v>
          </cell>
          <cell r="I2435">
            <v>0</v>
          </cell>
          <cell r="J2435">
            <v>0</v>
          </cell>
        </row>
        <row r="2436">
          <cell r="B2436" t="str">
            <v>6.1.04.03.03</v>
          </cell>
          <cell r="C2436" t="str">
            <v>Pinjaman Daerah dari Lembaga Keuangan Bank (LKB)-BUMN-Jangka Panjang</v>
          </cell>
          <cell r="F2436">
            <v>0</v>
          </cell>
          <cell r="G2436">
            <v>0</v>
          </cell>
          <cell r="H2436">
            <v>0</v>
          </cell>
          <cell r="I2436">
            <v>0</v>
          </cell>
          <cell r="J2436">
            <v>0</v>
          </cell>
        </row>
        <row r="2437">
          <cell r="B2437" t="str">
            <v>6.1.04.03.04</v>
          </cell>
          <cell r="C2437" t="str">
            <v>Pinjaman Daerah dari Lembaga Keuangan Bank (LKB)-BUMD-Jangka Pendek</v>
          </cell>
          <cell r="F2437">
            <v>0</v>
          </cell>
          <cell r="G2437">
            <v>0</v>
          </cell>
          <cell r="H2437">
            <v>0</v>
          </cell>
          <cell r="I2437">
            <v>0</v>
          </cell>
          <cell r="J2437">
            <v>0</v>
          </cell>
        </row>
        <row r="2438">
          <cell r="B2438" t="str">
            <v>6.1.04.03.05</v>
          </cell>
          <cell r="C2438" t="str">
            <v>Pinjaman Daerah dari Lembaga Keuangan Bank (LKB)-BUMD-Jangka Menengah</v>
          </cell>
          <cell r="F2438">
            <v>0</v>
          </cell>
          <cell r="G2438">
            <v>0</v>
          </cell>
          <cell r="H2438">
            <v>0</v>
          </cell>
          <cell r="I2438">
            <v>0</v>
          </cell>
          <cell r="J2438">
            <v>0</v>
          </cell>
        </row>
        <row r="2439">
          <cell r="B2439" t="str">
            <v>6.1.04.03.06</v>
          </cell>
          <cell r="C2439" t="str">
            <v>Pinjaman Daerah dari Lembaga Keuangan Bank (LKB)-BUMD-Jangka Panjang</v>
          </cell>
          <cell r="F2439">
            <v>0</v>
          </cell>
          <cell r="G2439">
            <v>0</v>
          </cell>
          <cell r="H2439">
            <v>0</v>
          </cell>
          <cell r="I2439">
            <v>0</v>
          </cell>
          <cell r="J2439">
            <v>0</v>
          </cell>
        </row>
        <row r="2440">
          <cell r="B2440" t="str">
            <v>6.1.04.03.07</v>
          </cell>
          <cell r="C2440" t="str">
            <v>Pinjaman Daerah dari Lembaga Keuangan Bank (LKB)-Swasta-Jangka Pendek</v>
          </cell>
          <cell r="F2440">
            <v>0</v>
          </cell>
          <cell r="G2440">
            <v>0</v>
          </cell>
          <cell r="H2440">
            <v>0</v>
          </cell>
          <cell r="I2440">
            <v>0</v>
          </cell>
          <cell r="J2440">
            <v>0</v>
          </cell>
        </row>
        <row r="2441">
          <cell r="B2441" t="str">
            <v>6.1.04.03.08</v>
          </cell>
          <cell r="C2441" t="str">
            <v>Pinjaman Daerah dari Lembaga Keuangan Bank (LKB)-Swasta-Jangka Menengah</v>
          </cell>
          <cell r="F2441">
            <v>0</v>
          </cell>
          <cell r="G2441">
            <v>0</v>
          </cell>
          <cell r="H2441">
            <v>0</v>
          </cell>
          <cell r="I2441">
            <v>0</v>
          </cell>
          <cell r="J2441">
            <v>0</v>
          </cell>
        </row>
        <row r="2442">
          <cell r="B2442" t="str">
            <v>6.1.04.03.09</v>
          </cell>
          <cell r="C2442" t="str">
            <v>Pinjaman Daerah dari Lembaga Keuangan Bank (LKB)-Swasta-Jangka Panjang</v>
          </cell>
          <cell r="F2442">
            <v>0</v>
          </cell>
          <cell r="G2442">
            <v>0</v>
          </cell>
          <cell r="H2442">
            <v>0</v>
          </cell>
          <cell r="I2442">
            <v>0</v>
          </cell>
          <cell r="J2442">
            <v>0</v>
          </cell>
        </row>
        <row r="2443">
          <cell r="B2443" t="str">
            <v>6.1.04.04</v>
          </cell>
          <cell r="C2443" t="str">
            <v>Pinjaman Daerah dari Lembaga Keuangan Bukan Bank (LKBB)</v>
          </cell>
          <cell r="D2443">
            <v>0</v>
          </cell>
          <cell r="E2443">
            <v>0</v>
          </cell>
          <cell r="J2443">
            <v>0</v>
          </cell>
        </row>
        <row r="2444">
          <cell r="B2444" t="str">
            <v>6.1.04.04.01</v>
          </cell>
          <cell r="C2444" t="str">
            <v>Pinjaman Daerah dari Lembaga Keuangan Bukan Bank (LKBB)-BUMN-Jangka Pendek</v>
          </cell>
          <cell r="F2444">
            <v>0</v>
          </cell>
          <cell r="G2444">
            <v>0</v>
          </cell>
          <cell r="H2444">
            <v>0</v>
          </cell>
          <cell r="I2444">
            <v>0</v>
          </cell>
          <cell r="J2444">
            <v>0</v>
          </cell>
        </row>
        <row r="2445">
          <cell r="B2445" t="str">
            <v>6.1.04.04.02</v>
          </cell>
          <cell r="C2445" t="str">
            <v>Pinjaman Daerah dari Lembaga Keuangan Bukan Bank (LKBB)-BUMN-Jangka Menengah</v>
          </cell>
          <cell r="F2445">
            <v>0</v>
          </cell>
          <cell r="G2445">
            <v>0</v>
          </cell>
          <cell r="H2445">
            <v>0</v>
          </cell>
          <cell r="I2445">
            <v>0</v>
          </cell>
          <cell r="J2445">
            <v>0</v>
          </cell>
        </row>
        <row r="2446">
          <cell r="B2446" t="str">
            <v>6.1.04.04.03</v>
          </cell>
          <cell r="C2446" t="str">
            <v>Pinjaman Daerah dari Lembaga Keuangan Bukan Bank (LKBB)-BUMN-Jangka Panjang</v>
          </cell>
          <cell r="F2446">
            <v>0</v>
          </cell>
          <cell r="G2446">
            <v>0</v>
          </cell>
          <cell r="H2446">
            <v>0</v>
          </cell>
          <cell r="I2446">
            <v>0</v>
          </cell>
          <cell r="J2446">
            <v>0</v>
          </cell>
        </row>
        <row r="2447">
          <cell r="B2447" t="str">
            <v>6.1.04.04.04</v>
          </cell>
          <cell r="C2447" t="str">
            <v>Pinjaman Daerah dari Lembaga Keuangan Bukan Bank (LKBB)-BUMD-Jangka Pendek</v>
          </cell>
          <cell r="F2447">
            <v>0</v>
          </cell>
          <cell r="G2447">
            <v>0</v>
          </cell>
          <cell r="H2447">
            <v>0</v>
          </cell>
          <cell r="I2447">
            <v>0</v>
          </cell>
          <cell r="J2447">
            <v>0</v>
          </cell>
        </row>
        <row r="2448">
          <cell r="B2448" t="str">
            <v>6.1.04.04.05</v>
          </cell>
          <cell r="C2448" t="str">
            <v>Pinjaman Daerah dari Lembaga Keuangan Bukan Bank (LKBB)-BUMD-Jangka Menengah</v>
          </cell>
          <cell r="F2448">
            <v>0</v>
          </cell>
          <cell r="G2448">
            <v>0</v>
          </cell>
          <cell r="H2448">
            <v>0</v>
          </cell>
          <cell r="I2448">
            <v>0</v>
          </cell>
          <cell r="J2448">
            <v>0</v>
          </cell>
        </row>
        <row r="2449">
          <cell r="B2449" t="str">
            <v>6.1.04.04.06</v>
          </cell>
          <cell r="C2449" t="str">
            <v>Pinjaman Daerah dari Lembaga Keuangan Bukan Bank (LKBB)-BUMD-Jangka Panjang</v>
          </cell>
          <cell r="F2449">
            <v>0</v>
          </cell>
          <cell r="G2449">
            <v>0</v>
          </cell>
          <cell r="H2449">
            <v>0</v>
          </cell>
          <cell r="I2449">
            <v>0</v>
          </cell>
          <cell r="J2449">
            <v>0</v>
          </cell>
        </row>
        <row r="2450">
          <cell r="B2450" t="str">
            <v>6.1.04.04.07</v>
          </cell>
          <cell r="C2450" t="str">
            <v>Pinjaman Daerah dari Lembaga Keuangan Bukan Bank (LKBB)-Swasta-Jangka Pendek</v>
          </cell>
          <cell r="F2450">
            <v>0</v>
          </cell>
          <cell r="G2450">
            <v>0</v>
          </cell>
          <cell r="H2450">
            <v>0</v>
          </cell>
          <cell r="I2450">
            <v>0</v>
          </cell>
          <cell r="J2450">
            <v>0</v>
          </cell>
        </row>
        <row r="2451">
          <cell r="B2451" t="str">
            <v>6.1.04.04.08</v>
          </cell>
          <cell r="C2451" t="str">
            <v>Pinjaman Daerah dari Lembaga Keuangan Bukan Bank (LKBB)-Swasta-Jangka Menengah</v>
          </cell>
          <cell r="F2451">
            <v>0</v>
          </cell>
          <cell r="G2451">
            <v>0</v>
          </cell>
          <cell r="H2451">
            <v>0</v>
          </cell>
          <cell r="I2451">
            <v>0</v>
          </cell>
          <cell r="J2451">
            <v>0</v>
          </cell>
        </row>
        <row r="2452">
          <cell r="B2452" t="str">
            <v>6.1.04.04.09</v>
          </cell>
          <cell r="C2452" t="str">
            <v>Pinjaman Daerah dari Lembaga Keuangan Bukan Bank (LKBB)-Swasta-Jangka Panjang</v>
          </cell>
          <cell r="F2452">
            <v>0</v>
          </cell>
          <cell r="G2452">
            <v>0</v>
          </cell>
          <cell r="H2452">
            <v>0</v>
          </cell>
          <cell r="I2452">
            <v>0</v>
          </cell>
          <cell r="J2452">
            <v>0</v>
          </cell>
        </row>
        <row r="2453">
          <cell r="B2453" t="str">
            <v>6.1.04.05</v>
          </cell>
          <cell r="C2453" t="str">
            <v>Pinjaman Daerah dari Masyarakat</v>
          </cell>
          <cell r="D2453">
            <v>0</v>
          </cell>
          <cell r="E2453">
            <v>0</v>
          </cell>
          <cell r="J2453">
            <v>0</v>
          </cell>
        </row>
        <row r="2454">
          <cell r="B2454" t="str">
            <v>6.1.04.05.01</v>
          </cell>
          <cell r="C2454" t="str">
            <v>Obligasi Daerah</v>
          </cell>
          <cell r="F2454">
            <v>0</v>
          </cell>
          <cell r="G2454">
            <v>0</v>
          </cell>
          <cell r="H2454">
            <v>0</v>
          </cell>
          <cell r="I2454">
            <v>0</v>
          </cell>
          <cell r="J2454">
            <v>0</v>
          </cell>
        </row>
        <row r="2456">
          <cell r="B2456" t="str">
            <v>6.1.05</v>
          </cell>
          <cell r="C2456" t="str">
            <v>Penerimaan Kembali Pemberian Pinjaman Daerah</v>
          </cell>
          <cell r="D2456">
            <v>6880000</v>
          </cell>
          <cell r="E2456">
            <v>3478464</v>
          </cell>
          <cell r="J2456">
            <v>3478464</v>
          </cell>
        </row>
        <row r="2457">
          <cell r="B2457" t="str">
            <v>6.1.05.01</v>
          </cell>
          <cell r="C2457" t="str">
            <v>Penerimaan Kembali Pemberian Pinjaman Daerah kepada Pemerintah Pusat</v>
          </cell>
          <cell r="D2457">
            <v>0</v>
          </cell>
          <cell r="E2457">
            <v>0</v>
          </cell>
          <cell r="J2457">
            <v>0</v>
          </cell>
        </row>
        <row r="2458">
          <cell r="B2458" t="str">
            <v>6.1.05.01.01</v>
          </cell>
          <cell r="C2458" t="str">
            <v>Penerimaan Kembali Pemberian Pinjaman Daerah kepada Pemerintah Pusat</v>
          </cell>
          <cell r="F2458">
            <v>0</v>
          </cell>
          <cell r="G2458">
            <v>0</v>
          </cell>
          <cell r="H2458">
            <v>0</v>
          </cell>
          <cell r="I2458">
            <v>0</v>
          </cell>
          <cell r="J2458">
            <v>0</v>
          </cell>
        </row>
        <row r="2459">
          <cell r="B2459" t="str">
            <v>6.1.05.01.02</v>
          </cell>
          <cell r="C2459" t="str">
            <v>Penerimaan Kembali Investasi dalam Proyek Pembangunan kepada Pemerintah Pusat</v>
          </cell>
          <cell r="F2459">
            <v>0</v>
          </cell>
          <cell r="G2459">
            <v>0</v>
          </cell>
          <cell r="H2459">
            <v>0</v>
          </cell>
          <cell r="I2459">
            <v>0</v>
          </cell>
          <cell r="J2459">
            <v>0</v>
          </cell>
        </row>
        <row r="2460">
          <cell r="B2460" t="str">
            <v>6.1.05.02</v>
          </cell>
          <cell r="C2460" t="str">
            <v>Penerimaan Kembali Pemberian Pinjaman Daerah kepada Pemerintah Daerah Lainnya</v>
          </cell>
          <cell r="D2460">
            <v>0</v>
          </cell>
          <cell r="E2460">
            <v>0</v>
          </cell>
          <cell r="J2460">
            <v>0</v>
          </cell>
        </row>
        <row r="2461">
          <cell r="B2461" t="str">
            <v>6.1.05.02.01</v>
          </cell>
          <cell r="C2461" t="str">
            <v>Penerimaan Kembali Pemberian Pinjaman Daerah kepada Pemerintah Daerah Lainnya</v>
          </cell>
          <cell r="F2461">
            <v>0</v>
          </cell>
          <cell r="G2461">
            <v>0</v>
          </cell>
          <cell r="H2461">
            <v>0</v>
          </cell>
          <cell r="I2461">
            <v>0</v>
          </cell>
          <cell r="J2461">
            <v>0</v>
          </cell>
        </row>
        <row r="2462">
          <cell r="B2462" t="str">
            <v>6.1.05.02.02</v>
          </cell>
          <cell r="C2462" t="str">
            <v>Penerimaan Kembali Investasi dalam Proyek Pembangunan kepada Pemerintah Daerah Lainnya</v>
          </cell>
          <cell r="F2462">
            <v>0</v>
          </cell>
          <cell r="G2462">
            <v>0</v>
          </cell>
          <cell r="H2462">
            <v>0</v>
          </cell>
          <cell r="I2462">
            <v>0</v>
          </cell>
          <cell r="J2462">
            <v>0</v>
          </cell>
        </row>
        <row r="2463">
          <cell r="B2463" t="str">
            <v>6.1.05.03</v>
          </cell>
          <cell r="C2463" t="str">
            <v>Penerimaan Kembali Pinjaman kepada BUMD</v>
          </cell>
          <cell r="D2463">
            <v>0</v>
          </cell>
          <cell r="E2463">
            <v>0</v>
          </cell>
          <cell r="J2463">
            <v>0</v>
          </cell>
        </row>
        <row r="2464">
          <cell r="B2464" t="str">
            <v>6.1.05.03.01</v>
          </cell>
          <cell r="C2464" t="str">
            <v>Penerimaan Kembali Pinjaman kepada BUMD</v>
          </cell>
          <cell r="F2464">
            <v>0</v>
          </cell>
          <cell r="G2464">
            <v>0</v>
          </cell>
          <cell r="H2464">
            <v>0</v>
          </cell>
          <cell r="I2464">
            <v>0</v>
          </cell>
          <cell r="J2464">
            <v>0</v>
          </cell>
        </row>
        <row r="2465">
          <cell r="B2465" t="str">
            <v>6.1.05.03.02</v>
          </cell>
          <cell r="C2465" t="str">
            <v>Penerimaan Kembali Investasi Non Permanen kepada BUMD</v>
          </cell>
          <cell r="F2465">
            <v>0</v>
          </cell>
          <cell r="G2465">
            <v>0</v>
          </cell>
          <cell r="H2465">
            <v>0</v>
          </cell>
          <cell r="I2465">
            <v>0</v>
          </cell>
          <cell r="J2465">
            <v>0</v>
          </cell>
        </row>
        <row r="2466">
          <cell r="B2466" t="str">
            <v>6.1.05.04</v>
          </cell>
          <cell r="C2466" t="str">
            <v>Penerimaan Kembali Pinjaman kepada BUMN</v>
          </cell>
          <cell r="D2466">
            <v>0</v>
          </cell>
          <cell r="E2466">
            <v>0</v>
          </cell>
          <cell r="J2466">
            <v>0</v>
          </cell>
        </row>
        <row r="2467">
          <cell r="B2467" t="str">
            <v>6.1.05.04.01</v>
          </cell>
          <cell r="C2467" t="str">
            <v>Penerimaan Kembali Pinjaman kepada BUMN</v>
          </cell>
          <cell r="F2467">
            <v>0</v>
          </cell>
          <cell r="G2467">
            <v>0</v>
          </cell>
          <cell r="H2467">
            <v>0</v>
          </cell>
          <cell r="I2467">
            <v>0</v>
          </cell>
          <cell r="J2467">
            <v>0</v>
          </cell>
        </row>
        <row r="2468">
          <cell r="B2468" t="str">
            <v>6.1.05.04.02</v>
          </cell>
          <cell r="C2468" t="str">
            <v>Penerimaan Kembali Investasi Non Permanen kepada BUMN</v>
          </cell>
          <cell r="F2468">
            <v>0</v>
          </cell>
          <cell r="G2468">
            <v>0</v>
          </cell>
          <cell r="H2468">
            <v>0</v>
          </cell>
          <cell r="I2468">
            <v>0</v>
          </cell>
          <cell r="J2468">
            <v>0</v>
          </cell>
        </row>
        <row r="2469">
          <cell r="B2469" t="str">
            <v>6.1.05.05</v>
          </cell>
          <cell r="C2469" t="str">
            <v>Penerimaan Kembali Pinjaman kepada Koperasi</v>
          </cell>
          <cell r="D2469">
            <v>6880000</v>
          </cell>
          <cell r="E2469">
            <v>3478464</v>
          </cell>
          <cell r="J2469">
            <v>3478464</v>
          </cell>
        </row>
        <row r="2470">
          <cell r="B2470" t="str">
            <v>6.1.05.05.01</v>
          </cell>
          <cell r="C2470" t="str">
            <v>Penerimaan Kembali Pinjaman kepada Koperasi</v>
          </cell>
          <cell r="F2470">
            <v>0</v>
          </cell>
          <cell r="G2470">
            <v>0</v>
          </cell>
          <cell r="H2470">
            <v>0</v>
          </cell>
          <cell r="I2470">
            <v>0</v>
          </cell>
          <cell r="J2470">
            <v>0</v>
          </cell>
        </row>
        <row r="2471">
          <cell r="B2471" t="str">
            <v>6.1.05.05.02</v>
          </cell>
          <cell r="C2471" t="str">
            <v>Penerimaan Kembali Dana Bergulir kepada Koperasi</v>
          </cell>
          <cell r="D2471">
            <v>6880000</v>
          </cell>
          <cell r="E2471">
            <v>3478464</v>
          </cell>
          <cell r="F2471">
            <v>0</v>
          </cell>
          <cell r="G2471">
            <v>0</v>
          </cell>
          <cell r="H2471">
            <v>0</v>
          </cell>
          <cell r="I2471">
            <v>0</v>
          </cell>
          <cell r="J2471">
            <v>3478464</v>
          </cell>
        </row>
        <row r="2472">
          <cell r="B2472" t="str">
            <v>6.1.05.06</v>
          </cell>
          <cell r="C2472" t="str">
            <v>Penerimaan Kembali Pinjaman kepada Masyarakat</v>
          </cell>
          <cell r="D2472">
            <v>0</v>
          </cell>
          <cell r="E2472">
            <v>0</v>
          </cell>
          <cell r="J2472">
            <v>0</v>
          </cell>
        </row>
        <row r="2473">
          <cell r="B2473" t="str">
            <v>6.1.05.06.01</v>
          </cell>
          <cell r="C2473" t="str">
            <v>Penerimaan Kembali Pinjaman kepada Masyarakat</v>
          </cell>
          <cell r="F2473">
            <v>0</v>
          </cell>
          <cell r="G2473">
            <v>0</v>
          </cell>
          <cell r="H2473">
            <v>0</v>
          </cell>
          <cell r="I2473">
            <v>0</v>
          </cell>
          <cell r="J2473">
            <v>0</v>
          </cell>
        </row>
        <row r="2474">
          <cell r="B2474" t="str">
            <v>6.1.05.06.02</v>
          </cell>
          <cell r="C2474" t="str">
            <v>Penerimaan Kembali Dana Bergulir kepada Masyarakat</v>
          </cell>
          <cell r="F2474">
            <v>0</v>
          </cell>
          <cell r="G2474">
            <v>0</v>
          </cell>
          <cell r="H2474">
            <v>0</v>
          </cell>
          <cell r="I2474">
            <v>0</v>
          </cell>
          <cell r="J2474">
            <v>0</v>
          </cell>
        </row>
        <row r="2475">
          <cell r="B2475" t="str">
            <v>6.1.05.07</v>
          </cell>
          <cell r="C2475" t="str">
            <v>Penerimaan Kembali Dana Bergulir kepada BLUD</v>
          </cell>
          <cell r="D2475">
            <v>0</v>
          </cell>
          <cell r="E2475">
            <v>0</v>
          </cell>
          <cell r="J2475">
            <v>0</v>
          </cell>
        </row>
        <row r="2476">
          <cell r="B2476" t="str">
            <v>6.1.05.07.01</v>
          </cell>
          <cell r="C2476" t="str">
            <v>Penerimaan Kembali Dana Bergulir kepada BLUD</v>
          </cell>
          <cell r="F2476">
            <v>0</v>
          </cell>
          <cell r="G2476">
            <v>0</v>
          </cell>
          <cell r="H2476">
            <v>0</v>
          </cell>
          <cell r="I2476">
            <v>0</v>
          </cell>
          <cell r="J2476">
            <v>0</v>
          </cell>
        </row>
        <row r="2478">
          <cell r="B2478" t="str">
            <v>6.1.06</v>
          </cell>
          <cell r="C2478" t="str">
            <v>Penerimaan Pembiayaan Lainnya Sesuai dengan Ketentuan Peraturan Perundang-Undangan</v>
          </cell>
          <cell r="D2478">
            <v>0</v>
          </cell>
          <cell r="E2478">
            <v>0</v>
          </cell>
          <cell r="J2478">
            <v>0</v>
          </cell>
        </row>
        <row r="2479">
          <cell r="B2479" t="str">
            <v>6.1.06.01</v>
          </cell>
          <cell r="C2479" t="str">
            <v>Penerimaan Kembali Pinjaman melalui BLUD</v>
          </cell>
          <cell r="D2479">
            <v>0</v>
          </cell>
          <cell r="E2479">
            <v>0</v>
          </cell>
          <cell r="J2479">
            <v>0</v>
          </cell>
        </row>
        <row r="2480">
          <cell r="B2480" t="str">
            <v>6.1.06.01.01</v>
          </cell>
          <cell r="C2480" t="str">
            <v>Penerimaan Kembali Pinjaman melalui BLUD-Jangka Pendek</v>
          </cell>
          <cell r="F2480">
            <v>0</v>
          </cell>
          <cell r="G2480">
            <v>0</v>
          </cell>
          <cell r="H2480">
            <v>0</v>
          </cell>
          <cell r="I2480">
            <v>0</v>
          </cell>
          <cell r="J2480">
            <v>0</v>
          </cell>
        </row>
        <row r="2481">
          <cell r="B2481" t="str">
            <v>6.1.06.01.02</v>
          </cell>
          <cell r="C2481" t="str">
            <v>Penerimaan Kembali Pinjaman melalui BLUD-Jangka Menengah</v>
          </cell>
          <cell r="F2481">
            <v>0</v>
          </cell>
          <cell r="G2481">
            <v>0</v>
          </cell>
          <cell r="H2481">
            <v>0</v>
          </cell>
          <cell r="I2481">
            <v>0</v>
          </cell>
          <cell r="J2481">
            <v>0</v>
          </cell>
        </row>
        <row r="2482">
          <cell r="B2482" t="str">
            <v>6.1.06.01.03</v>
          </cell>
          <cell r="C2482" t="str">
            <v>Penerimaan Kembali Pinjaman melalui BLUD-Jangka Panjang</v>
          </cell>
          <cell r="F2482">
            <v>0</v>
          </cell>
          <cell r="G2482">
            <v>0</v>
          </cell>
          <cell r="H2482">
            <v>0</v>
          </cell>
          <cell r="I2482">
            <v>0</v>
          </cell>
          <cell r="J2482">
            <v>0</v>
          </cell>
        </row>
        <row r="2483">
          <cell r="B2483" t="str">
            <v>6.1.06.02</v>
          </cell>
          <cell r="C2483" t="str">
            <v>Divestasi BLUD</v>
          </cell>
          <cell r="D2483">
            <v>0</v>
          </cell>
          <cell r="E2483">
            <v>0</v>
          </cell>
          <cell r="J2483">
            <v>0</v>
          </cell>
        </row>
        <row r="2484">
          <cell r="B2484" t="str">
            <v>6.1.06.02.01</v>
          </cell>
          <cell r="C2484" t="str">
            <v>Divestasi Jangka Pendek BLUD</v>
          </cell>
          <cell r="F2484">
            <v>0</v>
          </cell>
          <cell r="G2484">
            <v>0</v>
          </cell>
          <cell r="H2484">
            <v>0</v>
          </cell>
          <cell r="I2484">
            <v>0</v>
          </cell>
          <cell r="J2484">
            <v>0</v>
          </cell>
        </row>
        <row r="2486">
          <cell r="B2486" t="str">
            <v>6.1.07</v>
          </cell>
          <cell r="C2486" t="str">
            <v>Penarikan Pokok Dana Abadi Daerah</v>
          </cell>
          <cell r="D2486">
            <v>0</v>
          </cell>
          <cell r="E2486">
            <v>0</v>
          </cell>
          <cell r="J2486">
            <v>0</v>
          </cell>
        </row>
        <row r="2487">
          <cell r="B2487" t="str">
            <v>6.1.07.01</v>
          </cell>
          <cell r="C2487" t="str">
            <v>Penarikan Pokok Dana Abadi Daerah Dalam Kondisi Darurat</v>
          </cell>
          <cell r="D2487">
            <v>0</v>
          </cell>
          <cell r="E2487">
            <v>0</v>
          </cell>
          <cell r="J2487">
            <v>0</v>
          </cell>
        </row>
        <row r="2488">
          <cell r="B2488" t="str">
            <v>6.1.07.01.01</v>
          </cell>
          <cell r="C2488" t="str">
            <v>Penarikan Pokok Dana Abadi Daerah Dalam Kondisi Darurat</v>
          </cell>
          <cell r="F2488">
            <v>0</v>
          </cell>
          <cell r="G2488">
            <v>0</v>
          </cell>
          <cell r="H2488">
            <v>0</v>
          </cell>
          <cell r="I2488">
            <v>0</v>
          </cell>
          <cell r="J2488">
            <v>0</v>
          </cell>
        </row>
        <row r="2490">
          <cell r="B2490" t="str">
            <v>6.1.08</v>
          </cell>
          <cell r="C2490" t="str">
            <v>Penerimaan Pembiayaan Utang Daerah</v>
          </cell>
          <cell r="D2490">
            <v>0</v>
          </cell>
          <cell r="E2490">
            <v>0</v>
          </cell>
          <cell r="J2490">
            <v>0</v>
          </cell>
        </row>
        <row r="2491">
          <cell r="B2491" t="str">
            <v>6.1.08.01</v>
          </cell>
          <cell r="C2491" t="str">
            <v>Pinjaman Daerah</v>
          </cell>
          <cell r="D2491">
            <v>0</v>
          </cell>
          <cell r="E2491">
            <v>0</v>
          </cell>
          <cell r="J2491">
            <v>0</v>
          </cell>
        </row>
        <row r="2492">
          <cell r="B2492" t="str">
            <v>6.1.08.01.01</v>
          </cell>
          <cell r="C2492" t="str">
            <v>Pinjaman Daerah dari Pemerintah</v>
          </cell>
          <cell r="F2492">
            <v>0</v>
          </cell>
          <cell r="G2492">
            <v>0</v>
          </cell>
          <cell r="H2492">
            <v>0</v>
          </cell>
          <cell r="I2492">
            <v>0</v>
          </cell>
          <cell r="J2492">
            <v>0</v>
          </cell>
        </row>
        <row r="2493">
          <cell r="B2493" t="str">
            <v>6.1.08.01.02</v>
          </cell>
          <cell r="C2493" t="str">
            <v>Pinjaman Daerah dari Pemerintah Daerah Lain</v>
          </cell>
          <cell r="F2493">
            <v>0</v>
          </cell>
          <cell r="G2493">
            <v>0</v>
          </cell>
          <cell r="H2493">
            <v>0</v>
          </cell>
          <cell r="I2493">
            <v>0</v>
          </cell>
          <cell r="J2493">
            <v>0</v>
          </cell>
        </row>
        <row r="2494">
          <cell r="B2494" t="str">
            <v>6.1.08.01.03</v>
          </cell>
          <cell r="C2494" t="str">
            <v>Pinjaman Daerah dari Lembaga Keuangan Bank (LKB)</v>
          </cell>
          <cell r="F2494">
            <v>0</v>
          </cell>
          <cell r="G2494">
            <v>0</v>
          </cell>
          <cell r="H2494">
            <v>0</v>
          </cell>
          <cell r="I2494">
            <v>0</v>
          </cell>
          <cell r="J2494">
            <v>0</v>
          </cell>
        </row>
        <row r="2495">
          <cell r="B2495" t="str">
            <v>6.1.08.01.04</v>
          </cell>
          <cell r="C2495" t="str">
            <v>Pinjaman Daerah dari Lembaga Keuangan Bukan Bank (LKBB)</v>
          </cell>
          <cell r="F2495">
            <v>0</v>
          </cell>
          <cell r="G2495">
            <v>0</v>
          </cell>
          <cell r="H2495">
            <v>0</v>
          </cell>
          <cell r="I2495">
            <v>0</v>
          </cell>
          <cell r="J2495">
            <v>0</v>
          </cell>
        </row>
        <row r="2496">
          <cell r="B2496" t="str">
            <v>6.1.08.02</v>
          </cell>
          <cell r="C2496" t="str">
            <v>Obligasi Daerah</v>
          </cell>
          <cell r="D2496">
            <v>0</v>
          </cell>
          <cell r="E2496">
            <v>0</v>
          </cell>
          <cell r="J2496">
            <v>0</v>
          </cell>
        </row>
        <row r="2497">
          <cell r="B2497" t="str">
            <v>6.1.08.02.01</v>
          </cell>
          <cell r="C2497" t="str">
            <v>Obligasi Daerah</v>
          </cell>
          <cell r="F2497">
            <v>0</v>
          </cell>
          <cell r="G2497">
            <v>0</v>
          </cell>
          <cell r="H2497">
            <v>0</v>
          </cell>
          <cell r="I2497">
            <v>0</v>
          </cell>
          <cell r="J2497">
            <v>0</v>
          </cell>
        </row>
        <row r="2498">
          <cell r="B2498" t="str">
            <v>6.1.08.03</v>
          </cell>
          <cell r="C2498" t="str">
            <v>Sukuk Daerah</v>
          </cell>
          <cell r="D2498">
            <v>0</v>
          </cell>
          <cell r="E2498">
            <v>0</v>
          </cell>
          <cell r="J2498">
            <v>0</v>
          </cell>
        </row>
        <row r="2499">
          <cell r="B2499" t="str">
            <v>6.1.08.03.01</v>
          </cell>
          <cell r="C2499" t="str">
            <v>Sukuk Daerah</v>
          </cell>
          <cell r="F2499">
            <v>0</v>
          </cell>
          <cell r="G2499">
            <v>0</v>
          </cell>
          <cell r="H2499">
            <v>0</v>
          </cell>
          <cell r="I2499">
            <v>0</v>
          </cell>
          <cell r="J2499">
            <v>0</v>
          </cell>
        </row>
        <row r="2501">
          <cell r="B2501" t="str">
            <v>6.2</v>
          </cell>
          <cell r="C2501" t="str">
            <v>PENGELUARAN PEMBIAYAAN</v>
          </cell>
          <cell r="D2501">
            <v>1000000000</v>
          </cell>
          <cell r="E2501">
            <v>200000000</v>
          </cell>
          <cell r="J2501">
            <v>200000000</v>
          </cell>
        </row>
        <row r="2502">
          <cell r="B2502" t="str">
            <v>6.2.01</v>
          </cell>
          <cell r="C2502" t="str">
            <v>Pembentukan Dana Cadangan</v>
          </cell>
          <cell r="D2502">
            <v>0</v>
          </cell>
          <cell r="E2502">
            <v>0</v>
          </cell>
          <cell r="J2502">
            <v>0</v>
          </cell>
        </row>
        <row r="2503">
          <cell r="B2503" t="str">
            <v>6.2.01.01</v>
          </cell>
          <cell r="C2503" t="str">
            <v>Pembentukan Dana Cadangan</v>
          </cell>
          <cell r="D2503">
            <v>0</v>
          </cell>
          <cell r="E2503">
            <v>0</v>
          </cell>
          <cell r="J2503">
            <v>0</v>
          </cell>
        </row>
        <row r="2504">
          <cell r="B2504" t="str">
            <v>6.2.01.01.01</v>
          </cell>
          <cell r="C2504" t="str">
            <v>Pembentukan Dana Cadangan</v>
          </cell>
          <cell r="F2504">
            <v>0</v>
          </cell>
          <cell r="G2504">
            <v>0</v>
          </cell>
          <cell r="H2504">
            <v>0</v>
          </cell>
          <cell r="I2504">
            <v>0</v>
          </cell>
          <cell r="J2504">
            <v>0</v>
          </cell>
        </row>
        <row r="2505">
          <cell r="B2505" t="str">
            <v>6.2.01.02</v>
          </cell>
          <cell r="C2505" t="str">
            <v>Pembentukan Dana Cadangan untuk Pembayaran Pokok Obligasi</v>
          </cell>
          <cell r="D2505">
            <v>0</v>
          </cell>
          <cell r="E2505">
            <v>0</v>
          </cell>
          <cell r="J2505">
            <v>0</v>
          </cell>
        </row>
        <row r="2506">
          <cell r="B2506" t="str">
            <v>6.2.01.02.01</v>
          </cell>
          <cell r="C2506" t="str">
            <v>Pembentukan Dana Cadangan untuk Pembayaran Pokok Obligasi</v>
          </cell>
          <cell r="F2506">
            <v>0</v>
          </cell>
          <cell r="G2506">
            <v>0</v>
          </cell>
          <cell r="H2506">
            <v>0</v>
          </cell>
          <cell r="I2506">
            <v>0</v>
          </cell>
          <cell r="J2506">
            <v>0</v>
          </cell>
        </row>
        <row r="2507">
          <cell r="B2507" t="str">
            <v>6.2.01.03</v>
          </cell>
          <cell r="C2507" t="str">
            <v>Pembentukan Dana Cadangan untuk Pembayaran Pokok Sukuk</v>
          </cell>
          <cell r="D2507">
            <v>0</v>
          </cell>
          <cell r="E2507">
            <v>0</v>
          </cell>
          <cell r="J2507">
            <v>0</v>
          </cell>
        </row>
        <row r="2508">
          <cell r="B2508" t="str">
            <v>6.2.01.03.01</v>
          </cell>
          <cell r="C2508" t="str">
            <v>Pembentukan Dana Cadangan untuk Pembayaran Pokok Sukuk</v>
          </cell>
          <cell r="F2508">
            <v>0</v>
          </cell>
          <cell r="G2508">
            <v>0</v>
          </cell>
          <cell r="H2508">
            <v>0</v>
          </cell>
          <cell r="I2508">
            <v>0</v>
          </cell>
          <cell r="J2508">
            <v>0</v>
          </cell>
        </row>
        <row r="2510">
          <cell r="B2510" t="str">
            <v>6.2.02</v>
          </cell>
          <cell r="C2510" t="str">
            <v>Penyertaan Modal Daerah</v>
          </cell>
          <cell r="D2510">
            <v>1000000000</v>
          </cell>
          <cell r="E2510">
            <v>200000000</v>
          </cell>
          <cell r="J2510">
            <v>200000000</v>
          </cell>
        </row>
        <row r="2511">
          <cell r="B2511" t="str">
            <v>6.2.02.01</v>
          </cell>
          <cell r="C2511" t="str">
            <v>Penyertaan Modal Daerah pada Badan Usaha Milik Negara (BUMN)</v>
          </cell>
          <cell r="D2511">
            <v>0</v>
          </cell>
          <cell r="E2511">
            <v>0</v>
          </cell>
          <cell r="J2511">
            <v>0</v>
          </cell>
        </row>
        <row r="2512">
          <cell r="B2512" t="str">
            <v>6.2.02.01.01</v>
          </cell>
          <cell r="C2512" t="str">
            <v>Penyertaan Modal Daerah pada BUMN</v>
          </cell>
          <cell r="F2512">
            <v>0</v>
          </cell>
          <cell r="G2512">
            <v>0</v>
          </cell>
          <cell r="H2512">
            <v>0</v>
          </cell>
          <cell r="I2512">
            <v>0</v>
          </cell>
          <cell r="J2512">
            <v>0</v>
          </cell>
        </row>
        <row r="2513">
          <cell r="B2513" t="str">
            <v>6.2.02.02</v>
          </cell>
          <cell r="C2513" t="str">
            <v>Penyertaan Modal Daerah pada Badan Usaha Milik Daerah (BUMD)</v>
          </cell>
          <cell r="D2513">
            <v>1000000000</v>
          </cell>
          <cell r="E2513">
            <v>200000000</v>
          </cell>
          <cell r="J2513">
            <v>200000000</v>
          </cell>
        </row>
        <row r="2514">
          <cell r="B2514" t="str">
            <v>6.2.02.02.01</v>
          </cell>
          <cell r="C2514" t="str">
            <v>Penyertaan Modal Daerah pada BUMD</v>
          </cell>
          <cell r="D2514">
            <v>1000000000</v>
          </cell>
          <cell r="E2514">
            <v>200000000</v>
          </cell>
          <cell r="F2514">
            <v>0</v>
          </cell>
          <cell r="G2514">
            <v>0</v>
          </cell>
          <cell r="H2514">
            <v>0</v>
          </cell>
          <cell r="I2514">
            <v>0</v>
          </cell>
          <cell r="J2514">
            <v>200000000</v>
          </cell>
        </row>
        <row r="2516">
          <cell r="B2516" t="str">
            <v>6.2.03</v>
          </cell>
          <cell r="C2516" t="str">
            <v>Pembayaran Cicilan Pokok Utang yang Jatuh Tempo</v>
          </cell>
          <cell r="D2516">
            <v>0</v>
          </cell>
          <cell r="E2516">
            <v>0</v>
          </cell>
          <cell r="J2516">
            <v>0</v>
          </cell>
        </row>
        <row r="2517">
          <cell r="B2517" t="str">
            <v>6.2.03.01</v>
          </cell>
          <cell r="C2517" t="str">
            <v>Pembayaran Pinjaman Daerah dari Pemerintah Pusat</v>
          </cell>
          <cell r="D2517">
            <v>0</v>
          </cell>
          <cell r="E2517">
            <v>0</v>
          </cell>
          <cell r="J2517">
            <v>0</v>
          </cell>
        </row>
        <row r="2518">
          <cell r="B2518" t="str">
            <v>6.2.03.01.01</v>
          </cell>
          <cell r="C2518" t="str">
            <v>Pembayaran Pinjaman Daerah dari Pemerintah Pusat-Penerusan Pinjaman Dalam Negeri-Jangka Menengah</v>
          </cell>
          <cell r="F2518">
            <v>0</v>
          </cell>
          <cell r="G2518">
            <v>0</v>
          </cell>
          <cell r="H2518">
            <v>0</v>
          </cell>
          <cell r="I2518">
            <v>0</v>
          </cell>
          <cell r="J2518">
            <v>0</v>
          </cell>
        </row>
        <row r="2519">
          <cell r="B2519" t="str">
            <v>6.2.03.01.02</v>
          </cell>
          <cell r="C2519" t="str">
            <v>Pembayaran Pinjaman Daerah dari Pemerintah Pusat-Penerusan Pinjaman Dalam Negeri-Jangka Panjang</v>
          </cell>
          <cell r="F2519">
            <v>0</v>
          </cell>
          <cell r="G2519">
            <v>0</v>
          </cell>
          <cell r="H2519">
            <v>0</v>
          </cell>
          <cell r="I2519">
            <v>0</v>
          </cell>
          <cell r="J2519">
            <v>0</v>
          </cell>
        </row>
        <row r="2520">
          <cell r="B2520" t="str">
            <v>6.2.03.01.03</v>
          </cell>
          <cell r="C2520" t="str">
            <v>Pembayaran Pinjaman Daerah dari Pemerintah Pusat-Penerusan Pinjaman Luar Negeri-Jangka Menengah</v>
          </cell>
          <cell r="F2520">
            <v>0</v>
          </cell>
          <cell r="G2520">
            <v>0</v>
          </cell>
          <cell r="H2520">
            <v>0</v>
          </cell>
          <cell r="I2520">
            <v>0</v>
          </cell>
          <cell r="J2520">
            <v>0</v>
          </cell>
        </row>
        <row r="2521">
          <cell r="B2521" t="str">
            <v>6.2.03.01.04</v>
          </cell>
          <cell r="C2521" t="str">
            <v>Pembayaran Pinjaman Daerah dari Pemerintah Pusat-Penerusan Pinjaman Luar Negeri-Jangka Panjang</v>
          </cell>
          <cell r="F2521">
            <v>0</v>
          </cell>
          <cell r="G2521">
            <v>0</v>
          </cell>
          <cell r="H2521">
            <v>0</v>
          </cell>
          <cell r="I2521">
            <v>0</v>
          </cell>
          <cell r="J2521">
            <v>0</v>
          </cell>
        </row>
        <row r="2522">
          <cell r="B2522" t="str">
            <v>6.2.03.01.05</v>
          </cell>
          <cell r="C2522" t="str">
            <v>Pembayaran Pinjaman Daerah dari Pemerintah Pusat-Sumber Lainnya sesuai dengan Ketentuan Peraturan Perundang-Undangan-Jangka Menengah</v>
          </cell>
          <cell r="F2522">
            <v>0</v>
          </cell>
          <cell r="G2522">
            <v>0</v>
          </cell>
          <cell r="H2522">
            <v>0</v>
          </cell>
          <cell r="I2522">
            <v>0</v>
          </cell>
          <cell r="J2522">
            <v>0</v>
          </cell>
        </row>
        <row r="2523">
          <cell r="B2523" t="str">
            <v>6.2.03.01.06</v>
          </cell>
          <cell r="C2523" t="str">
            <v>Pembayaran Pinjaman Daerah dari Pemerintah Pusat-Sumber Lainnya sesuai dengan Ketentuan Peraturan Perundang-undangan-Jangka Panjang</v>
          </cell>
          <cell r="F2523">
            <v>0</v>
          </cell>
          <cell r="G2523">
            <v>0</v>
          </cell>
          <cell r="H2523">
            <v>0</v>
          </cell>
          <cell r="I2523">
            <v>0</v>
          </cell>
          <cell r="J2523">
            <v>0</v>
          </cell>
        </row>
        <row r="2524">
          <cell r="B2524" t="str">
            <v>6.2.03.02</v>
          </cell>
          <cell r="C2524" t="str">
            <v>Pembayaran Pinjaman dari Pemerintah Daerah Lain</v>
          </cell>
          <cell r="D2524">
            <v>0</v>
          </cell>
          <cell r="E2524">
            <v>0</v>
          </cell>
          <cell r="J2524">
            <v>0</v>
          </cell>
        </row>
        <row r="2525">
          <cell r="B2525" t="str">
            <v>6.2.03.02.01</v>
          </cell>
          <cell r="C2525" t="str">
            <v>Pembayaran Pinjaman dari Pemerintah Daerah Lain-Jangka Pendek</v>
          </cell>
          <cell r="F2525">
            <v>0</v>
          </cell>
          <cell r="G2525">
            <v>0</v>
          </cell>
          <cell r="H2525">
            <v>0</v>
          </cell>
          <cell r="I2525">
            <v>0</v>
          </cell>
          <cell r="J2525">
            <v>0</v>
          </cell>
        </row>
        <row r="2526">
          <cell r="B2526" t="str">
            <v>6.2.03.03</v>
          </cell>
          <cell r="C2526" t="str">
            <v>Pembayaran Pinjaman dari Lembaga Keuangan Bank (LKB)</v>
          </cell>
          <cell r="D2526">
            <v>0</v>
          </cell>
          <cell r="E2526">
            <v>0</v>
          </cell>
          <cell r="J2526">
            <v>0</v>
          </cell>
        </row>
        <row r="2527">
          <cell r="B2527" t="str">
            <v>6.2.03.03.01</v>
          </cell>
          <cell r="C2527" t="str">
            <v>Pembayaran Pinjaman dari Lembaga Keuangan Bank (LKB)-BUMN-Jangka Pendek</v>
          </cell>
          <cell r="F2527">
            <v>0</v>
          </cell>
          <cell r="G2527">
            <v>0</v>
          </cell>
          <cell r="H2527">
            <v>0</v>
          </cell>
          <cell r="I2527">
            <v>0</v>
          </cell>
          <cell r="J2527">
            <v>0</v>
          </cell>
        </row>
        <row r="2528">
          <cell r="B2528" t="str">
            <v>6.2.03.03.02</v>
          </cell>
          <cell r="C2528" t="str">
            <v>Pembayaran Pinjaman dari Lembaga Keuangan Bank (LKB)-BUMN-Jangka Menengah</v>
          </cell>
          <cell r="F2528">
            <v>0</v>
          </cell>
          <cell r="G2528">
            <v>0</v>
          </cell>
          <cell r="H2528">
            <v>0</v>
          </cell>
          <cell r="I2528">
            <v>0</v>
          </cell>
          <cell r="J2528">
            <v>0</v>
          </cell>
        </row>
        <row r="2529">
          <cell r="B2529" t="str">
            <v>6.2.03.03.03</v>
          </cell>
          <cell r="C2529" t="str">
            <v>Pembayaran Pinjaman dari Lembaga Keuangan Bank (LKB)-BUMN-Jangka Panjang</v>
          </cell>
          <cell r="F2529">
            <v>0</v>
          </cell>
          <cell r="G2529">
            <v>0</v>
          </cell>
          <cell r="H2529">
            <v>0</v>
          </cell>
          <cell r="I2529">
            <v>0</v>
          </cell>
          <cell r="J2529">
            <v>0</v>
          </cell>
        </row>
        <row r="2530">
          <cell r="B2530" t="str">
            <v>6.2.03.03.04</v>
          </cell>
          <cell r="C2530" t="str">
            <v>Pembayaran Pinjaman dari Lembaga Keuangan Bank (LKB)-BUMD-Jangka Pendek</v>
          </cell>
          <cell r="F2530">
            <v>0</v>
          </cell>
          <cell r="G2530">
            <v>0</v>
          </cell>
          <cell r="H2530">
            <v>0</v>
          </cell>
          <cell r="I2530">
            <v>0</v>
          </cell>
          <cell r="J2530">
            <v>0</v>
          </cell>
        </row>
        <row r="2531">
          <cell r="B2531" t="str">
            <v>6.2.03.03.05</v>
          </cell>
          <cell r="C2531" t="str">
            <v>Pembayaran Pinjaman dari Lembaga Keuangan Bank (LKB)-BUMD-Jangka Menengah</v>
          </cell>
          <cell r="F2531">
            <v>0</v>
          </cell>
          <cell r="G2531">
            <v>0</v>
          </cell>
          <cell r="H2531">
            <v>0</v>
          </cell>
          <cell r="I2531">
            <v>0</v>
          </cell>
          <cell r="J2531">
            <v>0</v>
          </cell>
        </row>
        <row r="2532">
          <cell r="B2532" t="str">
            <v>6.2.03.03.06</v>
          </cell>
          <cell r="C2532" t="str">
            <v>Pembayaran Pinjaman dari Lembaga Keuangan Bank (LKB)-BUMD-Jangka Panjang</v>
          </cell>
          <cell r="F2532">
            <v>0</v>
          </cell>
          <cell r="G2532">
            <v>0</v>
          </cell>
          <cell r="H2532">
            <v>0</v>
          </cell>
          <cell r="I2532">
            <v>0</v>
          </cell>
          <cell r="J2532">
            <v>0</v>
          </cell>
        </row>
        <row r="2533">
          <cell r="B2533" t="str">
            <v>6.2.03.03.07</v>
          </cell>
          <cell r="C2533" t="str">
            <v>Pembayaran Pinjaman dari Lembaga Keuangan Bank (LKB)-Swasta-Jangka Pendek</v>
          </cell>
          <cell r="F2533">
            <v>0</v>
          </cell>
          <cell r="G2533">
            <v>0</v>
          </cell>
          <cell r="H2533">
            <v>0</v>
          </cell>
          <cell r="I2533">
            <v>0</v>
          </cell>
          <cell r="J2533">
            <v>0</v>
          </cell>
        </row>
        <row r="2534">
          <cell r="B2534" t="str">
            <v>6.2.03.03.08</v>
          </cell>
          <cell r="C2534" t="str">
            <v>Pembayaran Pinjaman dari Lembaga Keuangan Bank (LKB)-Swasta-Jangka Menengah</v>
          </cell>
          <cell r="F2534">
            <v>0</v>
          </cell>
          <cell r="G2534">
            <v>0</v>
          </cell>
          <cell r="H2534">
            <v>0</v>
          </cell>
          <cell r="I2534">
            <v>0</v>
          </cell>
          <cell r="J2534">
            <v>0</v>
          </cell>
        </row>
        <row r="2535">
          <cell r="B2535" t="str">
            <v>6.2.03.03.09</v>
          </cell>
          <cell r="C2535" t="str">
            <v>Pembayaran Pinjaman dari Lembaga Keuangan Bank (LKB)-Swasta-Jangka Panjang</v>
          </cell>
          <cell r="F2535">
            <v>0</v>
          </cell>
          <cell r="G2535">
            <v>0</v>
          </cell>
          <cell r="H2535">
            <v>0</v>
          </cell>
          <cell r="I2535">
            <v>0</v>
          </cell>
          <cell r="J2535">
            <v>0</v>
          </cell>
        </row>
        <row r="2536">
          <cell r="B2536" t="str">
            <v>6.2.03.04</v>
          </cell>
          <cell r="C2536" t="str">
            <v>Pembayaran Pinjaman dari Lembaga Keuangan Bukan Bank (LKBB)</v>
          </cell>
          <cell r="D2536">
            <v>0</v>
          </cell>
          <cell r="E2536">
            <v>0</v>
          </cell>
          <cell r="J2536">
            <v>0</v>
          </cell>
        </row>
        <row r="2537">
          <cell r="B2537" t="str">
            <v>6.2.03.04.01</v>
          </cell>
          <cell r="C2537" t="str">
            <v>Pembayaran Pinjaman dari Lembaga Keuangan Bukan Bank (LKBB)-BUMN-Jangka Pendek</v>
          </cell>
          <cell r="F2537">
            <v>0</v>
          </cell>
          <cell r="G2537">
            <v>0</v>
          </cell>
          <cell r="H2537">
            <v>0</v>
          </cell>
          <cell r="I2537">
            <v>0</v>
          </cell>
          <cell r="J2537">
            <v>0</v>
          </cell>
        </row>
        <row r="2538">
          <cell r="B2538" t="str">
            <v>6.2.03.04.02</v>
          </cell>
          <cell r="C2538" t="str">
            <v>Pembayaran Pinjaman dari Lembaga Keuangan Bukan Bank (LKBB)-BUMN-Jangka Menengah</v>
          </cell>
          <cell r="F2538">
            <v>0</v>
          </cell>
          <cell r="G2538">
            <v>0</v>
          </cell>
          <cell r="H2538">
            <v>0</v>
          </cell>
          <cell r="I2538">
            <v>0</v>
          </cell>
          <cell r="J2538">
            <v>0</v>
          </cell>
        </row>
        <row r="2539">
          <cell r="B2539" t="str">
            <v>6.2.03.04.03</v>
          </cell>
          <cell r="C2539" t="str">
            <v>Pembayaran Pinjaman dari Lembaga Keuangan Bukan Bank (LKBB)-BUMN-Jangka Panjang</v>
          </cell>
          <cell r="F2539">
            <v>0</v>
          </cell>
          <cell r="G2539">
            <v>0</v>
          </cell>
          <cell r="H2539">
            <v>0</v>
          </cell>
          <cell r="I2539">
            <v>0</v>
          </cell>
          <cell r="J2539">
            <v>0</v>
          </cell>
        </row>
        <row r="2540">
          <cell r="B2540" t="str">
            <v>6.2.03.04.04</v>
          </cell>
          <cell r="C2540" t="str">
            <v>Pembayaran Pinjaman dari Lembaga Keuangan Bukan Bank (LKBB)-BUMD-Jangka Pendek</v>
          </cell>
          <cell r="F2540">
            <v>0</v>
          </cell>
          <cell r="G2540">
            <v>0</v>
          </cell>
          <cell r="H2540">
            <v>0</v>
          </cell>
          <cell r="I2540">
            <v>0</v>
          </cell>
          <cell r="J2540">
            <v>0</v>
          </cell>
        </row>
        <row r="2541">
          <cell r="B2541" t="str">
            <v>6.2.03.04.05</v>
          </cell>
          <cell r="C2541" t="str">
            <v>Pembayaran Pinjaman dari Lembaga Keuangan Bukan Bank (LKBB)-BUMD-Jangka Menengah</v>
          </cell>
          <cell r="F2541">
            <v>0</v>
          </cell>
          <cell r="G2541">
            <v>0</v>
          </cell>
          <cell r="H2541">
            <v>0</v>
          </cell>
          <cell r="I2541">
            <v>0</v>
          </cell>
          <cell r="J2541">
            <v>0</v>
          </cell>
        </row>
        <row r="2542">
          <cell r="B2542" t="str">
            <v>6.2.03.04.06</v>
          </cell>
          <cell r="C2542" t="str">
            <v>Pembayaran Pinjaman dari Lembaga Keuangan Bukan Bank (LKBB)-BUMD-Jangka Panjang</v>
          </cell>
          <cell r="F2542">
            <v>0</v>
          </cell>
          <cell r="G2542">
            <v>0</v>
          </cell>
          <cell r="H2542">
            <v>0</v>
          </cell>
          <cell r="I2542">
            <v>0</v>
          </cell>
          <cell r="J2542">
            <v>0</v>
          </cell>
        </row>
        <row r="2543">
          <cell r="B2543" t="str">
            <v>6.2.03.04.07</v>
          </cell>
          <cell r="C2543" t="str">
            <v>Pembayaran Pinjaman dari Lembaga Keuangan Bukan Bank (LKBB)-Swasta-Jangka Pendek</v>
          </cell>
          <cell r="F2543">
            <v>0</v>
          </cell>
          <cell r="G2543">
            <v>0</v>
          </cell>
          <cell r="H2543">
            <v>0</v>
          </cell>
          <cell r="I2543">
            <v>0</v>
          </cell>
          <cell r="J2543">
            <v>0</v>
          </cell>
        </row>
        <row r="2544">
          <cell r="B2544" t="str">
            <v>6.2.03.04.08</v>
          </cell>
          <cell r="C2544" t="str">
            <v>Pembayaran Pinjaman dari Lembaga Keuangan Bukan Bank (LKBB)-Swasta-Jangka Menengah</v>
          </cell>
          <cell r="F2544">
            <v>0</v>
          </cell>
          <cell r="G2544">
            <v>0</v>
          </cell>
          <cell r="H2544">
            <v>0</v>
          </cell>
          <cell r="I2544">
            <v>0</v>
          </cell>
          <cell r="J2544">
            <v>0</v>
          </cell>
        </row>
        <row r="2545">
          <cell r="B2545" t="str">
            <v>6.2.03.04.09</v>
          </cell>
          <cell r="C2545" t="str">
            <v>Pembayaran Pinjaman dari Lembaga Keuangan Bukan Bank (LKBB)-Swasta-Jangka Panjang</v>
          </cell>
          <cell r="F2545">
            <v>0</v>
          </cell>
          <cell r="G2545">
            <v>0</v>
          </cell>
          <cell r="H2545">
            <v>0</v>
          </cell>
          <cell r="I2545">
            <v>0</v>
          </cell>
          <cell r="J2545">
            <v>0</v>
          </cell>
        </row>
        <row r="2546">
          <cell r="B2546" t="str">
            <v>6.2.03.05</v>
          </cell>
          <cell r="C2546" t="str">
            <v>Pembayaran Pinjaman Daerah dari Masyarakat</v>
          </cell>
          <cell r="D2546">
            <v>0</v>
          </cell>
          <cell r="E2546">
            <v>0</v>
          </cell>
          <cell r="J2546">
            <v>0</v>
          </cell>
        </row>
        <row r="2547">
          <cell r="B2547" t="str">
            <v>6.2.03.05.01</v>
          </cell>
          <cell r="C2547" t="str">
            <v>Pembayaran Obligasi Daerah</v>
          </cell>
          <cell r="F2547">
            <v>0</v>
          </cell>
          <cell r="G2547">
            <v>0</v>
          </cell>
          <cell r="H2547">
            <v>0</v>
          </cell>
          <cell r="I2547">
            <v>0</v>
          </cell>
          <cell r="J2547">
            <v>0</v>
          </cell>
        </row>
        <row r="2549">
          <cell r="B2549" t="str">
            <v>6.2.04</v>
          </cell>
          <cell r="C2549" t="str">
            <v>Pemberian Pinjaman Daerah</v>
          </cell>
          <cell r="D2549">
            <v>0</v>
          </cell>
          <cell r="E2549">
            <v>0</v>
          </cell>
          <cell r="J2549">
            <v>0</v>
          </cell>
        </row>
        <row r="2550">
          <cell r="B2550" t="str">
            <v>6.2.04.01</v>
          </cell>
          <cell r="C2550" t="str">
            <v>Pemberian Pinjaman Daerah kepada Pemerintah Pusat</v>
          </cell>
          <cell r="D2550">
            <v>0</v>
          </cell>
          <cell r="E2550">
            <v>0</v>
          </cell>
          <cell r="J2550">
            <v>0</v>
          </cell>
        </row>
        <row r="2551">
          <cell r="B2551" t="str">
            <v>6.2.04.01.01</v>
          </cell>
          <cell r="C2551" t="str">
            <v>Pemberian Pinjaman Daerah kepada Pemerintah Pusat</v>
          </cell>
          <cell r="F2551">
            <v>0</v>
          </cell>
          <cell r="G2551">
            <v>0</v>
          </cell>
          <cell r="H2551">
            <v>0</v>
          </cell>
          <cell r="I2551">
            <v>0</v>
          </cell>
          <cell r="J2551">
            <v>0</v>
          </cell>
        </row>
        <row r="2552">
          <cell r="B2552" t="str">
            <v>6.2.04.01.02</v>
          </cell>
          <cell r="C2552" t="str">
            <v>Pemberian Pinjaman-Investasi dalam Proyek Pembangunan kepada Pemerintah Pusat</v>
          </cell>
          <cell r="F2552">
            <v>0</v>
          </cell>
          <cell r="G2552">
            <v>0</v>
          </cell>
          <cell r="H2552">
            <v>0</v>
          </cell>
          <cell r="I2552">
            <v>0</v>
          </cell>
          <cell r="J2552">
            <v>0</v>
          </cell>
        </row>
        <row r="2553">
          <cell r="B2553" t="str">
            <v>6.2.04.02</v>
          </cell>
          <cell r="C2553" t="str">
            <v>Pemberian Pinjaman Daerah kepada Pemerintah Daerah Lainnya</v>
          </cell>
          <cell r="D2553">
            <v>0</v>
          </cell>
          <cell r="E2553">
            <v>0</v>
          </cell>
          <cell r="J2553">
            <v>0</v>
          </cell>
        </row>
        <row r="2554">
          <cell r="B2554" t="str">
            <v>6.2.04.02.01</v>
          </cell>
          <cell r="C2554" t="str">
            <v>Pemberian Pinjaman Daerah kepada Pemerintah Daerah Lainnya</v>
          </cell>
          <cell r="F2554">
            <v>0</v>
          </cell>
          <cell r="G2554">
            <v>0</v>
          </cell>
          <cell r="H2554">
            <v>0</v>
          </cell>
          <cell r="I2554">
            <v>0</v>
          </cell>
          <cell r="J2554">
            <v>0</v>
          </cell>
        </row>
        <row r="2555">
          <cell r="B2555" t="str">
            <v>6.2.04.02.02</v>
          </cell>
          <cell r="C2555" t="str">
            <v>Pemberian Pinjaman-Investasi dalam Proyek Pembangunan kepada Pemerintah Daerah Lainnya</v>
          </cell>
          <cell r="F2555">
            <v>0</v>
          </cell>
          <cell r="G2555">
            <v>0</v>
          </cell>
          <cell r="H2555">
            <v>0</v>
          </cell>
          <cell r="I2555">
            <v>0</v>
          </cell>
          <cell r="J2555">
            <v>0</v>
          </cell>
        </row>
        <row r="2556">
          <cell r="B2556" t="str">
            <v>6.2.04.03</v>
          </cell>
          <cell r="C2556" t="str">
            <v>Pemberian Pinjaman Daerah kepada BUMD</v>
          </cell>
          <cell r="D2556">
            <v>0</v>
          </cell>
          <cell r="E2556">
            <v>0</v>
          </cell>
          <cell r="J2556">
            <v>0</v>
          </cell>
        </row>
        <row r="2557">
          <cell r="B2557" t="str">
            <v>6.2.04.03.01</v>
          </cell>
          <cell r="C2557" t="str">
            <v>Pemberian Pinjaman Daerah kepada BUMD</v>
          </cell>
          <cell r="F2557">
            <v>0</v>
          </cell>
          <cell r="G2557">
            <v>0</v>
          </cell>
          <cell r="H2557">
            <v>0</v>
          </cell>
          <cell r="I2557">
            <v>0</v>
          </cell>
          <cell r="J2557">
            <v>0</v>
          </cell>
        </row>
        <row r="2558">
          <cell r="B2558" t="str">
            <v>6.2.04.03.02</v>
          </cell>
          <cell r="C2558" t="str">
            <v>Pemberian Pinjaman-Investasi Non Permanen kepada BUMD</v>
          </cell>
          <cell r="F2558">
            <v>0</v>
          </cell>
          <cell r="G2558">
            <v>0</v>
          </cell>
          <cell r="H2558">
            <v>0</v>
          </cell>
          <cell r="I2558">
            <v>0</v>
          </cell>
          <cell r="J2558">
            <v>0</v>
          </cell>
        </row>
        <row r="2559">
          <cell r="B2559" t="str">
            <v>6.2.04.04</v>
          </cell>
          <cell r="C2559" t="str">
            <v>Pemberian Pinjaman Daerah kepada BUMN</v>
          </cell>
          <cell r="D2559">
            <v>0</v>
          </cell>
          <cell r="E2559">
            <v>0</v>
          </cell>
          <cell r="J2559">
            <v>0</v>
          </cell>
        </row>
        <row r="2560">
          <cell r="B2560" t="str">
            <v>6.2.04.04.01</v>
          </cell>
          <cell r="C2560" t="str">
            <v>Pemberian Pinjaman Daerah kepada BUMN</v>
          </cell>
          <cell r="F2560">
            <v>0</v>
          </cell>
          <cell r="G2560">
            <v>0</v>
          </cell>
          <cell r="H2560">
            <v>0</v>
          </cell>
          <cell r="I2560">
            <v>0</v>
          </cell>
          <cell r="J2560">
            <v>0</v>
          </cell>
        </row>
        <row r="2561">
          <cell r="B2561" t="str">
            <v>6.2.04.04.02</v>
          </cell>
          <cell r="C2561" t="str">
            <v>Pemberian Pinjaman-Investasi Non Permanen Lainnya kepada BUMN</v>
          </cell>
          <cell r="F2561">
            <v>0</v>
          </cell>
          <cell r="G2561">
            <v>0</v>
          </cell>
          <cell r="H2561">
            <v>0</v>
          </cell>
          <cell r="I2561">
            <v>0</v>
          </cell>
          <cell r="J2561">
            <v>0</v>
          </cell>
        </row>
        <row r="2562">
          <cell r="B2562" t="str">
            <v>6.2.04.05</v>
          </cell>
          <cell r="C2562" t="str">
            <v>Pemberian Pinjaman Daerah kepada Koperasi</v>
          </cell>
          <cell r="D2562">
            <v>0</v>
          </cell>
          <cell r="E2562">
            <v>0</v>
          </cell>
          <cell r="J2562">
            <v>0</v>
          </cell>
        </row>
        <row r="2563">
          <cell r="B2563" t="str">
            <v>6.2.04.05.01</v>
          </cell>
          <cell r="C2563" t="str">
            <v>Pemberian Pinjaman Daerah kepada Koperasi</v>
          </cell>
          <cell r="F2563">
            <v>0</v>
          </cell>
          <cell r="G2563">
            <v>0</v>
          </cell>
          <cell r="H2563">
            <v>0</v>
          </cell>
          <cell r="I2563">
            <v>0</v>
          </cell>
          <cell r="J2563">
            <v>0</v>
          </cell>
        </row>
        <row r="2564">
          <cell r="B2564" t="str">
            <v>6.2.04.05.02</v>
          </cell>
          <cell r="C2564" t="str">
            <v>Pemberian Pinjaman-Dana Bergulir kepada Koperasi</v>
          </cell>
          <cell r="F2564">
            <v>0</v>
          </cell>
          <cell r="G2564">
            <v>0</v>
          </cell>
          <cell r="H2564">
            <v>0</v>
          </cell>
          <cell r="I2564">
            <v>0</v>
          </cell>
          <cell r="J2564">
            <v>0</v>
          </cell>
        </row>
        <row r="2565">
          <cell r="B2565" t="str">
            <v>6.2.04.06</v>
          </cell>
          <cell r="C2565" t="str">
            <v>Pemberian Pinjaman Daerah kepada Masyarakat</v>
          </cell>
          <cell r="D2565">
            <v>0</v>
          </cell>
          <cell r="E2565">
            <v>0</v>
          </cell>
          <cell r="J2565">
            <v>0</v>
          </cell>
        </row>
        <row r="2566">
          <cell r="B2566" t="str">
            <v>6.2.04.06.01</v>
          </cell>
          <cell r="C2566" t="str">
            <v>Pemberian Pinjaman Daerah kepada Masyarakat</v>
          </cell>
          <cell r="F2566">
            <v>0</v>
          </cell>
          <cell r="G2566">
            <v>0</v>
          </cell>
          <cell r="H2566">
            <v>0</v>
          </cell>
          <cell r="I2566">
            <v>0</v>
          </cell>
          <cell r="J2566">
            <v>0</v>
          </cell>
        </row>
        <row r="2567">
          <cell r="B2567" t="str">
            <v>6.2.04.06.02</v>
          </cell>
          <cell r="C2567" t="str">
            <v>Pemberian Pinjaman-Dana Bergulir kepada Masyarakat</v>
          </cell>
          <cell r="F2567">
            <v>0</v>
          </cell>
          <cell r="G2567">
            <v>0</v>
          </cell>
          <cell r="H2567">
            <v>0</v>
          </cell>
          <cell r="I2567">
            <v>0</v>
          </cell>
          <cell r="J2567">
            <v>0</v>
          </cell>
        </row>
        <row r="2568">
          <cell r="B2568" t="str">
            <v>6.2.04.07</v>
          </cell>
          <cell r="C2568" t="str">
            <v>Pemberian Pinjaman-Dana Bergulir melalui BLUD</v>
          </cell>
          <cell r="D2568">
            <v>0</v>
          </cell>
          <cell r="E2568">
            <v>0</v>
          </cell>
          <cell r="J2568">
            <v>0</v>
          </cell>
        </row>
        <row r="2569">
          <cell r="B2569" t="str">
            <v>6.2.04.07.01</v>
          </cell>
          <cell r="C2569" t="str">
            <v>Pemberian Pinjaman-Dana Bergulir melalui BLUD</v>
          </cell>
          <cell r="F2569">
            <v>0</v>
          </cell>
          <cell r="G2569">
            <v>0</v>
          </cell>
          <cell r="H2569">
            <v>0</v>
          </cell>
          <cell r="I2569">
            <v>0</v>
          </cell>
          <cell r="J2569">
            <v>0</v>
          </cell>
        </row>
        <row r="2571">
          <cell r="B2571" t="str">
            <v>6.2.05</v>
          </cell>
          <cell r="C2571" t="str">
            <v>Pengeluaran Pembiayaan Lainnya sesuai dengan Ketentuan Peraturan Perundang-Undangan</v>
          </cell>
          <cell r="D2571">
            <v>0</v>
          </cell>
          <cell r="E2571">
            <v>0</v>
          </cell>
          <cell r="J2571">
            <v>0</v>
          </cell>
        </row>
        <row r="2572">
          <cell r="B2572" t="str">
            <v>6.2.05.01</v>
          </cell>
          <cell r="C2572" t="str">
            <v>Pinjaman melalui BLUD</v>
          </cell>
          <cell r="D2572">
            <v>0</v>
          </cell>
          <cell r="E2572">
            <v>0</v>
          </cell>
          <cell r="J2572">
            <v>0</v>
          </cell>
        </row>
        <row r="2573">
          <cell r="B2573" t="str">
            <v>6.2.05.01.01</v>
          </cell>
          <cell r="C2573" t="str">
            <v>Pinjaman melalui BLUD-Jangka Pendek</v>
          </cell>
          <cell r="F2573">
            <v>0</v>
          </cell>
          <cell r="G2573">
            <v>0</v>
          </cell>
          <cell r="H2573">
            <v>0</v>
          </cell>
          <cell r="I2573">
            <v>0</v>
          </cell>
          <cell r="J2573">
            <v>0</v>
          </cell>
        </row>
        <row r="2574">
          <cell r="B2574" t="str">
            <v>6.2.05.01.02</v>
          </cell>
          <cell r="C2574" t="str">
            <v>Pinjaman melalui BLUD-Jangka Menengah</v>
          </cell>
          <cell r="F2574">
            <v>0</v>
          </cell>
          <cell r="G2574">
            <v>0</v>
          </cell>
          <cell r="H2574">
            <v>0</v>
          </cell>
          <cell r="I2574">
            <v>0</v>
          </cell>
          <cell r="J2574">
            <v>0</v>
          </cell>
        </row>
        <row r="2575">
          <cell r="B2575" t="str">
            <v>6.2.05.01.03</v>
          </cell>
          <cell r="C2575" t="str">
            <v>Pinjaman melalui BLUD-Jangka Panjang</v>
          </cell>
          <cell r="F2575">
            <v>0</v>
          </cell>
          <cell r="G2575">
            <v>0</v>
          </cell>
          <cell r="H2575">
            <v>0</v>
          </cell>
          <cell r="I2575">
            <v>0</v>
          </cell>
          <cell r="J2575">
            <v>0</v>
          </cell>
        </row>
        <row r="2576">
          <cell r="B2576" t="str">
            <v>6.2.05.02</v>
          </cell>
          <cell r="C2576" t="str">
            <v>Investasi BLUD</v>
          </cell>
          <cell r="D2576">
            <v>0</v>
          </cell>
          <cell r="E2576">
            <v>0</v>
          </cell>
          <cell r="J2576">
            <v>0</v>
          </cell>
        </row>
        <row r="2577">
          <cell r="B2577" t="str">
            <v>6.2.05.02.01</v>
          </cell>
          <cell r="C2577" t="str">
            <v>Investasi Jangka Pendek BLUD</v>
          </cell>
          <cell r="F2577">
            <v>0</v>
          </cell>
          <cell r="G2577">
            <v>0</v>
          </cell>
          <cell r="H2577">
            <v>0</v>
          </cell>
          <cell r="I2577">
            <v>0</v>
          </cell>
          <cell r="J2577">
            <v>0</v>
          </cell>
        </row>
        <row r="2579">
          <cell r="B2579" t="str">
            <v>6.2.06</v>
          </cell>
          <cell r="C2579" t="str">
            <v>Pembentukan Dana Abadi Daerah</v>
          </cell>
          <cell r="D2579">
            <v>0</v>
          </cell>
          <cell r="E2579">
            <v>0</v>
          </cell>
          <cell r="J2579">
            <v>0</v>
          </cell>
        </row>
        <row r="2580">
          <cell r="B2580" t="str">
            <v>6.2.06.01</v>
          </cell>
          <cell r="C2580" t="str">
            <v>Pembentukan Pokok Dana Abadi Daerah</v>
          </cell>
          <cell r="D2580">
            <v>0</v>
          </cell>
          <cell r="E2580">
            <v>0</v>
          </cell>
          <cell r="J2580">
            <v>0</v>
          </cell>
        </row>
        <row r="2581">
          <cell r="B2581" t="str">
            <v>6.2.06.01.01</v>
          </cell>
          <cell r="C2581" t="str">
            <v>Pembentukan Pokok Dana Abadi Daerah</v>
          </cell>
          <cell r="F2581">
            <v>0</v>
          </cell>
          <cell r="G2581">
            <v>0</v>
          </cell>
          <cell r="H2581">
            <v>0</v>
          </cell>
          <cell r="I2581">
            <v>0</v>
          </cell>
          <cell r="J2581">
            <v>0</v>
          </cell>
        </row>
        <row r="2582">
          <cell r="B2582" t="str">
            <v>6.2.06.02</v>
          </cell>
          <cell r="C2582" t="str">
            <v>Pembentukan atas Penambahan Pokok Dana Abadi Daerah</v>
          </cell>
          <cell r="D2582">
            <v>0</v>
          </cell>
          <cell r="E2582">
            <v>0</v>
          </cell>
          <cell r="J2582">
            <v>0</v>
          </cell>
        </row>
        <row r="2583">
          <cell r="B2583" t="str">
            <v>6.2.06.02.01</v>
          </cell>
          <cell r="C2583" t="str">
            <v>Pembentukan atas Penambahan Pokok Dana Abadi Daerah</v>
          </cell>
          <cell r="F2583">
            <v>0</v>
          </cell>
          <cell r="G2583">
            <v>0</v>
          </cell>
          <cell r="H2583">
            <v>0</v>
          </cell>
          <cell r="I2583">
            <v>0</v>
          </cell>
          <cell r="J2583">
            <v>0</v>
          </cell>
        </row>
        <row r="2584">
          <cell r="B2584" t="str">
            <v>6.2.06.03</v>
          </cell>
          <cell r="C2584" t="str">
            <v xml:space="preserve">Pembentukan atas Pengembalian Pokok Dana Abadi Daerah Akibat Kondisi Darurat </v>
          </cell>
          <cell r="D2584">
            <v>0</v>
          </cell>
          <cell r="E2584">
            <v>0</v>
          </cell>
          <cell r="J2584">
            <v>0</v>
          </cell>
        </row>
        <row r="2585">
          <cell r="B2585" t="str">
            <v>6.2.06.03.01</v>
          </cell>
          <cell r="C2585" t="str">
            <v xml:space="preserve">Pembentukan atas Pengembalian Pokok Dana Abadi Daerah Akibat Kondisi Darurat </v>
          </cell>
          <cell r="F2585">
            <v>0</v>
          </cell>
          <cell r="G2585">
            <v>0</v>
          </cell>
          <cell r="H2585">
            <v>0</v>
          </cell>
          <cell r="I2585">
            <v>0</v>
          </cell>
          <cell r="J2585">
            <v>0</v>
          </cell>
        </row>
        <row r="2587">
          <cell r="B2587" t="str">
            <v>6.2.07</v>
          </cell>
          <cell r="C2587" t="str">
            <v>Pembayaran Pembiayaan Utang Daerah</v>
          </cell>
          <cell r="D2587">
            <v>0</v>
          </cell>
          <cell r="E2587">
            <v>0</v>
          </cell>
          <cell r="J2587">
            <v>0</v>
          </cell>
        </row>
        <row r="2588">
          <cell r="B2588" t="str">
            <v>6.2.07.01</v>
          </cell>
          <cell r="C2588" t="str">
            <v>Pembayaran Cicilan Pokok Pinjaman Daerah</v>
          </cell>
          <cell r="D2588">
            <v>0</v>
          </cell>
          <cell r="E2588">
            <v>0</v>
          </cell>
          <cell r="J2588">
            <v>0</v>
          </cell>
        </row>
        <row r="2589">
          <cell r="B2589" t="str">
            <v>6.2.07.01.01</v>
          </cell>
          <cell r="C2589" t="str">
            <v>Pembayaran Cicilan Pokok Pinjaman Daerah dari Pemerintah</v>
          </cell>
          <cell r="F2589">
            <v>0</v>
          </cell>
          <cell r="G2589">
            <v>0</v>
          </cell>
          <cell r="H2589">
            <v>0</v>
          </cell>
          <cell r="I2589">
            <v>0</v>
          </cell>
          <cell r="J2589">
            <v>0</v>
          </cell>
        </row>
        <row r="2590">
          <cell r="B2590" t="str">
            <v>6.2.07.01.02</v>
          </cell>
          <cell r="C2590" t="str">
            <v>Pembayaran Cicilan Pokok Pinjaman Daerah dari Pemerintah Daerah Lain</v>
          </cell>
          <cell r="F2590">
            <v>0</v>
          </cell>
          <cell r="G2590">
            <v>0</v>
          </cell>
          <cell r="H2590">
            <v>0</v>
          </cell>
          <cell r="I2590">
            <v>0</v>
          </cell>
          <cell r="J2590">
            <v>0</v>
          </cell>
        </row>
        <row r="2591">
          <cell r="B2591" t="str">
            <v>6.2.07.01.03</v>
          </cell>
          <cell r="C2591" t="str">
            <v>Pembayaran Cicilan Pokok Pinjaman Daerah dari Lembaga Keuangan Bank (LKB)</v>
          </cell>
          <cell r="F2591">
            <v>0</v>
          </cell>
          <cell r="G2591">
            <v>0</v>
          </cell>
          <cell r="H2591">
            <v>0</v>
          </cell>
          <cell r="I2591">
            <v>0</v>
          </cell>
          <cell r="J2591">
            <v>0</v>
          </cell>
        </row>
        <row r="2592">
          <cell r="B2592" t="str">
            <v>6.2.07.01.04</v>
          </cell>
          <cell r="C2592" t="str">
            <v>Pembayaran Cicilan Pokok Pinjaman Daerah dari Lembaga Keuangan Bukan Bank (LKBB)</v>
          </cell>
          <cell r="F2592">
            <v>0</v>
          </cell>
          <cell r="G2592">
            <v>0</v>
          </cell>
          <cell r="H2592">
            <v>0</v>
          </cell>
          <cell r="I2592">
            <v>0</v>
          </cell>
          <cell r="J2592">
            <v>0</v>
          </cell>
        </row>
        <row r="2593">
          <cell r="B2593" t="str">
            <v>6.2.07.02</v>
          </cell>
          <cell r="C2593" t="str">
            <v>Pembelian Kembali Obligasi Daerah</v>
          </cell>
          <cell r="D2593">
            <v>0</v>
          </cell>
          <cell r="E2593">
            <v>0</v>
          </cell>
          <cell r="J2593">
            <v>0</v>
          </cell>
        </row>
        <row r="2594">
          <cell r="B2594" t="str">
            <v>6.2.07.02.01</v>
          </cell>
          <cell r="C2594" t="str">
            <v>Pembelian Kembali Obligasi Daerah</v>
          </cell>
          <cell r="F2594">
            <v>0</v>
          </cell>
          <cell r="G2594">
            <v>0</v>
          </cell>
          <cell r="H2594">
            <v>0</v>
          </cell>
          <cell r="I2594">
            <v>0</v>
          </cell>
          <cell r="J2594">
            <v>0</v>
          </cell>
        </row>
        <row r="2595">
          <cell r="B2595" t="str">
            <v>6.2.07.03</v>
          </cell>
          <cell r="C2595" t="str">
            <v>Pembelian Kembali Sukuk Daerah</v>
          </cell>
          <cell r="D2595">
            <v>0</v>
          </cell>
          <cell r="E2595">
            <v>0</v>
          </cell>
          <cell r="J2595">
            <v>0</v>
          </cell>
        </row>
        <row r="2596">
          <cell r="B2596" t="str">
            <v>6.2.07.03.01</v>
          </cell>
          <cell r="C2596" t="str">
            <v>Pembelian Kembali Sukuk Daerah</v>
          </cell>
          <cell r="F2596">
            <v>0</v>
          </cell>
          <cell r="G2596">
            <v>0</v>
          </cell>
          <cell r="H2596">
            <v>0</v>
          </cell>
          <cell r="I2596">
            <v>0</v>
          </cell>
          <cell r="J2596">
            <v>0</v>
          </cell>
        </row>
        <row r="2598">
          <cell r="B2598" t="str">
            <v>LRA</v>
          </cell>
          <cell r="C2598" t="str">
            <v>PEMBIAYAAN DAERAH NETTO</v>
          </cell>
          <cell r="D2598">
            <v>29078203358.449997</v>
          </cell>
          <cell r="E2598">
            <v>39729972000.959999</v>
          </cell>
          <cell r="J2598">
            <v>39729751363.519997</v>
          </cell>
        </row>
        <row r="2600">
          <cell r="B2600" t="str">
            <v>LRA</v>
          </cell>
          <cell r="C2600" t="str">
            <v>SISA LEBIH/(KURANG) PEMBIAYAAN ANGGARAN-SILPA/(SIKPA) SEBELUM KOREKSI</v>
          </cell>
          <cell r="D2600">
            <v>39926493536.960007</v>
          </cell>
          <cell r="E2600">
            <v>68438922185.390175</v>
          </cell>
          <cell r="J2600">
            <v>68415882472.700172</v>
          </cell>
        </row>
        <row r="2602">
          <cell r="B2602" t="str">
            <v>LRA</v>
          </cell>
          <cell r="C2602" t="str">
            <v>KOREKSI SILPA</v>
          </cell>
          <cell r="D2602">
            <v>0</v>
          </cell>
          <cell r="E2602">
            <v>0</v>
          </cell>
        </row>
        <row r="2604">
          <cell r="B2604" t="str">
            <v>LRA</v>
          </cell>
          <cell r="C2604" t="str">
            <v>SISA LEBIH/(KURANG) PEMBIAYAAN ANGGARAN-SILPA/(SIKPA)</v>
          </cell>
          <cell r="D2604">
            <v>39926493536.960007</v>
          </cell>
          <cell r="E2604">
            <v>68438922185.390175</v>
          </cell>
          <cell r="J2604">
            <v>68415882472.700172</v>
          </cell>
        </row>
        <row r="2606">
          <cell r="B2606" t="str">
            <v>LO</v>
          </cell>
          <cell r="C2606" t="str">
            <v>LO</v>
          </cell>
          <cell r="D2606" t="str">
            <v>LO</v>
          </cell>
          <cell r="E2606" t="str">
            <v>LO</v>
          </cell>
          <cell r="F2606" t="str">
            <v>LO</v>
          </cell>
          <cell r="G2606" t="str">
            <v>LO</v>
          </cell>
          <cell r="H2606" t="str">
            <v>LO</v>
          </cell>
          <cell r="I2606" t="str">
            <v>LO</v>
          </cell>
          <cell r="J2606" t="str">
            <v>LO</v>
          </cell>
        </row>
        <row r="2608">
          <cell r="B2608" t="str">
            <v>7</v>
          </cell>
          <cell r="C2608" t="str">
            <v>PENDAPATAN DAERAH-LO</v>
          </cell>
          <cell r="D2608">
            <v>1836548950329.7729</v>
          </cell>
          <cell r="E2608">
            <v>1957565151986.6599</v>
          </cell>
          <cell r="J2608">
            <v>1995530875275.6899</v>
          </cell>
        </row>
        <row r="2609">
          <cell r="B2609" t="str">
            <v>7.1</v>
          </cell>
          <cell r="C2609" t="str">
            <v>PENDAPATAN ASLI DAERAH (PAD)-LO</v>
          </cell>
          <cell r="D2609">
            <v>163262466983.10303</v>
          </cell>
          <cell r="E2609">
            <v>213097576422.38</v>
          </cell>
          <cell r="J2609">
            <v>209293318561.41</v>
          </cell>
        </row>
        <row r="2610">
          <cell r="B2610" t="str">
            <v>7.1.01</v>
          </cell>
          <cell r="C2610" t="str">
            <v>Pajak Daerah-LO</v>
          </cell>
          <cell r="D2610">
            <v>17698662350.549999</v>
          </cell>
          <cell r="E2610">
            <v>39252564208.309998</v>
          </cell>
          <cell r="J2610">
            <v>37819774853.910004</v>
          </cell>
        </row>
        <row r="2611">
          <cell r="B2611" t="str">
            <v>7.1.01.01</v>
          </cell>
          <cell r="C2611" t="str">
            <v>Pajak Kendaraan Bermotor (PKB)-LO</v>
          </cell>
          <cell r="D2611">
            <v>0</v>
          </cell>
          <cell r="E2611">
            <v>0</v>
          </cell>
          <cell r="J2611">
            <v>0</v>
          </cell>
        </row>
        <row r="2612">
          <cell r="B2612" t="str">
            <v>7.1.01.01.01</v>
          </cell>
          <cell r="C2612" t="str">
            <v>PKB-Mobil Penumpang-Sedan-LO</v>
          </cell>
          <cell r="F2612">
            <v>0</v>
          </cell>
          <cell r="G2612">
            <v>0</v>
          </cell>
          <cell r="H2612">
            <v>0</v>
          </cell>
          <cell r="I2612">
            <v>0</v>
          </cell>
          <cell r="J2612">
            <v>0</v>
          </cell>
        </row>
        <row r="2613">
          <cell r="B2613" t="str">
            <v>7.1.01.01.02</v>
          </cell>
          <cell r="C2613" t="str">
            <v>PKB-Mobil Penumpang-Jeep-LO</v>
          </cell>
          <cell r="F2613">
            <v>0</v>
          </cell>
          <cell r="G2613">
            <v>0</v>
          </cell>
          <cell r="H2613">
            <v>0</v>
          </cell>
          <cell r="I2613">
            <v>0</v>
          </cell>
          <cell r="J2613">
            <v>0</v>
          </cell>
        </row>
        <row r="2614">
          <cell r="B2614" t="str">
            <v>7.1.01.01.03</v>
          </cell>
          <cell r="C2614" t="str">
            <v>PKB-Mobil Penumpang-Minibus-LO</v>
          </cell>
          <cell r="F2614">
            <v>0</v>
          </cell>
          <cell r="G2614">
            <v>0</v>
          </cell>
          <cell r="H2614">
            <v>0</v>
          </cell>
          <cell r="I2614">
            <v>0</v>
          </cell>
          <cell r="J2614">
            <v>0</v>
          </cell>
        </row>
        <row r="2615">
          <cell r="B2615" t="str">
            <v>7.1.01.01.04</v>
          </cell>
          <cell r="C2615" t="str">
            <v>PKB-Mobil Bus-Microbus-LO</v>
          </cell>
          <cell r="F2615">
            <v>0</v>
          </cell>
          <cell r="G2615">
            <v>0</v>
          </cell>
          <cell r="H2615">
            <v>0</v>
          </cell>
          <cell r="I2615">
            <v>0</v>
          </cell>
          <cell r="J2615">
            <v>0</v>
          </cell>
        </row>
        <row r="2616">
          <cell r="B2616" t="str">
            <v>7.1.01.01.05</v>
          </cell>
          <cell r="C2616" t="str">
            <v>PKB-Mobil Bus-Bus-LO</v>
          </cell>
          <cell r="F2616">
            <v>0</v>
          </cell>
          <cell r="G2616">
            <v>0</v>
          </cell>
          <cell r="H2616">
            <v>0</v>
          </cell>
          <cell r="I2616">
            <v>0</v>
          </cell>
          <cell r="J2616">
            <v>0</v>
          </cell>
        </row>
        <row r="2617">
          <cell r="B2617" t="str">
            <v>7.1.01.01.06</v>
          </cell>
          <cell r="C2617" t="str">
            <v>PKB-Mobil Barang/Beban-Pick Up-LO</v>
          </cell>
          <cell r="F2617">
            <v>0</v>
          </cell>
          <cell r="G2617">
            <v>0</v>
          </cell>
          <cell r="H2617">
            <v>0</v>
          </cell>
          <cell r="I2617">
            <v>0</v>
          </cell>
          <cell r="J2617">
            <v>0</v>
          </cell>
        </row>
        <row r="2618">
          <cell r="B2618" t="str">
            <v>7.1.01.01.07</v>
          </cell>
          <cell r="C2618" t="str">
            <v>PKB-Mobil Barang/Beban-Light Truck-LO</v>
          </cell>
          <cell r="F2618">
            <v>0</v>
          </cell>
          <cell r="G2618">
            <v>0</v>
          </cell>
          <cell r="H2618">
            <v>0</v>
          </cell>
          <cell r="I2618">
            <v>0</v>
          </cell>
          <cell r="J2618">
            <v>0</v>
          </cell>
        </row>
        <row r="2619">
          <cell r="B2619" t="str">
            <v>7.1.01.01.08</v>
          </cell>
          <cell r="C2619" t="str">
            <v>PKB-Mobil Barang/Beban-Truck-LO</v>
          </cell>
          <cell r="F2619">
            <v>0</v>
          </cell>
          <cell r="G2619">
            <v>0</v>
          </cell>
          <cell r="H2619">
            <v>0</v>
          </cell>
          <cell r="I2619">
            <v>0</v>
          </cell>
          <cell r="J2619">
            <v>0</v>
          </cell>
        </row>
        <row r="2620">
          <cell r="B2620" t="str">
            <v>7.1.01.01.09</v>
          </cell>
          <cell r="C2620" t="str">
            <v>PKB-Mobil Barang/Beban-Blind Van-LO</v>
          </cell>
          <cell r="F2620">
            <v>0</v>
          </cell>
          <cell r="G2620">
            <v>0</v>
          </cell>
          <cell r="H2620">
            <v>0</v>
          </cell>
          <cell r="I2620">
            <v>0</v>
          </cell>
          <cell r="J2620">
            <v>0</v>
          </cell>
        </row>
        <row r="2621">
          <cell r="B2621" t="str">
            <v>7.1.01.01.10</v>
          </cell>
          <cell r="C2621" t="str">
            <v>PKB-Sepeda Motor-Sepeda Motor Roda Dua-LO</v>
          </cell>
          <cell r="F2621">
            <v>0</v>
          </cell>
          <cell r="G2621">
            <v>0</v>
          </cell>
          <cell r="H2621">
            <v>0</v>
          </cell>
          <cell r="I2621">
            <v>0</v>
          </cell>
          <cell r="J2621">
            <v>0</v>
          </cell>
        </row>
        <row r="2622">
          <cell r="B2622" t="str">
            <v>7.1.01.01.11</v>
          </cell>
          <cell r="C2622" t="str">
            <v>PKB-Sepeda Motor-Sepeda Motor Roda Tiga-LO</v>
          </cell>
          <cell r="F2622">
            <v>0</v>
          </cell>
          <cell r="G2622">
            <v>0</v>
          </cell>
          <cell r="H2622">
            <v>0</v>
          </cell>
          <cell r="I2622">
            <v>0</v>
          </cell>
          <cell r="J2622">
            <v>0</v>
          </cell>
        </row>
        <row r="2623">
          <cell r="B2623" t="str">
            <v>7.1.01.01.12</v>
          </cell>
          <cell r="C2623" t="str">
            <v>PKB-Kendaraan Bermotor yang Dioperasikan di Air-LO</v>
          </cell>
          <cell r="F2623">
            <v>0</v>
          </cell>
          <cell r="G2623">
            <v>0</v>
          </cell>
          <cell r="H2623">
            <v>0</v>
          </cell>
          <cell r="I2623">
            <v>0</v>
          </cell>
          <cell r="J2623">
            <v>0</v>
          </cell>
        </row>
        <row r="2624">
          <cell r="B2624" t="str">
            <v>7.1.01.01.13</v>
          </cell>
          <cell r="C2624" t="str">
            <v>PKB-Kendaraan Khusus Alat Berat/Alat Besar-LO</v>
          </cell>
          <cell r="F2624">
            <v>0</v>
          </cell>
          <cell r="G2624">
            <v>0</v>
          </cell>
          <cell r="H2624">
            <v>0</v>
          </cell>
          <cell r="I2624">
            <v>0</v>
          </cell>
          <cell r="J2624">
            <v>0</v>
          </cell>
        </row>
        <row r="2625">
          <cell r="B2625" t="str">
            <v>7.1.01.01.14</v>
          </cell>
          <cell r="C2625" t="str">
            <v>PKB-Mobil Roda Tiga-LO</v>
          </cell>
          <cell r="F2625">
            <v>0</v>
          </cell>
          <cell r="G2625">
            <v>0</v>
          </cell>
          <cell r="H2625">
            <v>0</v>
          </cell>
          <cell r="I2625">
            <v>0</v>
          </cell>
          <cell r="J2625">
            <v>0</v>
          </cell>
        </row>
        <row r="2626">
          <cell r="B2626" t="str">
            <v>7.1.01.01.15</v>
          </cell>
          <cell r="C2626" t="str">
            <v>PKB-Mobil Penumpang-Roda Tiga-LO</v>
          </cell>
          <cell r="F2626">
            <v>0</v>
          </cell>
          <cell r="G2626">
            <v>0</v>
          </cell>
          <cell r="H2626">
            <v>0</v>
          </cell>
          <cell r="I2626">
            <v>0</v>
          </cell>
          <cell r="J2626">
            <v>0</v>
          </cell>
        </row>
        <row r="2627">
          <cell r="B2627" t="str">
            <v>7.1.01.01.16</v>
          </cell>
          <cell r="C2627" t="str">
            <v>PKB-Mobil Barang-Roda Tiga-LO</v>
          </cell>
          <cell r="F2627">
            <v>0</v>
          </cell>
          <cell r="G2627">
            <v>0</v>
          </cell>
          <cell r="H2627">
            <v>0</v>
          </cell>
          <cell r="I2627">
            <v>0</v>
          </cell>
          <cell r="J2627">
            <v>0</v>
          </cell>
        </row>
        <row r="2628">
          <cell r="B2628" t="str">
            <v>7.1.01.01.17</v>
          </cell>
          <cell r="C2628" t="str">
            <v>PKB-Mobil Barang/Beban-Pick Up Box-LO</v>
          </cell>
          <cell r="F2628">
            <v>0</v>
          </cell>
          <cell r="G2628">
            <v>0</v>
          </cell>
          <cell r="H2628">
            <v>0</v>
          </cell>
          <cell r="I2628">
            <v>0</v>
          </cell>
          <cell r="J2628">
            <v>0</v>
          </cell>
        </row>
        <row r="2629">
          <cell r="B2629" t="str">
            <v>7.1.01.01.18</v>
          </cell>
          <cell r="C2629" t="str">
            <v>PKB-Sepeda Motor-Sepeda Motor Roda Tiga Penumpang-LO</v>
          </cell>
          <cell r="F2629">
            <v>0</v>
          </cell>
          <cell r="G2629">
            <v>0</v>
          </cell>
          <cell r="H2629">
            <v>0</v>
          </cell>
          <cell r="I2629">
            <v>0</v>
          </cell>
          <cell r="J2629">
            <v>0</v>
          </cell>
        </row>
        <row r="2630">
          <cell r="B2630" t="str">
            <v>7.1.01.02</v>
          </cell>
          <cell r="C2630" t="str">
            <v>Bea Balik Nama Kendaraan Bermotor (BBNKB)-LO</v>
          </cell>
          <cell r="D2630">
            <v>0</v>
          </cell>
          <cell r="E2630">
            <v>0</v>
          </cell>
          <cell r="J2630">
            <v>0</v>
          </cell>
        </row>
        <row r="2631">
          <cell r="B2631" t="str">
            <v>7.1.01.02.01</v>
          </cell>
          <cell r="C2631" t="str">
            <v>BBNKB-Mobil Penumpang-Sedan-LO</v>
          </cell>
          <cell r="F2631">
            <v>0</v>
          </cell>
          <cell r="G2631">
            <v>0</v>
          </cell>
          <cell r="H2631">
            <v>0</v>
          </cell>
          <cell r="I2631">
            <v>0</v>
          </cell>
          <cell r="J2631">
            <v>0</v>
          </cell>
        </row>
        <row r="2632">
          <cell r="B2632" t="str">
            <v>7.1.01.02.02</v>
          </cell>
          <cell r="C2632" t="str">
            <v>BBNKB-Mobil Penumpang-Jeep-LO</v>
          </cell>
          <cell r="F2632">
            <v>0</v>
          </cell>
          <cell r="G2632">
            <v>0</v>
          </cell>
          <cell r="H2632">
            <v>0</v>
          </cell>
          <cell r="I2632">
            <v>0</v>
          </cell>
          <cell r="J2632">
            <v>0</v>
          </cell>
        </row>
        <row r="2633">
          <cell r="B2633" t="str">
            <v>7.1.01.02.03</v>
          </cell>
          <cell r="C2633" t="str">
            <v>BBNKB-Mobil Penumpang-Minibus-LO</v>
          </cell>
          <cell r="F2633">
            <v>0</v>
          </cell>
          <cell r="G2633">
            <v>0</v>
          </cell>
          <cell r="H2633">
            <v>0</v>
          </cell>
          <cell r="I2633">
            <v>0</v>
          </cell>
          <cell r="J2633">
            <v>0</v>
          </cell>
        </row>
        <row r="2634">
          <cell r="B2634" t="str">
            <v>7.1.01.02.04</v>
          </cell>
          <cell r="C2634" t="str">
            <v>BBNKB-Mobil Bus-Microbus-LO</v>
          </cell>
          <cell r="F2634">
            <v>0</v>
          </cell>
          <cell r="G2634">
            <v>0</v>
          </cell>
          <cell r="H2634">
            <v>0</v>
          </cell>
          <cell r="I2634">
            <v>0</v>
          </cell>
          <cell r="J2634">
            <v>0</v>
          </cell>
        </row>
        <row r="2635">
          <cell r="B2635" t="str">
            <v>7.1.01.02.05</v>
          </cell>
          <cell r="C2635" t="str">
            <v>BBNKB-Mobil Bus-Bus-LO</v>
          </cell>
          <cell r="F2635">
            <v>0</v>
          </cell>
          <cell r="G2635">
            <v>0</v>
          </cell>
          <cell r="H2635">
            <v>0</v>
          </cell>
          <cell r="I2635">
            <v>0</v>
          </cell>
          <cell r="J2635">
            <v>0</v>
          </cell>
        </row>
        <row r="2636">
          <cell r="B2636" t="str">
            <v>7.1.01.02.06</v>
          </cell>
          <cell r="C2636" t="str">
            <v>BBNKB-Mobil Barang/Beban-Pick Up-LO</v>
          </cell>
          <cell r="F2636">
            <v>0</v>
          </cell>
          <cell r="G2636">
            <v>0</v>
          </cell>
          <cell r="H2636">
            <v>0</v>
          </cell>
          <cell r="I2636">
            <v>0</v>
          </cell>
          <cell r="J2636">
            <v>0</v>
          </cell>
        </row>
        <row r="2637">
          <cell r="B2637" t="str">
            <v>7.1.01.02.07</v>
          </cell>
          <cell r="C2637" t="str">
            <v>BBNKB-Mobil Barang/Beban-Light Truck-LO</v>
          </cell>
          <cell r="F2637">
            <v>0</v>
          </cell>
          <cell r="G2637">
            <v>0</v>
          </cell>
          <cell r="H2637">
            <v>0</v>
          </cell>
          <cell r="I2637">
            <v>0</v>
          </cell>
          <cell r="J2637">
            <v>0</v>
          </cell>
        </row>
        <row r="2638">
          <cell r="B2638" t="str">
            <v>7.1.01.02.08</v>
          </cell>
          <cell r="C2638" t="str">
            <v>BBNKB-Mobil Barang/Beban-Truck-LO</v>
          </cell>
          <cell r="F2638">
            <v>0</v>
          </cell>
          <cell r="G2638">
            <v>0</v>
          </cell>
          <cell r="H2638">
            <v>0</v>
          </cell>
          <cell r="I2638">
            <v>0</v>
          </cell>
          <cell r="J2638">
            <v>0</v>
          </cell>
        </row>
        <row r="2639">
          <cell r="B2639" t="str">
            <v>7.1.01.02.09</v>
          </cell>
          <cell r="C2639" t="str">
            <v>BBNKB-Mobil Barang/Beban-Blind Van-LO</v>
          </cell>
          <cell r="F2639">
            <v>0</v>
          </cell>
          <cell r="G2639">
            <v>0</v>
          </cell>
          <cell r="H2639">
            <v>0</v>
          </cell>
          <cell r="I2639">
            <v>0</v>
          </cell>
          <cell r="J2639">
            <v>0</v>
          </cell>
        </row>
        <row r="2640">
          <cell r="B2640" t="str">
            <v>7.1.01.02.10</v>
          </cell>
          <cell r="C2640" t="str">
            <v>BBNKB-Sepeda Motor-Sepeda Motor Roda Dua-LO</v>
          </cell>
          <cell r="F2640">
            <v>0</v>
          </cell>
          <cell r="G2640">
            <v>0</v>
          </cell>
          <cell r="H2640">
            <v>0</v>
          </cell>
          <cell r="I2640">
            <v>0</v>
          </cell>
          <cell r="J2640">
            <v>0</v>
          </cell>
        </row>
        <row r="2641">
          <cell r="B2641" t="str">
            <v>7.1.01.02.11</v>
          </cell>
          <cell r="C2641" t="str">
            <v>BBNKB-Sepeda Motor-Sepeda Motor Roda Tiga-LO</v>
          </cell>
          <cell r="F2641">
            <v>0</v>
          </cell>
          <cell r="G2641">
            <v>0</v>
          </cell>
          <cell r="H2641">
            <v>0</v>
          </cell>
          <cell r="I2641">
            <v>0</v>
          </cell>
          <cell r="J2641">
            <v>0</v>
          </cell>
        </row>
        <row r="2642">
          <cell r="B2642" t="str">
            <v>7.1.01.02.12</v>
          </cell>
          <cell r="C2642" t="str">
            <v>BBNKB-Kendaraan Bermotor yang Dioperasikan di Air-LO</v>
          </cell>
          <cell r="F2642">
            <v>0</v>
          </cell>
          <cell r="G2642">
            <v>0</v>
          </cell>
          <cell r="H2642">
            <v>0</v>
          </cell>
          <cell r="I2642">
            <v>0</v>
          </cell>
          <cell r="J2642">
            <v>0</v>
          </cell>
        </row>
        <row r="2643">
          <cell r="B2643" t="str">
            <v>7.1.01.02.13</v>
          </cell>
          <cell r="C2643" t="str">
            <v>BBNKB-Kendaraan Khusus Alat Berat-LO</v>
          </cell>
          <cell r="F2643">
            <v>0</v>
          </cell>
          <cell r="G2643">
            <v>0</v>
          </cell>
          <cell r="H2643">
            <v>0</v>
          </cell>
          <cell r="I2643">
            <v>0</v>
          </cell>
          <cell r="J2643">
            <v>0</v>
          </cell>
        </row>
        <row r="2644">
          <cell r="B2644" t="str">
            <v>7.1.01.02.14</v>
          </cell>
          <cell r="C2644" t="str">
            <v>BBNKB-Mobil Roda Tiga-LO</v>
          </cell>
          <cell r="F2644">
            <v>0</v>
          </cell>
          <cell r="G2644">
            <v>0</v>
          </cell>
          <cell r="H2644">
            <v>0</v>
          </cell>
          <cell r="I2644">
            <v>0</v>
          </cell>
          <cell r="J2644">
            <v>0</v>
          </cell>
        </row>
        <row r="2645">
          <cell r="B2645" t="str">
            <v>7.1.01.02.15</v>
          </cell>
          <cell r="C2645" t="str">
            <v>BBNKB-Mobil Penumpang-Roda Tiga-LO</v>
          </cell>
          <cell r="F2645">
            <v>0</v>
          </cell>
          <cell r="G2645">
            <v>0</v>
          </cell>
          <cell r="H2645">
            <v>0</v>
          </cell>
          <cell r="I2645">
            <v>0</v>
          </cell>
          <cell r="J2645">
            <v>0</v>
          </cell>
        </row>
        <row r="2646">
          <cell r="B2646" t="str">
            <v>7.1.01.02.16</v>
          </cell>
          <cell r="C2646" t="str">
            <v>BBNKB-Mobil Barang-Roda Tiga-LO</v>
          </cell>
          <cell r="F2646">
            <v>0</v>
          </cell>
          <cell r="G2646">
            <v>0</v>
          </cell>
          <cell r="H2646">
            <v>0</v>
          </cell>
          <cell r="I2646">
            <v>0</v>
          </cell>
          <cell r="J2646">
            <v>0</v>
          </cell>
        </row>
        <row r="2647">
          <cell r="B2647" t="str">
            <v>7.1.01.02.17</v>
          </cell>
          <cell r="C2647" t="str">
            <v>BBNKB-Mobil Barang/Beban-Pick Up Box-LO</v>
          </cell>
          <cell r="F2647">
            <v>0</v>
          </cell>
          <cell r="G2647">
            <v>0</v>
          </cell>
          <cell r="H2647">
            <v>0</v>
          </cell>
          <cell r="I2647">
            <v>0</v>
          </cell>
          <cell r="J2647">
            <v>0</v>
          </cell>
        </row>
        <row r="2648">
          <cell r="B2648" t="str">
            <v>7.1.01.02.18</v>
          </cell>
          <cell r="C2648" t="str">
            <v>BBNKB-Sepeda Motor-Sepeda Motor Roda Tiga Penumpang-LO</v>
          </cell>
          <cell r="F2648">
            <v>0</v>
          </cell>
          <cell r="G2648">
            <v>0</v>
          </cell>
          <cell r="H2648">
            <v>0</v>
          </cell>
          <cell r="I2648">
            <v>0</v>
          </cell>
          <cell r="J2648">
            <v>0</v>
          </cell>
        </row>
        <row r="2649">
          <cell r="B2649" t="str">
            <v>7.1.01.03</v>
          </cell>
          <cell r="C2649" t="str">
            <v>Pajak Bahan Bakar Kendaraan Bermotor (PBBKB)-LO</v>
          </cell>
          <cell r="D2649">
            <v>0</v>
          </cell>
          <cell r="E2649">
            <v>0</v>
          </cell>
          <cell r="J2649">
            <v>0</v>
          </cell>
        </row>
        <row r="2650">
          <cell r="B2650" t="str">
            <v>7.1.01.03.01</v>
          </cell>
          <cell r="C2650" t="str">
            <v>PBBKB Bahan Bakar Bensin-LO</v>
          </cell>
          <cell r="F2650">
            <v>0</v>
          </cell>
          <cell r="G2650">
            <v>0</v>
          </cell>
          <cell r="H2650">
            <v>0</v>
          </cell>
          <cell r="I2650">
            <v>0</v>
          </cell>
          <cell r="J2650">
            <v>0</v>
          </cell>
        </row>
        <row r="2651">
          <cell r="B2651" t="str">
            <v>7.1.01.03.02</v>
          </cell>
          <cell r="C2651" t="str">
            <v>PBBKB Bahan Bakar Solar-LO</v>
          </cell>
          <cell r="F2651">
            <v>0</v>
          </cell>
          <cell r="G2651">
            <v>0</v>
          </cell>
          <cell r="H2651">
            <v>0</v>
          </cell>
          <cell r="I2651">
            <v>0</v>
          </cell>
          <cell r="J2651">
            <v>0</v>
          </cell>
        </row>
        <row r="2652">
          <cell r="B2652" t="str">
            <v>7.1.01.03.03</v>
          </cell>
          <cell r="C2652" t="str">
            <v>PBBKB Bahan Bakar Gas-LO</v>
          </cell>
          <cell r="F2652">
            <v>0</v>
          </cell>
          <cell r="G2652">
            <v>0</v>
          </cell>
          <cell r="H2652">
            <v>0</v>
          </cell>
          <cell r="I2652">
            <v>0</v>
          </cell>
          <cell r="J2652">
            <v>0</v>
          </cell>
        </row>
        <row r="2653">
          <cell r="B2653" t="str">
            <v>7.1.01.03.04</v>
          </cell>
          <cell r="C2653" t="str">
            <v>PBBKB Bahan Bakar Lainnya-LO</v>
          </cell>
          <cell r="F2653">
            <v>0</v>
          </cell>
          <cell r="G2653">
            <v>0</v>
          </cell>
          <cell r="H2653">
            <v>0</v>
          </cell>
          <cell r="I2653">
            <v>0</v>
          </cell>
          <cell r="J2653">
            <v>0</v>
          </cell>
        </row>
        <row r="2654">
          <cell r="B2654" t="str">
            <v>7.1.01.04</v>
          </cell>
          <cell r="C2654" t="str">
            <v>Pajak Air Permukaan-LO</v>
          </cell>
          <cell r="D2654">
            <v>0</v>
          </cell>
          <cell r="E2654">
            <v>0</v>
          </cell>
          <cell r="J2654">
            <v>0</v>
          </cell>
        </row>
        <row r="2655">
          <cell r="B2655" t="str">
            <v>7.1.01.04.01</v>
          </cell>
          <cell r="C2655" t="str">
            <v>Pajak Air Permukaan-LO</v>
          </cell>
          <cell r="F2655">
            <v>0</v>
          </cell>
          <cell r="G2655">
            <v>0</v>
          </cell>
          <cell r="H2655">
            <v>0</v>
          </cell>
          <cell r="I2655">
            <v>0</v>
          </cell>
          <cell r="J2655">
            <v>0</v>
          </cell>
        </row>
        <row r="2656">
          <cell r="B2656" t="str">
            <v>7.1.01.05</v>
          </cell>
          <cell r="C2656" t="str">
            <v>Pajak Rokok-LO</v>
          </cell>
          <cell r="D2656">
            <v>0</v>
          </cell>
          <cell r="E2656">
            <v>0</v>
          </cell>
          <cell r="J2656">
            <v>0</v>
          </cell>
        </row>
        <row r="2657">
          <cell r="B2657" t="str">
            <v>7.1.01.05.01</v>
          </cell>
          <cell r="C2657" t="str">
            <v>Pajak Rokok-LO</v>
          </cell>
          <cell r="F2657">
            <v>0</v>
          </cell>
          <cell r="G2657">
            <v>0</v>
          </cell>
          <cell r="H2657">
            <v>0</v>
          </cell>
          <cell r="I2657">
            <v>0</v>
          </cell>
          <cell r="J2657">
            <v>0</v>
          </cell>
        </row>
        <row r="2658">
          <cell r="B2658" t="str">
            <v>7.1.01.06</v>
          </cell>
          <cell r="C2658" t="str">
            <v>Pajak Hotel-LO</v>
          </cell>
          <cell r="D2658">
            <v>1025924341.55</v>
          </cell>
          <cell r="E2658">
            <v>0</v>
          </cell>
          <cell r="J2658">
            <v>0</v>
          </cell>
        </row>
        <row r="2659">
          <cell r="B2659" t="str">
            <v>7.1.01.06.01</v>
          </cell>
          <cell r="C2659" t="str">
            <v>Pajak Hotel-LO</v>
          </cell>
          <cell r="D2659">
            <v>1025924341.55</v>
          </cell>
          <cell r="F2659">
            <v>0</v>
          </cell>
          <cell r="G2659">
            <v>0</v>
          </cell>
          <cell r="H2659">
            <v>0</v>
          </cell>
          <cell r="I2659">
            <v>0</v>
          </cell>
          <cell r="J2659">
            <v>0</v>
          </cell>
        </row>
        <row r="2660">
          <cell r="B2660" t="str">
            <v>7.1.01.06.02</v>
          </cell>
          <cell r="C2660" t="str">
            <v>Pajak Motel-LO</v>
          </cell>
          <cell r="F2660">
            <v>0</v>
          </cell>
          <cell r="G2660">
            <v>0</v>
          </cell>
          <cell r="H2660">
            <v>0</v>
          </cell>
          <cell r="I2660">
            <v>0</v>
          </cell>
          <cell r="J2660">
            <v>0</v>
          </cell>
        </row>
        <row r="2661">
          <cell r="B2661" t="str">
            <v>7.1.01.06.03</v>
          </cell>
          <cell r="C2661" t="str">
            <v>Pajak Losmen-LO</v>
          </cell>
          <cell r="F2661">
            <v>0</v>
          </cell>
          <cell r="G2661">
            <v>0</v>
          </cell>
          <cell r="H2661">
            <v>0</v>
          </cell>
          <cell r="I2661">
            <v>0</v>
          </cell>
          <cell r="J2661">
            <v>0</v>
          </cell>
        </row>
        <row r="2662">
          <cell r="B2662" t="str">
            <v>7.1.01.06.04</v>
          </cell>
          <cell r="C2662" t="str">
            <v>Pajak Gubuk Pariwisata-LO</v>
          </cell>
          <cell r="F2662">
            <v>0</v>
          </cell>
          <cell r="G2662">
            <v>0</v>
          </cell>
          <cell r="H2662">
            <v>0</v>
          </cell>
          <cell r="I2662">
            <v>0</v>
          </cell>
          <cell r="J2662">
            <v>0</v>
          </cell>
        </row>
        <row r="2663">
          <cell r="B2663" t="str">
            <v>7.1.01.06.05</v>
          </cell>
          <cell r="C2663" t="str">
            <v>Pajak Wisma Pariwisata-LO</v>
          </cell>
          <cell r="F2663">
            <v>0</v>
          </cell>
          <cell r="G2663">
            <v>0</v>
          </cell>
          <cell r="H2663">
            <v>0</v>
          </cell>
          <cell r="I2663">
            <v>0</v>
          </cell>
          <cell r="J2663">
            <v>0</v>
          </cell>
        </row>
        <row r="2664">
          <cell r="B2664" t="str">
            <v>7.1.01.06.06</v>
          </cell>
          <cell r="C2664" t="str">
            <v>Pajak Pesanggrahan-LO</v>
          </cell>
          <cell r="F2664">
            <v>0</v>
          </cell>
          <cell r="G2664">
            <v>0</v>
          </cell>
          <cell r="H2664">
            <v>0</v>
          </cell>
          <cell r="I2664">
            <v>0</v>
          </cell>
          <cell r="J2664">
            <v>0</v>
          </cell>
        </row>
        <row r="2665">
          <cell r="B2665" t="str">
            <v>7.1.01.06.07</v>
          </cell>
          <cell r="C2665" t="str">
            <v>Pajak Rumah Penginapan dan Sejenisnya-LO</v>
          </cell>
          <cell r="F2665">
            <v>0</v>
          </cell>
          <cell r="G2665">
            <v>0</v>
          </cell>
          <cell r="H2665">
            <v>0</v>
          </cell>
          <cell r="I2665">
            <v>0</v>
          </cell>
          <cell r="J2665">
            <v>0</v>
          </cell>
        </row>
        <row r="2666">
          <cell r="B2666" t="str">
            <v>7.1.01.06.08</v>
          </cell>
          <cell r="C2666" t="str">
            <v>Pajak Rumah Kos dengan Jumlah Kamar Lebih dari 10 (Sepuluh)-LO</v>
          </cell>
          <cell r="F2666">
            <v>0</v>
          </cell>
          <cell r="G2666">
            <v>0</v>
          </cell>
          <cell r="H2666">
            <v>0</v>
          </cell>
          <cell r="I2666">
            <v>0</v>
          </cell>
          <cell r="J2666">
            <v>0</v>
          </cell>
        </row>
        <row r="2667">
          <cell r="B2667" t="str">
            <v>7.1.01.07</v>
          </cell>
          <cell r="C2667" t="str">
            <v>Pajak Restoran-LO</v>
          </cell>
          <cell r="D2667">
            <v>200338943</v>
          </cell>
          <cell r="E2667">
            <v>0</v>
          </cell>
          <cell r="J2667">
            <v>0</v>
          </cell>
        </row>
        <row r="2668">
          <cell r="B2668" t="str">
            <v>7.1.01.07.01</v>
          </cell>
          <cell r="C2668" t="str">
            <v>Pajak Restoran dan Sejenisnya-LO</v>
          </cell>
          <cell r="D2668">
            <v>23247762</v>
          </cell>
          <cell r="F2668">
            <v>0</v>
          </cell>
          <cell r="G2668">
            <v>0</v>
          </cell>
          <cell r="H2668">
            <v>0</v>
          </cell>
          <cell r="I2668">
            <v>0</v>
          </cell>
          <cell r="J2668">
            <v>0</v>
          </cell>
        </row>
        <row r="2669">
          <cell r="B2669" t="str">
            <v>7.1.01.07.02</v>
          </cell>
          <cell r="C2669" t="str">
            <v>Pajak Rumah Makan dan Sejenisnya-LO</v>
          </cell>
          <cell r="D2669">
            <v>130241581</v>
          </cell>
          <cell r="F2669">
            <v>0</v>
          </cell>
          <cell r="G2669">
            <v>0</v>
          </cell>
          <cell r="H2669">
            <v>0</v>
          </cell>
          <cell r="I2669">
            <v>0</v>
          </cell>
          <cell r="J2669">
            <v>0</v>
          </cell>
        </row>
        <row r="2670">
          <cell r="B2670" t="str">
            <v>7.1.01.07.03</v>
          </cell>
          <cell r="C2670" t="str">
            <v>Pajak Kafetaria dan Sejenisnya-LO</v>
          </cell>
          <cell r="F2670">
            <v>0</v>
          </cell>
          <cell r="G2670">
            <v>0</v>
          </cell>
          <cell r="H2670">
            <v>0</v>
          </cell>
          <cell r="I2670">
            <v>0</v>
          </cell>
          <cell r="J2670">
            <v>0</v>
          </cell>
        </row>
        <row r="2671">
          <cell r="B2671" t="str">
            <v>7.1.01.07.04</v>
          </cell>
          <cell r="C2671" t="str">
            <v>Pajak Kantin dan Sejenisnya-LO</v>
          </cell>
          <cell r="F2671">
            <v>0</v>
          </cell>
          <cell r="G2671">
            <v>0</v>
          </cell>
          <cell r="H2671">
            <v>0</v>
          </cell>
          <cell r="I2671">
            <v>0</v>
          </cell>
          <cell r="J2671">
            <v>0</v>
          </cell>
        </row>
        <row r="2672">
          <cell r="B2672" t="str">
            <v>7.1.01.07.05</v>
          </cell>
          <cell r="C2672" t="str">
            <v>Pajak Warung dan Sejenisnya-LO</v>
          </cell>
          <cell r="F2672">
            <v>0</v>
          </cell>
          <cell r="G2672">
            <v>0</v>
          </cell>
          <cell r="H2672">
            <v>0</v>
          </cell>
          <cell r="I2672">
            <v>0</v>
          </cell>
          <cell r="J2672">
            <v>0</v>
          </cell>
        </row>
        <row r="2673">
          <cell r="B2673" t="str">
            <v>7.1.01.07.06</v>
          </cell>
          <cell r="C2673" t="str">
            <v>Pajak Bar dan Sejenisnya-LO</v>
          </cell>
          <cell r="F2673">
            <v>0</v>
          </cell>
          <cell r="G2673">
            <v>0</v>
          </cell>
          <cell r="H2673">
            <v>0</v>
          </cell>
          <cell r="I2673">
            <v>0</v>
          </cell>
          <cell r="J2673">
            <v>0</v>
          </cell>
        </row>
        <row r="2674">
          <cell r="B2674" t="str">
            <v>7.1.01.07.07</v>
          </cell>
          <cell r="C2674" t="str">
            <v>Pajak Jasa Boga/Katering dan Sejenisnya-LO</v>
          </cell>
          <cell r="D2674">
            <v>46849600</v>
          </cell>
          <cell r="F2674">
            <v>0</v>
          </cell>
          <cell r="G2674">
            <v>0</v>
          </cell>
          <cell r="H2674">
            <v>0</v>
          </cell>
          <cell r="I2674">
            <v>0</v>
          </cell>
          <cell r="J2674">
            <v>0</v>
          </cell>
        </row>
        <row r="2675">
          <cell r="B2675" t="str">
            <v>7.1.01.08</v>
          </cell>
          <cell r="C2675" t="str">
            <v>Pajak Hiburan-LO</v>
          </cell>
          <cell r="D2675">
            <v>3350000</v>
          </cell>
          <cell r="E2675">
            <v>1000000</v>
          </cell>
          <cell r="J2675">
            <v>1000000</v>
          </cell>
        </row>
        <row r="2676">
          <cell r="B2676" t="str">
            <v>7.1.01.08.01</v>
          </cell>
          <cell r="C2676" t="str">
            <v>Pajak Tontonan Film-LO</v>
          </cell>
          <cell r="F2676">
            <v>0</v>
          </cell>
          <cell r="G2676">
            <v>0</v>
          </cell>
          <cell r="H2676">
            <v>0</v>
          </cell>
          <cell r="I2676">
            <v>0</v>
          </cell>
          <cell r="J2676">
            <v>0</v>
          </cell>
        </row>
        <row r="2677">
          <cell r="B2677" t="str">
            <v>7.1.01.08.02</v>
          </cell>
          <cell r="C2677" t="str">
            <v>Pajak Pagelaran Kesenian/Musik/Tari/Busana-LO</v>
          </cell>
          <cell r="D2677">
            <v>3350000</v>
          </cell>
          <cell r="F2677">
            <v>0</v>
          </cell>
          <cell r="G2677">
            <v>0</v>
          </cell>
          <cell r="H2677">
            <v>0</v>
          </cell>
          <cell r="I2677">
            <v>0</v>
          </cell>
          <cell r="J2677">
            <v>0</v>
          </cell>
        </row>
        <row r="2678">
          <cell r="B2678" t="str">
            <v>7.1.01.08.03</v>
          </cell>
          <cell r="C2678" t="str">
            <v>Pajak Kontes Kecantikan, Binaraga, dan Sejenisnya-LO</v>
          </cell>
          <cell r="F2678">
            <v>0</v>
          </cell>
          <cell r="G2678">
            <v>0</v>
          </cell>
          <cell r="H2678">
            <v>0</v>
          </cell>
          <cell r="I2678">
            <v>0</v>
          </cell>
          <cell r="J2678">
            <v>0</v>
          </cell>
        </row>
        <row r="2679">
          <cell r="B2679" t="str">
            <v>7.1.01.08.04</v>
          </cell>
          <cell r="C2679" t="str">
            <v>Pajak Pameran-LO</v>
          </cell>
          <cell r="F2679">
            <v>0</v>
          </cell>
          <cell r="G2679">
            <v>0</v>
          </cell>
          <cell r="H2679">
            <v>0</v>
          </cell>
          <cell r="I2679">
            <v>0</v>
          </cell>
          <cell r="J2679">
            <v>0</v>
          </cell>
        </row>
        <row r="2680">
          <cell r="B2680" t="str">
            <v>7.1.01.08.05</v>
          </cell>
          <cell r="C2680" t="str">
            <v>Pajak Diskotik, Karaoke, Klub Malam, dan Sejenisnya-LO</v>
          </cell>
          <cell r="F2680">
            <v>0</v>
          </cell>
          <cell r="G2680">
            <v>0</v>
          </cell>
          <cell r="H2680">
            <v>0</v>
          </cell>
          <cell r="I2680">
            <v>0</v>
          </cell>
          <cell r="J2680">
            <v>0</v>
          </cell>
        </row>
        <row r="2681">
          <cell r="B2681" t="str">
            <v>7.1.01.08.06</v>
          </cell>
          <cell r="C2681" t="str">
            <v>Pajak Sirkus/Akrobat/Sulap-LO</v>
          </cell>
          <cell r="F2681">
            <v>0</v>
          </cell>
          <cell r="G2681">
            <v>0</v>
          </cell>
          <cell r="H2681">
            <v>0</v>
          </cell>
          <cell r="I2681">
            <v>0</v>
          </cell>
          <cell r="J2681">
            <v>0</v>
          </cell>
        </row>
        <row r="2682">
          <cell r="B2682" t="str">
            <v>7.1.01.08.07</v>
          </cell>
          <cell r="C2682" t="str">
            <v>Pajak Permainan Biliar dan Bowling-LO</v>
          </cell>
          <cell r="F2682">
            <v>0</v>
          </cell>
          <cell r="G2682">
            <v>0</v>
          </cell>
          <cell r="H2682">
            <v>0</v>
          </cell>
          <cell r="I2682">
            <v>0</v>
          </cell>
          <cell r="J2682">
            <v>0</v>
          </cell>
        </row>
        <row r="2683">
          <cell r="B2683" t="str">
            <v>7.1.01.08.08</v>
          </cell>
          <cell r="C2683" t="str">
            <v>Pajak Pacuan Kuda, Kendaraan Bermotor, dan Permainan Ketangkasan-LO</v>
          </cell>
          <cell r="E2683">
            <v>1000000</v>
          </cell>
          <cell r="F2683">
            <v>0</v>
          </cell>
          <cell r="G2683">
            <v>0</v>
          </cell>
          <cell r="H2683">
            <v>0</v>
          </cell>
          <cell r="I2683">
            <v>0</v>
          </cell>
          <cell r="J2683">
            <v>1000000</v>
          </cell>
        </row>
        <row r="2684">
          <cell r="B2684" t="str">
            <v>7.1.01.08.09</v>
          </cell>
          <cell r="C2684" t="str">
            <v>Pajak Panti Pijat, Refleksi, Mandi Uap/Spa, dan Pusat Kebugaran (Fitness Center)-LO</v>
          </cell>
          <cell r="F2684">
            <v>0</v>
          </cell>
          <cell r="G2684">
            <v>0</v>
          </cell>
          <cell r="H2684">
            <v>0</v>
          </cell>
          <cell r="I2684">
            <v>0</v>
          </cell>
          <cell r="J2684">
            <v>0</v>
          </cell>
        </row>
        <row r="2685">
          <cell r="B2685" t="str">
            <v>7.1.01.08.10</v>
          </cell>
          <cell r="C2685" t="str">
            <v>Pajak Pertandingan Olahraga-LO</v>
          </cell>
          <cell r="F2685">
            <v>0</v>
          </cell>
          <cell r="G2685">
            <v>0</v>
          </cell>
          <cell r="H2685">
            <v>0</v>
          </cell>
          <cell r="I2685">
            <v>0</v>
          </cell>
          <cell r="J2685">
            <v>0</v>
          </cell>
        </row>
        <row r="2686">
          <cell r="B2686" t="str">
            <v>7.1.01.09</v>
          </cell>
          <cell r="C2686" t="str">
            <v>Pajak Reklame-LO</v>
          </cell>
          <cell r="D2686">
            <v>213384600</v>
          </cell>
          <cell r="E2686">
            <v>169468000</v>
          </cell>
          <cell r="J2686">
            <v>169468000</v>
          </cell>
        </row>
        <row r="2687">
          <cell r="B2687" t="str">
            <v>7.1.01.09.01</v>
          </cell>
          <cell r="C2687" t="str">
            <v>Pajak Reklame Papan/Billboard/Videotron/Megatron-LO</v>
          </cell>
          <cell r="D2687">
            <v>100986600</v>
          </cell>
          <cell r="E2687">
            <v>169468000</v>
          </cell>
          <cell r="F2687">
            <v>0</v>
          </cell>
          <cell r="G2687">
            <v>0</v>
          </cell>
          <cell r="H2687">
            <v>0</v>
          </cell>
          <cell r="I2687">
            <v>0</v>
          </cell>
          <cell r="J2687">
            <v>169468000</v>
          </cell>
        </row>
        <row r="2688">
          <cell r="B2688" t="str">
            <v>7.1.01.09.02</v>
          </cell>
          <cell r="C2688" t="str">
            <v>Pajak Reklame Kain-LO</v>
          </cell>
          <cell r="D2688">
            <v>112398000</v>
          </cell>
          <cell r="F2688">
            <v>0</v>
          </cell>
          <cell r="G2688">
            <v>0</v>
          </cell>
          <cell r="H2688">
            <v>0</v>
          </cell>
          <cell r="I2688">
            <v>0</v>
          </cell>
          <cell r="J2688">
            <v>0</v>
          </cell>
        </row>
        <row r="2689">
          <cell r="B2689" t="str">
            <v>7.1.01.09.03</v>
          </cell>
          <cell r="C2689" t="str">
            <v>Pajak Reklame Melekat/Stiker-LO</v>
          </cell>
          <cell r="F2689">
            <v>0</v>
          </cell>
          <cell r="G2689">
            <v>0</v>
          </cell>
          <cell r="H2689">
            <v>0</v>
          </cell>
          <cell r="I2689">
            <v>0</v>
          </cell>
          <cell r="J2689">
            <v>0</v>
          </cell>
        </row>
        <row r="2690">
          <cell r="B2690" t="str">
            <v>7.1.01.09.04</v>
          </cell>
          <cell r="C2690" t="str">
            <v>Pajak Reklame Selebaran-LO</v>
          </cell>
          <cell r="F2690">
            <v>0</v>
          </cell>
          <cell r="G2690">
            <v>0</v>
          </cell>
          <cell r="H2690">
            <v>0</v>
          </cell>
          <cell r="I2690">
            <v>0</v>
          </cell>
          <cell r="J2690">
            <v>0</v>
          </cell>
        </row>
        <row r="2691">
          <cell r="B2691" t="str">
            <v>7.1.01.09.05</v>
          </cell>
          <cell r="C2691" t="str">
            <v>Pajak Reklame Berjalan-LO</v>
          </cell>
          <cell r="F2691">
            <v>0</v>
          </cell>
          <cell r="G2691">
            <v>0</v>
          </cell>
          <cell r="H2691">
            <v>0</v>
          </cell>
          <cell r="I2691">
            <v>0</v>
          </cell>
          <cell r="J2691">
            <v>0</v>
          </cell>
        </row>
        <row r="2692">
          <cell r="B2692" t="str">
            <v>7.1.01.09.06</v>
          </cell>
          <cell r="C2692" t="str">
            <v>Pajak Reklame Udara-LO</v>
          </cell>
          <cell r="F2692">
            <v>0</v>
          </cell>
          <cell r="G2692">
            <v>0</v>
          </cell>
          <cell r="H2692">
            <v>0</v>
          </cell>
          <cell r="I2692">
            <v>0</v>
          </cell>
          <cell r="J2692">
            <v>0</v>
          </cell>
        </row>
        <row r="2693">
          <cell r="B2693" t="str">
            <v>7.1.01.09.07</v>
          </cell>
          <cell r="C2693" t="str">
            <v>Pajak Reklame Apung-LO</v>
          </cell>
          <cell r="F2693">
            <v>0</v>
          </cell>
          <cell r="G2693">
            <v>0</v>
          </cell>
          <cell r="H2693">
            <v>0</v>
          </cell>
          <cell r="I2693">
            <v>0</v>
          </cell>
          <cell r="J2693">
            <v>0</v>
          </cell>
        </row>
        <row r="2694">
          <cell r="B2694" t="str">
            <v>7.1.01.09.08</v>
          </cell>
          <cell r="C2694" t="str">
            <v>Pajak Reklame Suara-LO</v>
          </cell>
          <cell r="F2694">
            <v>0</v>
          </cell>
          <cell r="G2694">
            <v>0</v>
          </cell>
          <cell r="H2694">
            <v>0</v>
          </cell>
          <cell r="I2694">
            <v>0</v>
          </cell>
          <cell r="J2694">
            <v>0</v>
          </cell>
        </row>
        <row r="2695">
          <cell r="B2695" t="str">
            <v>7.1.01.09.09</v>
          </cell>
          <cell r="C2695" t="str">
            <v>Pajak Reklame Film/Slide-LO</v>
          </cell>
          <cell r="F2695">
            <v>0</v>
          </cell>
          <cell r="G2695">
            <v>0</v>
          </cell>
          <cell r="H2695">
            <v>0</v>
          </cell>
          <cell r="I2695">
            <v>0</v>
          </cell>
          <cell r="J2695">
            <v>0</v>
          </cell>
        </row>
        <row r="2696">
          <cell r="B2696" t="str">
            <v>7.1.01.09.10</v>
          </cell>
          <cell r="C2696" t="str">
            <v>Pajak Reklame Peragaan-LO</v>
          </cell>
          <cell r="F2696">
            <v>0</v>
          </cell>
          <cell r="G2696">
            <v>0</v>
          </cell>
          <cell r="H2696">
            <v>0</v>
          </cell>
          <cell r="I2696">
            <v>0</v>
          </cell>
          <cell r="J2696">
            <v>0</v>
          </cell>
        </row>
        <row r="2697">
          <cell r="B2697" t="str">
            <v>7.1.01.10</v>
          </cell>
          <cell r="C2697" t="str">
            <v>Pajak Penerangan Jalan-LO</v>
          </cell>
          <cell r="D2697">
            <v>10488589253</v>
          </cell>
          <cell r="E2697">
            <v>0</v>
          </cell>
          <cell r="J2697">
            <v>0</v>
          </cell>
        </row>
        <row r="2698">
          <cell r="B2698" t="str">
            <v>7.1.01.10.01</v>
          </cell>
          <cell r="C2698" t="str">
            <v>Pajak Penerangan Jalan Dihasilkan Sendiri-LO</v>
          </cell>
          <cell r="F2698">
            <v>0</v>
          </cell>
          <cell r="G2698">
            <v>0</v>
          </cell>
          <cell r="H2698">
            <v>0</v>
          </cell>
          <cell r="I2698">
            <v>0</v>
          </cell>
          <cell r="J2698">
            <v>0</v>
          </cell>
        </row>
        <row r="2699">
          <cell r="B2699" t="str">
            <v>7.1.01.10.02</v>
          </cell>
          <cell r="C2699" t="str">
            <v>Pajak Penerangan Jalan Sumber Lain-LO</v>
          </cell>
          <cell r="D2699">
            <v>10488589253</v>
          </cell>
          <cell r="F2699">
            <v>0</v>
          </cell>
          <cell r="G2699">
            <v>0</v>
          </cell>
          <cell r="H2699">
            <v>0</v>
          </cell>
          <cell r="I2699">
            <v>0</v>
          </cell>
          <cell r="J2699">
            <v>0</v>
          </cell>
        </row>
        <row r="2700">
          <cell r="B2700" t="str">
            <v>7.1.01.11</v>
          </cell>
          <cell r="C2700" t="str">
            <v>Pajak Parkir-LO</v>
          </cell>
          <cell r="D2700">
            <v>43049600</v>
          </cell>
          <cell r="E2700">
            <v>0</v>
          </cell>
          <cell r="J2700">
            <v>0</v>
          </cell>
        </row>
        <row r="2701">
          <cell r="B2701" t="str">
            <v>7.1.01.11.01</v>
          </cell>
          <cell r="C2701" t="str">
            <v>Pajak Parkir-LO</v>
          </cell>
          <cell r="D2701">
            <v>43049600</v>
          </cell>
          <cell r="F2701">
            <v>0</v>
          </cell>
          <cell r="G2701">
            <v>0</v>
          </cell>
          <cell r="H2701">
            <v>0</v>
          </cell>
          <cell r="I2701">
            <v>0</v>
          </cell>
          <cell r="J2701">
            <v>0</v>
          </cell>
        </row>
        <row r="2702">
          <cell r="B2702" t="str">
            <v>7.1.01.12</v>
          </cell>
          <cell r="C2702" t="str">
            <v>Pajak Air Tanah-LO</v>
          </cell>
          <cell r="D2702">
            <v>59580000</v>
          </cell>
          <cell r="E2702">
            <v>59980000</v>
          </cell>
          <cell r="J2702">
            <v>59980000</v>
          </cell>
        </row>
        <row r="2703">
          <cell r="B2703" t="str">
            <v>7.1.01.12.01</v>
          </cell>
          <cell r="C2703" t="str">
            <v>Pajak Air Tanah-LO</v>
          </cell>
          <cell r="D2703">
            <v>59580000</v>
          </cell>
          <cell r="E2703">
            <v>59980000</v>
          </cell>
          <cell r="F2703">
            <v>0</v>
          </cell>
          <cell r="G2703">
            <v>0</v>
          </cell>
          <cell r="H2703">
            <v>0</v>
          </cell>
          <cell r="I2703">
            <v>0</v>
          </cell>
          <cell r="J2703">
            <v>59980000</v>
          </cell>
        </row>
        <row r="2704">
          <cell r="B2704" t="str">
            <v>7.1.01.13</v>
          </cell>
          <cell r="C2704" t="str">
            <v>Pajak Sarang Burung Walet-LO</v>
          </cell>
          <cell r="D2704">
            <v>3524000</v>
          </cell>
          <cell r="E2704">
            <v>6590000</v>
          </cell>
          <cell r="J2704">
            <v>6590000</v>
          </cell>
        </row>
        <row r="2705">
          <cell r="B2705" t="str">
            <v>7.1.01.13.01</v>
          </cell>
          <cell r="C2705" t="str">
            <v>Pajak Sarang Burung Walet-LO</v>
          </cell>
          <cell r="D2705">
            <v>3524000</v>
          </cell>
          <cell r="E2705">
            <v>6590000</v>
          </cell>
          <cell r="F2705">
            <v>0</v>
          </cell>
          <cell r="G2705">
            <v>0</v>
          </cell>
          <cell r="H2705">
            <v>0</v>
          </cell>
          <cell r="I2705">
            <v>0</v>
          </cell>
          <cell r="J2705">
            <v>6590000</v>
          </cell>
        </row>
        <row r="2706">
          <cell r="B2706" t="str">
            <v>7.1.01.14</v>
          </cell>
          <cell r="C2706" t="str">
            <v>Pajak Mineral Bukan Logam dan Batuan-LO</v>
          </cell>
          <cell r="D2706">
            <v>267723000</v>
          </cell>
          <cell r="E2706">
            <v>291405070.13999999</v>
          </cell>
          <cell r="J2706">
            <v>291405070.13999999</v>
          </cell>
        </row>
        <row r="2707">
          <cell r="B2707" t="str">
            <v>7.1.01.14.01</v>
          </cell>
          <cell r="C2707" t="str">
            <v>Pajak Asbes-LO</v>
          </cell>
          <cell r="F2707">
            <v>0</v>
          </cell>
          <cell r="G2707">
            <v>0</v>
          </cell>
          <cell r="H2707">
            <v>0</v>
          </cell>
          <cell r="I2707">
            <v>0</v>
          </cell>
          <cell r="J2707">
            <v>0</v>
          </cell>
        </row>
        <row r="2708">
          <cell r="B2708" t="str">
            <v>7.1.01.14.02</v>
          </cell>
          <cell r="C2708" t="str">
            <v>Pajak Batu Tulis-LO</v>
          </cell>
          <cell r="F2708">
            <v>0</v>
          </cell>
          <cell r="G2708">
            <v>0</v>
          </cell>
          <cell r="H2708">
            <v>0</v>
          </cell>
          <cell r="I2708">
            <v>0</v>
          </cell>
          <cell r="J2708">
            <v>0</v>
          </cell>
        </row>
        <row r="2709">
          <cell r="B2709" t="str">
            <v>7.1.01.14.03</v>
          </cell>
          <cell r="C2709" t="str">
            <v>Pajak Batu Setengah Permata-LO</v>
          </cell>
          <cell r="F2709">
            <v>0</v>
          </cell>
          <cell r="G2709">
            <v>0</v>
          </cell>
          <cell r="H2709">
            <v>0</v>
          </cell>
          <cell r="I2709">
            <v>0</v>
          </cell>
          <cell r="J2709">
            <v>0</v>
          </cell>
        </row>
        <row r="2710">
          <cell r="B2710" t="str">
            <v>7.1.01.14.04</v>
          </cell>
          <cell r="C2710" t="str">
            <v>Pajak Batu Kapur-LO</v>
          </cell>
          <cell r="F2710">
            <v>0</v>
          </cell>
          <cell r="G2710">
            <v>0</v>
          </cell>
          <cell r="H2710">
            <v>0</v>
          </cell>
          <cell r="I2710">
            <v>0</v>
          </cell>
          <cell r="J2710">
            <v>0</v>
          </cell>
        </row>
        <row r="2711">
          <cell r="B2711" t="str">
            <v>7.1.01.14.05</v>
          </cell>
          <cell r="C2711" t="str">
            <v>Pajak Batu Apung-LO</v>
          </cell>
          <cell r="F2711">
            <v>0</v>
          </cell>
          <cell r="G2711">
            <v>0</v>
          </cell>
          <cell r="H2711">
            <v>0</v>
          </cell>
          <cell r="I2711">
            <v>0</v>
          </cell>
          <cell r="J2711">
            <v>0</v>
          </cell>
        </row>
        <row r="2712">
          <cell r="B2712" t="str">
            <v>7.1.01.14.06</v>
          </cell>
          <cell r="C2712" t="str">
            <v>Pajak Batu Permata-LO</v>
          </cell>
          <cell r="F2712">
            <v>0</v>
          </cell>
          <cell r="G2712">
            <v>0</v>
          </cell>
          <cell r="H2712">
            <v>0</v>
          </cell>
          <cell r="I2712">
            <v>0</v>
          </cell>
          <cell r="J2712">
            <v>0</v>
          </cell>
        </row>
        <row r="2713">
          <cell r="B2713" t="str">
            <v>7.1.01.14.07</v>
          </cell>
          <cell r="C2713" t="str">
            <v>Pajak Bentonit-LO</v>
          </cell>
          <cell r="F2713">
            <v>0</v>
          </cell>
          <cell r="G2713">
            <v>0</v>
          </cell>
          <cell r="H2713">
            <v>0</v>
          </cell>
          <cell r="I2713">
            <v>0</v>
          </cell>
          <cell r="J2713">
            <v>0</v>
          </cell>
        </row>
        <row r="2714">
          <cell r="B2714" t="str">
            <v>7.1.01.14.08</v>
          </cell>
          <cell r="C2714" t="str">
            <v>Pajak Dolomit-LO</v>
          </cell>
          <cell r="F2714">
            <v>0</v>
          </cell>
          <cell r="G2714">
            <v>0</v>
          </cell>
          <cell r="H2714">
            <v>0</v>
          </cell>
          <cell r="I2714">
            <v>0</v>
          </cell>
          <cell r="J2714">
            <v>0</v>
          </cell>
        </row>
        <row r="2715">
          <cell r="B2715" t="str">
            <v>7.1.01.14.09</v>
          </cell>
          <cell r="C2715" t="str">
            <v>Pajak Felspar-LO</v>
          </cell>
          <cell r="F2715">
            <v>0</v>
          </cell>
          <cell r="G2715">
            <v>0</v>
          </cell>
          <cell r="H2715">
            <v>0</v>
          </cell>
          <cell r="I2715">
            <v>0</v>
          </cell>
          <cell r="J2715">
            <v>0</v>
          </cell>
        </row>
        <row r="2716">
          <cell r="B2716" t="str">
            <v>7.1.01.14.10</v>
          </cell>
          <cell r="C2716" t="str">
            <v>Pajak Garam Batu (Halite)-LO</v>
          </cell>
          <cell r="F2716">
            <v>0</v>
          </cell>
          <cell r="G2716">
            <v>0</v>
          </cell>
          <cell r="H2716">
            <v>0</v>
          </cell>
          <cell r="I2716">
            <v>0</v>
          </cell>
          <cell r="J2716">
            <v>0</v>
          </cell>
        </row>
        <row r="2717">
          <cell r="B2717" t="str">
            <v>7.1.01.14.11</v>
          </cell>
          <cell r="C2717" t="str">
            <v>Pajak Grafit-LO</v>
          </cell>
          <cell r="F2717">
            <v>0</v>
          </cell>
          <cell r="G2717">
            <v>0</v>
          </cell>
          <cell r="H2717">
            <v>0</v>
          </cell>
          <cell r="I2717">
            <v>0</v>
          </cell>
          <cell r="J2717">
            <v>0</v>
          </cell>
        </row>
        <row r="2718">
          <cell r="B2718" t="str">
            <v>7.1.01.14.12</v>
          </cell>
          <cell r="C2718" t="str">
            <v>Pajak Granit/Andesit-LO</v>
          </cell>
          <cell r="F2718">
            <v>0</v>
          </cell>
          <cell r="G2718">
            <v>0</v>
          </cell>
          <cell r="H2718">
            <v>0</v>
          </cell>
          <cell r="I2718">
            <v>0</v>
          </cell>
          <cell r="J2718">
            <v>0</v>
          </cell>
        </row>
        <row r="2719">
          <cell r="B2719" t="str">
            <v>7.1.01.14.13</v>
          </cell>
          <cell r="C2719" t="str">
            <v>Pajak Gips-LO</v>
          </cell>
          <cell r="F2719">
            <v>0</v>
          </cell>
          <cell r="G2719">
            <v>0</v>
          </cell>
          <cell r="H2719">
            <v>0</v>
          </cell>
          <cell r="I2719">
            <v>0</v>
          </cell>
          <cell r="J2719">
            <v>0</v>
          </cell>
        </row>
        <row r="2720">
          <cell r="B2720" t="str">
            <v>7.1.01.14.14</v>
          </cell>
          <cell r="C2720" t="str">
            <v>Pajak Kalsit-LO</v>
          </cell>
          <cell r="F2720">
            <v>0</v>
          </cell>
          <cell r="G2720">
            <v>0</v>
          </cell>
          <cell r="H2720">
            <v>0</v>
          </cell>
          <cell r="I2720">
            <v>0</v>
          </cell>
          <cell r="J2720">
            <v>0</v>
          </cell>
        </row>
        <row r="2721">
          <cell r="B2721" t="str">
            <v>7.1.01.14.15</v>
          </cell>
          <cell r="C2721" t="str">
            <v>Pajak Kaolin-LO</v>
          </cell>
          <cell r="F2721">
            <v>0</v>
          </cell>
          <cell r="G2721">
            <v>0</v>
          </cell>
          <cell r="H2721">
            <v>0</v>
          </cell>
          <cell r="I2721">
            <v>0</v>
          </cell>
          <cell r="J2721">
            <v>0</v>
          </cell>
        </row>
        <row r="2722">
          <cell r="B2722" t="str">
            <v>7.1.01.14.16</v>
          </cell>
          <cell r="C2722" t="str">
            <v>Pajak Leusit-LO</v>
          </cell>
          <cell r="F2722">
            <v>0</v>
          </cell>
          <cell r="G2722">
            <v>0</v>
          </cell>
          <cell r="H2722">
            <v>0</v>
          </cell>
          <cell r="I2722">
            <v>0</v>
          </cell>
          <cell r="J2722">
            <v>0</v>
          </cell>
        </row>
        <row r="2723">
          <cell r="B2723" t="str">
            <v>7.1.01.14.17</v>
          </cell>
          <cell r="C2723" t="str">
            <v>Pajak Magnesit-LO</v>
          </cell>
          <cell r="F2723">
            <v>0</v>
          </cell>
          <cell r="G2723">
            <v>0</v>
          </cell>
          <cell r="H2723">
            <v>0</v>
          </cell>
          <cell r="I2723">
            <v>0</v>
          </cell>
          <cell r="J2723">
            <v>0</v>
          </cell>
        </row>
        <row r="2724">
          <cell r="B2724" t="str">
            <v>7.1.01.14.18</v>
          </cell>
          <cell r="C2724" t="str">
            <v>Pajak Mika-LO</v>
          </cell>
          <cell r="F2724">
            <v>0</v>
          </cell>
          <cell r="G2724">
            <v>0</v>
          </cell>
          <cell r="H2724">
            <v>0</v>
          </cell>
          <cell r="I2724">
            <v>0</v>
          </cell>
          <cell r="J2724">
            <v>0</v>
          </cell>
        </row>
        <row r="2725">
          <cell r="B2725" t="str">
            <v>7.1.01.14.19</v>
          </cell>
          <cell r="C2725" t="str">
            <v>Pajak Marmer-LO</v>
          </cell>
          <cell r="F2725">
            <v>0</v>
          </cell>
          <cell r="G2725">
            <v>0</v>
          </cell>
          <cell r="H2725">
            <v>0</v>
          </cell>
          <cell r="I2725">
            <v>0</v>
          </cell>
          <cell r="J2725">
            <v>0</v>
          </cell>
        </row>
        <row r="2726">
          <cell r="B2726" t="str">
            <v>7.1.01.14.20</v>
          </cell>
          <cell r="C2726" t="str">
            <v>Pajak Nitrat-LO</v>
          </cell>
          <cell r="F2726">
            <v>0</v>
          </cell>
          <cell r="G2726">
            <v>0</v>
          </cell>
          <cell r="H2726">
            <v>0</v>
          </cell>
          <cell r="I2726">
            <v>0</v>
          </cell>
          <cell r="J2726">
            <v>0</v>
          </cell>
        </row>
        <row r="2727">
          <cell r="B2727" t="str">
            <v>7.1.01.14.21</v>
          </cell>
          <cell r="C2727" t="str">
            <v>Pajak Opsidien-LO</v>
          </cell>
          <cell r="F2727">
            <v>0</v>
          </cell>
          <cell r="G2727">
            <v>0</v>
          </cell>
          <cell r="H2727">
            <v>0</v>
          </cell>
          <cell r="I2727">
            <v>0</v>
          </cell>
          <cell r="J2727">
            <v>0</v>
          </cell>
        </row>
        <row r="2728">
          <cell r="B2728" t="str">
            <v>7.1.01.14.22</v>
          </cell>
          <cell r="C2728" t="str">
            <v>Pajak Oker-LO</v>
          </cell>
          <cell r="F2728">
            <v>0</v>
          </cell>
          <cell r="G2728">
            <v>0</v>
          </cell>
          <cell r="H2728">
            <v>0</v>
          </cell>
          <cell r="I2728">
            <v>0</v>
          </cell>
          <cell r="J2728">
            <v>0</v>
          </cell>
        </row>
        <row r="2729">
          <cell r="B2729" t="str">
            <v>7.1.01.14.23</v>
          </cell>
          <cell r="C2729" t="str">
            <v>Pajak Pasir dan Kerikil-LO</v>
          </cell>
          <cell r="D2729">
            <v>94443000</v>
          </cell>
          <cell r="E2729">
            <v>137875209.5</v>
          </cell>
          <cell r="F2729">
            <v>0</v>
          </cell>
          <cell r="G2729">
            <v>0</v>
          </cell>
          <cell r="H2729">
            <v>0</v>
          </cell>
          <cell r="I2729">
            <v>0</v>
          </cell>
          <cell r="J2729">
            <v>137875209.5</v>
          </cell>
        </row>
        <row r="2730">
          <cell r="B2730" t="str">
            <v>7.1.01.14.24</v>
          </cell>
          <cell r="C2730" t="str">
            <v>Pajak Pasir Kuarsa-LO</v>
          </cell>
          <cell r="F2730">
            <v>0</v>
          </cell>
          <cell r="G2730">
            <v>0</v>
          </cell>
          <cell r="H2730">
            <v>0</v>
          </cell>
          <cell r="I2730">
            <v>0</v>
          </cell>
          <cell r="J2730">
            <v>0</v>
          </cell>
        </row>
        <row r="2731">
          <cell r="B2731" t="str">
            <v>7.1.01.14.25</v>
          </cell>
          <cell r="C2731" t="str">
            <v>Pajak Perlit-LO</v>
          </cell>
          <cell r="F2731">
            <v>0</v>
          </cell>
          <cell r="G2731">
            <v>0</v>
          </cell>
          <cell r="H2731">
            <v>0</v>
          </cell>
          <cell r="I2731">
            <v>0</v>
          </cell>
          <cell r="J2731">
            <v>0</v>
          </cell>
        </row>
        <row r="2732">
          <cell r="B2732" t="str">
            <v>7.1.01.14.26</v>
          </cell>
          <cell r="C2732" t="str">
            <v>Pajak Phospat-LO</v>
          </cell>
          <cell r="F2732">
            <v>0</v>
          </cell>
          <cell r="G2732">
            <v>0</v>
          </cell>
          <cell r="H2732">
            <v>0</v>
          </cell>
          <cell r="I2732">
            <v>0</v>
          </cell>
          <cell r="J2732">
            <v>0</v>
          </cell>
        </row>
        <row r="2733">
          <cell r="B2733" t="str">
            <v>7.1.01.14.27</v>
          </cell>
          <cell r="C2733" t="str">
            <v>Pajak Talk-LO</v>
          </cell>
          <cell r="F2733">
            <v>0</v>
          </cell>
          <cell r="G2733">
            <v>0</v>
          </cell>
          <cell r="H2733">
            <v>0</v>
          </cell>
          <cell r="I2733">
            <v>0</v>
          </cell>
          <cell r="J2733">
            <v>0</v>
          </cell>
        </row>
        <row r="2734">
          <cell r="B2734" t="str">
            <v>7.1.01.14.28</v>
          </cell>
          <cell r="C2734" t="str">
            <v>Pajak Tanah Serap (Fullers Earth)-LO</v>
          </cell>
          <cell r="F2734">
            <v>0</v>
          </cell>
          <cell r="G2734">
            <v>0</v>
          </cell>
          <cell r="H2734">
            <v>0</v>
          </cell>
          <cell r="I2734">
            <v>0</v>
          </cell>
          <cell r="J2734">
            <v>0</v>
          </cell>
        </row>
        <row r="2735">
          <cell r="B2735" t="str">
            <v>7.1.01.14.29</v>
          </cell>
          <cell r="C2735" t="str">
            <v>Pajak Tanah Diatome-LO</v>
          </cell>
          <cell r="F2735">
            <v>0</v>
          </cell>
          <cell r="G2735">
            <v>0</v>
          </cell>
          <cell r="H2735">
            <v>0</v>
          </cell>
          <cell r="I2735">
            <v>0</v>
          </cell>
          <cell r="J2735">
            <v>0</v>
          </cell>
        </row>
        <row r="2736">
          <cell r="B2736" t="str">
            <v>7.1.01.14.30</v>
          </cell>
          <cell r="C2736" t="str">
            <v>Pajak Tanah Liat-LO</v>
          </cell>
          <cell r="D2736">
            <v>50639000</v>
          </cell>
          <cell r="E2736">
            <v>69655288.640000001</v>
          </cell>
          <cell r="F2736">
            <v>0</v>
          </cell>
          <cell r="G2736">
            <v>0</v>
          </cell>
          <cell r="H2736">
            <v>0</v>
          </cell>
          <cell r="I2736">
            <v>0</v>
          </cell>
          <cell r="J2736">
            <v>69655288.640000001</v>
          </cell>
        </row>
        <row r="2737">
          <cell r="B2737" t="str">
            <v>7.1.01.14.31</v>
          </cell>
          <cell r="C2737" t="str">
            <v>Pajak Tawas (Alum)-LO</v>
          </cell>
          <cell r="F2737">
            <v>0</v>
          </cell>
          <cell r="G2737">
            <v>0</v>
          </cell>
          <cell r="H2737">
            <v>0</v>
          </cell>
          <cell r="I2737">
            <v>0</v>
          </cell>
          <cell r="J2737">
            <v>0</v>
          </cell>
        </row>
        <row r="2738">
          <cell r="B2738" t="str">
            <v>7.1.01.14.32</v>
          </cell>
          <cell r="C2738" t="str">
            <v>Pajak Tras-LO</v>
          </cell>
          <cell r="F2738">
            <v>0</v>
          </cell>
          <cell r="G2738">
            <v>0</v>
          </cell>
          <cell r="H2738">
            <v>0</v>
          </cell>
          <cell r="I2738">
            <v>0</v>
          </cell>
          <cell r="J2738">
            <v>0</v>
          </cell>
        </row>
        <row r="2739">
          <cell r="B2739" t="str">
            <v>7.1.01.14.33</v>
          </cell>
          <cell r="C2739" t="str">
            <v>Pajak Yarosif-LO</v>
          </cell>
          <cell r="F2739">
            <v>0</v>
          </cell>
          <cell r="G2739">
            <v>0</v>
          </cell>
          <cell r="H2739">
            <v>0</v>
          </cell>
          <cell r="I2739">
            <v>0</v>
          </cell>
          <cell r="J2739">
            <v>0</v>
          </cell>
        </row>
        <row r="2740">
          <cell r="B2740" t="str">
            <v>7.1.01.14.34</v>
          </cell>
          <cell r="C2740" t="str">
            <v>Pajak Zeolit-LO</v>
          </cell>
          <cell r="F2740">
            <v>0</v>
          </cell>
          <cell r="G2740">
            <v>0</v>
          </cell>
          <cell r="H2740">
            <v>0</v>
          </cell>
          <cell r="I2740">
            <v>0</v>
          </cell>
          <cell r="J2740">
            <v>0</v>
          </cell>
        </row>
        <row r="2741">
          <cell r="B2741" t="str">
            <v>7.1.01.14.35</v>
          </cell>
          <cell r="C2741" t="str">
            <v>Pajak Basal-LO</v>
          </cell>
          <cell r="F2741">
            <v>0</v>
          </cell>
          <cell r="G2741">
            <v>0</v>
          </cell>
          <cell r="H2741">
            <v>0</v>
          </cell>
          <cell r="I2741">
            <v>0</v>
          </cell>
          <cell r="J2741">
            <v>0</v>
          </cell>
        </row>
        <row r="2742">
          <cell r="B2742" t="str">
            <v>7.1.01.14.36</v>
          </cell>
          <cell r="C2742" t="str">
            <v>Pajak Trakit-LO</v>
          </cell>
          <cell r="F2742">
            <v>0</v>
          </cell>
          <cell r="G2742">
            <v>0</v>
          </cell>
          <cell r="H2742">
            <v>0</v>
          </cell>
          <cell r="I2742">
            <v>0</v>
          </cell>
          <cell r="J2742">
            <v>0</v>
          </cell>
        </row>
        <row r="2743">
          <cell r="B2743" t="str">
            <v>7.1.01.14.37</v>
          </cell>
          <cell r="C2743" t="str">
            <v>Pajak Mineral bukan Logam dan Batuan Lainnya-LO</v>
          </cell>
          <cell r="D2743">
            <v>122641000</v>
          </cell>
          <cell r="E2743">
            <v>83874572</v>
          </cell>
          <cell r="F2743">
            <v>0</v>
          </cell>
          <cell r="G2743">
            <v>0</v>
          </cell>
          <cell r="H2743">
            <v>0</v>
          </cell>
          <cell r="I2743">
            <v>0</v>
          </cell>
          <cell r="J2743">
            <v>83874572</v>
          </cell>
        </row>
        <row r="2744">
          <cell r="B2744" t="str">
            <v>7.1.01.14.38</v>
          </cell>
          <cell r="C2744" t="str">
            <v>Pajak Belerang-LO</v>
          </cell>
          <cell r="F2744">
            <v>0</v>
          </cell>
          <cell r="G2744">
            <v>0</v>
          </cell>
          <cell r="H2744">
            <v>0</v>
          </cell>
          <cell r="I2744">
            <v>0</v>
          </cell>
          <cell r="J2744">
            <v>0</v>
          </cell>
        </row>
        <row r="2745">
          <cell r="B2745" t="str">
            <v>7.1.01.14.39</v>
          </cell>
          <cell r="C2745" t="str">
            <v>Pajak MBLB Ikutan Dalam Suatu Pertambangan Mineral-LO</v>
          </cell>
          <cell r="F2745">
            <v>0</v>
          </cell>
          <cell r="G2745">
            <v>0</v>
          </cell>
          <cell r="H2745">
            <v>0</v>
          </cell>
          <cell r="I2745">
            <v>0</v>
          </cell>
          <cell r="J2745">
            <v>0</v>
          </cell>
        </row>
        <row r="2746">
          <cell r="B2746" t="str">
            <v>7.1.01.15</v>
          </cell>
          <cell r="C2746" t="str">
            <v>Pajak Bumi dan Bangunan Perdesaan dan Perkotaan (PBBP2)-LO</v>
          </cell>
          <cell r="D2746">
            <v>4405310063</v>
          </cell>
          <cell r="E2746">
            <v>4413768123</v>
          </cell>
          <cell r="J2746">
            <v>4413768123</v>
          </cell>
        </row>
        <row r="2747">
          <cell r="B2747" t="str">
            <v>7.1.01.15.01</v>
          </cell>
          <cell r="C2747" t="str">
            <v>PBBP2-LO</v>
          </cell>
          <cell r="D2747">
            <v>4405310063</v>
          </cell>
          <cell r="E2747">
            <v>4413768123</v>
          </cell>
          <cell r="F2747">
            <v>0</v>
          </cell>
          <cell r="G2747">
            <v>0</v>
          </cell>
          <cell r="H2747">
            <v>0</v>
          </cell>
          <cell r="I2747">
            <v>0</v>
          </cell>
          <cell r="J2747">
            <v>4413768123</v>
          </cell>
        </row>
        <row r="2748">
          <cell r="B2748" t="str">
            <v>7.1.01.16</v>
          </cell>
          <cell r="C2748" t="str">
            <v>Bea Perolehan Hak Atas Tanah dan Bangunan (BPHTB)-LO</v>
          </cell>
          <cell r="D2748">
            <v>987888550</v>
          </cell>
          <cell r="E2748">
            <v>1666548400</v>
          </cell>
          <cell r="J2748">
            <v>1666548400</v>
          </cell>
        </row>
        <row r="2749">
          <cell r="B2749" t="str">
            <v>7.1.01.16.01</v>
          </cell>
          <cell r="C2749" t="str">
            <v>BPHTB-Pemindahan Hak-LO</v>
          </cell>
          <cell r="D2749">
            <v>987888550</v>
          </cell>
          <cell r="E2749">
            <v>1666548400</v>
          </cell>
          <cell r="F2749">
            <v>0</v>
          </cell>
          <cell r="G2749">
            <v>0</v>
          </cell>
          <cell r="H2749">
            <v>0</v>
          </cell>
          <cell r="I2749">
            <v>0</v>
          </cell>
          <cell r="J2749">
            <v>1666548400</v>
          </cell>
        </row>
        <row r="2750">
          <cell r="B2750" t="str">
            <v>7.1.01.16.02</v>
          </cell>
          <cell r="C2750" t="str">
            <v>BPHTB-Pemberian Hak Baru-LO</v>
          </cell>
          <cell r="F2750">
            <v>0</v>
          </cell>
          <cell r="G2750">
            <v>0</v>
          </cell>
          <cell r="H2750">
            <v>0</v>
          </cell>
          <cell r="I2750">
            <v>0</v>
          </cell>
          <cell r="J2750">
            <v>0</v>
          </cell>
        </row>
        <row r="2751">
          <cell r="B2751" t="str">
            <v>7.1.01.17</v>
          </cell>
          <cell r="C2751" t="str">
            <v>Pajak Alat Berat-LO</v>
          </cell>
          <cell r="D2751">
            <v>0</v>
          </cell>
          <cell r="E2751">
            <v>0</v>
          </cell>
          <cell r="J2751">
            <v>0</v>
          </cell>
        </row>
        <row r="2752">
          <cell r="B2752" t="str">
            <v>7.1.01.17.01</v>
          </cell>
          <cell r="C2752" t="str">
            <v>Pajak Alat Berat-LO</v>
          </cell>
          <cell r="F2752">
            <v>0</v>
          </cell>
          <cell r="G2752">
            <v>0</v>
          </cell>
          <cell r="H2752">
            <v>0</v>
          </cell>
          <cell r="I2752">
            <v>0</v>
          </cell>
          <cell r="J2752">
            <v>0</v>
          </cell>
        </row>
        <row r="2753">
          <cell r="B2753" t="str">
            <v>7.1.01.18</v>
          </cell>
          <cell r="C2753" t="str">
            <v>Opsen Pajak Mineral Bukan Logam dan Batuan (MBLB)-LO</v>
          </cell>
          <cell r="D2753">
            <v>0</v>
          </cell>
          <cell r="E2753">
            <v>0</v>
          </cell>
          <cell r="J2753">
            <v>0</v>
          </cell>
        </row>
        <row r="2754">
          <cell r="B2754" t="str">
            <v>7.1.01.18.01</v>
          </cell>
          <cell r="C2754" t="str">
            <v>Opsen Pajak Mineral Bukan Logam dan Batuan (MBLB)-LO</v>
          </cell>
          <cell r="F2754">
            <v>0</v>
          </cell>
          <cell r="G2754">
            <v>0</v>
          </cell>
          <cell r="H2754">
            <v>0</v>
          </cell>
          <cell r="I2754">
            <v>0</v>
          </cell>
          <cell r="J2754">
            <v>0</v>
          </cell>
        </row>
        <row r="2755">
          <cell r="B2755" t="str">
            <v>7.1.01.19</v>
          </cell>
          <cell r="C2755" t="str">
            <v>Pajak Barang dan Jasa Tertentu (PBJT)-LO</v>
          </cell>
          <cell r="D2755">
            <v>0</v>
          </cell>
          <cell r="E2755">
            <v>15872848916.17</v>
          </cell>
          <cell r="J2755">
            <v>14440059561.77</v>
          </cell>
        </row>
        <row r="2756">
          <cell r="B2756" t="str">
            <v>7.1.01.19.01</v>
          </cell>
          <cell r="C2756" t="str">
            <v>PBJT-Makanan dan/atau Minuman-LO</v>
          </cell>
          <cell r="E2756">
            <v>326390517</v>
          </cell>
          <cell r="F2756">
            <v>18300760</v>
          </cell>
          <cell r="G2756">
            <v>0</v>
          </cell>
          <cell r="H2756">
            <v>0</v>
          </cell>
          <cell r="I2756">
            <v>0</v>
          </cell>
          <cell r="J2756">
            <v>308089757</v>
          </cell>
        </row>
        <row r="2757">
          <cell r="B2757" t="str">
            <v>7.1.01.19.02</v>
          </cell>
          <cell r="C2757" t="str">
            <v>PBJT-Tenaga Listrik-LO</v>
          </cell>
          <cell r="E2757">
            <v>14239562931</v>
          </cell>
          <cell r="F2757">
            <v>1330548709</v>
          </cell>
          <cell r="G2757">
            <v>0</v>
          </cell>
          <cell r="H2757">
            <v>0</v>
          </cell>
          <cell r="I2757">
            <v>0</v>
          </cell>
          <cell r="J2757">
            <v>12909014222</v>
          </cell>
        </row>
        <row r="2758">
          <cell r="B2758" t="str">
            <v>7.1.01.19.03</v>
          </cell>
          <cell r="C2758" t="str">
            <v>PBJT-Jasa Perhotelan-LO</v>
          </cell>
          <cell r="E2758">
            <v>1253637068.1700001</v>
          </cell>
          <cell r="F2758">
            <v>83939885.400000006</v>
          </cell>
          <cell r="G2758">
            <v>0</v>
          </cell>
          <cell r="H2758">
            <v>0</v>
          </cell>
          <cell r="I2758">
            <v>0</v>
          </cell>
          <cell r="J2758">
            <v>1169697182.77</v>
          </cell>
        </row>
        <row r="2759">
          <cell r="B2759" t="str">
            <v>7.1.01.19.04</v>
          </cell>
          <cell r="C2759" t="str">
            <v>PBJT-Jasa Parkir-LO</v>
          </cell>
          <cell r="E2759">
            <v>49808400</v>
          </cell>
          <cell r="F2759">
            <v>0</v>
          </cell>
          <cell r="G2759">
            <v>0</v>
          </cell>
          <cell r="H2759">
            <v>0</v>
          </cell>
          <cell r="I2759">
            <v>0</v>
          </cell>
          <cell r="J2759">
            <v>49808400</v>
          </cell>
        </row>
        <row r="2760">
          <cell r="B2760" t="str">
            <v>7.1.01.19.05</v>
          </cell>
          <cell r="C2760" t="str">
            <v>PBJT-Jasa Kesenian dan Hiburan-LO</v>
          </cell>
          <cell r="E2760">
            <v>3450000</v>
          </cell>
          <cell r="F2760">
            <v>0</v>
          </cell>
          <cell r="G2760">
            <v>0</v>
          </cell>
          <cell r="H2760">
            <v>0</v>
          </cell>
          <cell r="I2760">
            <v>0</v>
          </cell>
          <cell r="J2760">
            <v>3450000</v>
          </cell>
        </row>
        <row r="2761">
          <cell r="B2761" t="str">
            <v>7.1.01.20</v>
          </cell>
          <cell r="C2761" t="str">
            <v>Opsen Pajak Kendaraan Bermotor (PKB)-LO</v>
          </cell>
          <cell r="D2761">
            <v>0</v>
          </cell>
          <cell r="E2761">
            <v>10546582807</v>
          </cell>
          <cell r="J2761">
            <v>10546582807</v>
          </cell>
        </row>
        <row r="2762">
          <cell r="B2762" t="str">
            <v>7.1.01.20.01</v>
          </cell>
          <cell r="C2762" t="str">
            <v>Opsen PKB-LO</v>
          </cell>
          <cell r="E2762">
            <v>10546582807</v>
          </cell>
          <cell r="F2762">
            <v>0</v>
          </cell>
          <cell r="G2762">
            <v>0</v>
          </cell>
          <cell r="H2762">
            <v>0</v>
          </cell>
          <cell r="I2762">
            <v>0</v>
          </cell>
          <cell r="J2762">
            <v>10546582807</v>
          </cell>
        </row>
        <row r="2763">
          <cell r="B2763" t="str">
            <v>7.1.01.21</v>
          </cell>
          <cell r="C2763" t="str">
            <v>Opsen Bea Balik Nama Kendaraan Bermotor (BBNKB)-LO</v>
          </cell>
          <cell r="D2763">
            <v>0</v>
          </cell>
          <cell r="E2763">
            <v>6224372892</v>
          </cell>
          <cell r="J2763">
            <v>6224372892</v>
          </cell>
        </row>
        <row r="2764">
          <cell r="B2764" t="str">
            <v>7.1.01.21.01</v>
          </cell>
          <cell r="C2764" t="str">
            <v>Opsen BBNKB-LO</v>
          </cell>
          <cell r="E2764">
            <v>6224372892</v>
          </cell>
          <cell r="F2764">
            <v>0</v>
          </cell>
          <cell r="G2764">
            <v>0</v>
          </cell>
          <cell r="H2764">
            <v>0</v>
          </cell>
          <cell r="I2764">
            <v>0</v>
          </cell>
          <cell r="J2764">
            <v>6224372892</v>
          </cell>
        </row>
        <row r="2766">
          <cell r="B2766" t="str">
            <v>7.1.02</v>
          </cell>
          <cell r="C2766" t="str">
            <v>Retribusi Daerah-LO</v>
          </cell>
          <cell r="D2766">
            <v>16620395583.91</v>
          </cell>
          <cell r="E2766">
            <v>156312254589.32001</v>
          </cell>
          <cell r="J2766">
            <v>20831870098.319992</v>
          </cell>
        </row>
        <row r="2767">
          <cell r="B2767" t="str">
            <v>7.1.02.01</v>
          </cell>
          <cell r="C2767" t="str">
            <v>Retribusi Jasa Umum-LO</v>
          </cell>
          <cell r="D2767">
            <v>8077757035</v>
          </cell>
          <cell r="E2767">
            <v>145792371421.89999</v>
          </cell>
          <cell r="J2767">
            <v>10312861930.899994</v>
          </cell>
        </row>
        <row r="2768">
          <cell r="B2768" t="str">
            <v>7.1.02.01.01</v>
          </cell>
          <cell r="C2768" t="str">
            <v>Retribusi Pelayanan Kesehatan-LO</v>
          </cell>
          <cell r="D2768">
            <v>6411719535</v>
          </cell>
          <cell r="E2768">
            <v>144163663421.89999</v>
          </cell>
          <cell r="F2768">
            <v>0</v>
          </cell>
          <cell r="G2768">
            <v>49162000</v>
          </cell>
          <cell r="H2768">
            <v>135629810491</v>
          </cell>
          <cell r="I2768">
            <v>0</v>
          </cell>
          <cell r="J2768">
            <v>8583014930.8999939</v>
          </cell>
        </row>
        <row r="2769">
          <cell r="B2769" t="str">
            <v>7.1.02.01.02</v>
          </cell>
          <cell r="C2769" t="str">
            <v>Retribusi Pelayanan Persampahan/Kebersihan-LO</v>
          </cell>
          <cell r="D2769">
            <v>181000000</v>
          </cell>
          <cell r="E2769">
            <v>191100000</v>
          </cell>
          <cell r="F2769">
            <v>0</v>
          </cell>
          <cell r="G2769">
            <v>0</v>
          </cell>
          <cell r="H2769">
            <v>0</v>
          </cell>
          <cell r="I2769">
            <v>0</v>
          </cell>
          <cell r="J2769">
            <v>191100000</v>
          </cell>
        </row>
        <row r="2770">
          <cell r="B2770" t="str">
            <v>7.1.02.01.03</v>
          </cell>
          <cell r="C2770" t="str">
            <v>Retribusi Pelayanan Pemakaman dan Pengabuan Mayat-LO</v>
          </cell>
          <cell r="F2770">
            <v>0</v>
          </cell>
          <cell r="G2770">
            <v>0</v>
          </cell>
          <cell r="H2770">
            <v>0</v>
          </cell>
          <cell r="I2770">
            <v>0</v>
          </cell>
          <cell r="J2770">
            <v>0</v>
          </cell>
        </row>
        <row r="2771">
          <cell r="B2771" t="str">
            <v>7.1.02.01.04</v>
          </cell>
          <cell r="C2771" t="str">
            <v>Retribusi Pelayanan Parkir di Tepi Jalan Umum-LO</v>
          </cell>
          <cell r="D2771">
            <v>30653000</v>
          </cell>
          <cell r="E2771">
            <v>37300000</v>
          </cell>
          <cell r="F2771">
            <v>0</v>
          </cell>
          <cell r="G2771">
            <v>0</v>
          </cell>
          <cell r="H2771">
            <v>0</v>
          </cell>
          <cell r="I2771">
            <v>0</v>
          </cell>
          <cell r="J2771">
            <v>37300000</v>
          </cell>
        </row>
        <row r="2772">
          <cell r="B2772" t="str">
            <v>7.1.02.01.05</v>
          </cell>
          <cell r="C2772" t="str">
            <v>Retribusi Pelayanan Pasar-LO</v>
          </cell>
          <cell r="D2772">
            <v>1454384500</v>
          </cell>
          <cell r="E2772">
            <v>1400308000</v>
          </cell>
          <cell r="F2772">
            <v>0</v>
          </cell>
          <cell r="G2772">
            <v>101139000</v>
          </cell>
          <cell r="H2772">
            <v>0</v>
          </cell>
          <cell r="I2772">
            <v>0</v>
          </cell>
          <cell r="J2772">
            <v>1501447000</v>
          </cell>
        </row>
        <row r="2773">
          <cell r="B2773" t="str">
            <v>7.1.02.01.06</v>
          </cell>
          <cell r="C2773" t="str">
            <v>Retribusi Pengujian Kendaraan Bermotor-LO</v>
          </cell>
          <cell r="F2773">
            <v>0</v>
          </cell>
          <cell r="G2773">
            <v>0</v>
          </cell>
          <cell r="H2773">
            <v>0</v>
          </cell>
          <cell r="I2773">
            <v>0</v>
          </cell>
          <cell r="J2773">
            <v>0</v>
          </cell>
        </row>
        <row r="2774">
          <cell r="B2774" t="str">
            <v>7.1.02.01.07</v>
          </cell>
          <cell r="C2774" t="str">
            <v>Retribusi Pemeriksaan Alat Pemadam Kebakaran-LO</v>
          </cell>
          <cell r="F2774">
            <v>0</v>
          </cell>
          <cell r="G2774">
            <v>0</v>
          </cell>
          <cell r="H2774">
            <v>0</v>
          </cell>
          <cell r="I2774">
            <v>0</v>
          </cell>
          <cell r="J2774">
            <v>0</v>
          </cell>
        </row>
        <row r="2775">
          <cell r="B2775" t="str">
            <v>7.1.02.01.08</v>
          </cell>
          <cell r="C2775" t="str">
            <v>Retribusi Penggantian Biaya Cetak Peta-LO</v>
          </cell>
          <cell r="F2775">
            <v>0</v>
          </cell>
          <cell r="G2775">
            <v>0</v>
          </cell>
          <cell r="H2775">
            <v>0</v>
          </cell>
          <cell r="I2775">
            <v>0</v>
          </cell>
          <cell r="J2775">
            <v>0</v>
          </cell>
        </row>
        <row r="2776">
          <cell r="B2776" t="str">
            <v>7.1.02.01.09</v>
          </cell>
          <cell r="C2776" t="str">
            <v>Retribusi Penyediaan dan/atau Penyedotan Kakus-LO</v>
          </cell>
          <cell r="F2776">
            <v>0</v>
          </cell>
          <cell r="G2776">
            <v>0</v>
          </cell>
          <cell r="H2776">
            <v>0</v>
          </cell>
          <cell r="I2776">
            <v>0</v>
          </cell>
          <cell r="J2776">
            <v>0</v>
          </cell>
        </row>
        <row r="2777">
          <cell r="B2777" t="str">
            <v>7.1.02.01.10</v>
          </cell>
          <cell r="C2777" t="str">
            <v>Retribusi Pengolahan Limbah Cair-LO</v>
          </cell>
          <cell r="F2777">
            <v>0</v>
          </cell>
          <cell r="G2777">
            <v>0</v>
          </cell>
          <cell r="H2777">
            <v>0</v>
          </cell>
          <cell r="I2777">
            <v>0</v>
          </cell>
          <cell r="J2777">
            <v>0</v>
          </cell>
        </row>
        <row r="2778">
          <cell r="B2778" t="str">
            <v>7.1.02.01.11</v>
          </cell>
          <cell r="C2778" t="str">
            <v>Retribusi Pelayanan Tera/Tera Ulang-LO</v>
          </cell>
          <cell r="F2778">
            <v>0</v>
          </cell>
          <cell r="G2778">
            <v>0</v>
          </cell>
          <cell r="H2778">
            <v>0</v>
          </cell>
          <cell r="I2778">
            <v>0</v>
          </cell>
          <cell r="J2778">
            <v>0</v>
          </cell>
        </row>
        <row r="2779">
          <cell r="B2779" t="str">
            <v>7.1.02.01.12</v>
          </cell>
          <cell r="C2779" t="str">
            <v>Retribusi Pelayanan Pendidikan-LO</v>
          </cell>
          <cell r="F2779">
            <v>0</v>
          </cell>
          <cell r="G2779">
            <v>0</v>
          </cell>
          <cell r="H2779">
            <v>0</v>
          </cell>
          <cell r="I2779">
            <v>0</v>
          </cell>
          <cell r="J2779">
            <v>0</v>
          </cell>
        </row>
        <row r="2780">
          <cell r="B2780" t="str">
            <v>7.1.02.01.13</v>
          </cell>
          <cell r="C2780" t="str">
            <v>Retribusi Pengawasan dan Pengendalian Menara Telekomunikasi-LO</v>
          </cell>
          <cell r="F2780">
            <v>0</v>
          </cell>
          <cell r="G2780">
            <v>0</v>
          </cell>
          <cell r="H2780">
            <v>0</v>
          </cell>
          <cell r="I2780">
            <v>0</v>
          </cell>
          <cell r="J2780">
            <v>0</v>
          </cell>
        </row>
        <row r="2781">
          <cell r="B2781" t="str">
            <v>7.1.02.01.14</v>
          </cell>
          <cell r="C2781" t="str">
            <v>Retribusi Pelayanan Kebersihan-LO</v>
          </cell>
          <cell r="F2781">
            <v>0</v>
          </cell>
          <cell r="G2781">
            <v>0</v>
          </cell>
          <cell r="H2781">
            <v>0</v>
          </cell>
          <cell r="I2781">
            <v>0</v>
          </cell>
          <cell r="J2781">
            <v>0</v>
          </cell>
        </row>
        <row r="2782">
          <cell r="B2782" t="str">
            <v>7.1.02.01.15</v>
          </cell>
          <cell r="C2782" t="str">
            <v>Retribusi Pengendalian Lalu Lintas-LO</v>
          </cell>
          <cell r="F2782">
            <v>0</v>
          </cell>
          <cell r="G2782">
            <v>0</v>
          </cell>
          <cell r="H2782">
            <v>0</v>
          </cell>
          <cell r="I2782">
            <v>0</v>
          </cell>
          <cell r="J2782">
            <v>0</v>
          </cell>
        </row>
        <row r="2783">
          <cell r="B2783" t="str">
            <v>7.1.02.02</v>
          </cell>
          <cell r="C2783" t="str">
            <v>Retribusi Jasa Usaha-LO</v>
          </cell>
          <cell r="D2783">
            <v>7960548493.9099998</v>
          </cell>
          <cell r="E2783">
            <v>9957630480.4200001</v>
          </cell>
          <cell r="J2783">
            <v>9956755480.4200001</v>
          </cell>
        </row>
        <row r="2784">
          <cell r="B2784" t="str">
            <v>7.1.02.02.01</v>
          </cell>
          <cell r="C2784" t="str">
            <v>Retribusi Pemakaian Kekayaan Daerah-LO</v>
          </cell>
          <cell r="D2784">
            <v>7688513493.9099998</v>
          </cell>
          <cell r="E2784">
            <v>9215330480.4200001</v>
          </cell>
          <cell r="F2784">
            <v>875000</v>
          </cell>
          <cell r="G2784">
            <v>0</v>
          </cell>
          <cell r="H2784">
            <v>0</v>
          </cell>
          <cell r="I2784">
            <v>0</v>
          </cell>
          <cell r="J2784">
            <v>9214455480.4200001</v>
          </cell>
        </row>
        <row r="2785">
          <cell r="B2785" t="str">
            <v>7.1.02.02.02</v>
          </cell>
          <cell r="C2785" t="str">
            <v>Retribusi Pasar Grosir dan/atau Pertokoan-LO</v>
          </cell>
          <cell r="F2785">
            <v>0</v>
          </cell>
          <cell r="G2785">
            <v>0</v>
          </cell>
          <cell r="H2785">
            <v>0</v>
          </cell>
          <cell r="I2785">
            <v>0</v>
          </cell>
          <cell r="J2785">
            <v>0</v>
          </cell>
        </row>
        <row r="2786">
          <cell r="B2786" t="str">
            <v>7.1.02.02.03</v>
          </cell>
          <cell r="C2786" t="str">
            <v>Retribusi Tempat Pelelangan-LO</v>
          </cell>
          <cell r="F2786">
            <v>0</v>
          </cell>
          <cell r="G2786">
            <v>0</v>
          </cell>
          <cell r="H2786">
            <v>0</v>
          </cell>
          <cell r="I2786">
            <v>0</v>
          </cell>
          <cell r="J2786">
            <v>0</v>
          </cell>
        </row>
        <row r="2787">
          <cell r="B2787" t="str">
            <v>7.1.02.02.04</v>
          </cell>
          <cell r="C2787" t="str">
            <v>Retribusi Terminal-LO</v>
          </cell>
          <cell r="D2787">
            <v>5570000</v>
          </cell>
          <cell r="F2787">
            <v>0</v>
          </cell>
          <cell r="G2787">
            <v>0</v>
          </cell>
          <cell r="H2787">
            <v>0</v>
          </cell>
          <cell r="I2787">
            <v>0</v>
          </cell>
          <cell r="J2787">
            <v>0</v>
          </cell>
        </row>
        <row r="2788">
          <cell r="B2788" t="str">
            <v>7.1.02.02.05</v>
          </cell>
          <cell r="C2788" t="str">
            <v>Retribusi Tempat Khusus Parkir-LO</v>
          </cell>
          <cell r="D2788">
            <v>24420000</v>
          </cell>
          <cell r="E2788">
            <v>35030000</v>
          </cell>
          <cell r="F2788">
            <v>0</v>
          </cell>
          <cell r="G2788">
            <v>0</v>
          </cell>
          <cell r="H2788">
            <v>0</v>
          </cell>
          <cell r="I2788">
            <v>0</v>
          </cell>
          <cell r="J2788">
            <v>35030000</v>
          </cell>
        </row>
        <row r="2789">
          <cell r="B2789" t="str">
            <v>7.1.02.02.06</v>
          </cell>
          <cell r="C2789" t="str">
            <v>Retribusi Tempat Penginapan/Pesanggrahan/Vila-LO</v>
          </cell>
          <cell r="F2789">
            <v>0</v>
          </cell>
          <cell r="G2789">
            <v>0</v>
          </cell>
          <cell r="H2789">
            <v>0</v>
          </cell>
          <cell r="I2789">
            <v>0</v>
          </cell>
          <cell r="J2789">
            <v>0</v>
          </cell>
        </row>
        <row r="2790">
          <cell r="B2790" t="str">
            <v>7.1.02.02.07</v>
          </cell>
          <cell r="C2790" t="str">
            <v>Retribusi Rumah Potong Hewan-LO</v>
          </cell>
          <cell r="D2790">
            <v>105460000</v>
          </cell>
          <cell r="F2790">
            <v>0</v>
          </cell>
          <cell r="G2790">
            <v>0</v>
          </cell>
          <cell r="H2790">
            <v>0</v>
          </cell>
          <cell r="I2790">
            <v>0</v>
          </cell>
          <cell r="J2790">
            <v>0</v>
          </cell>
        </row>
        <row r="2791">
          <cell r="B2791" t="str">
            <v>7.1.02.02.08</v>
          </cell>
          <cell r="C2791" t="str">
            <v>Retribusi Pelayanan Kepelabuhanan-LO</v>
          </cell>
          <cell r="D2791">
            <v>2730000</v>
          </cell>
          <cell r="F2791">
            <v>0</v>
          </cell>
          <cell r="G2791">
            <v>0</v>
          </cell>
          <cell r="H2791">
            <v>0</v>
          </cell>
          <cell r="I2791">
            <v>0</v>
          </cell>
          <cell r="J2791">
            <v>0</v>
          </cell>
        </row>
        <row r="2792">
          <cell r="B2792" t="str">
            <v>7.1.02.02.09</v>
          </cell>
          <cell r="C2792" t="str">
            <v>Retribusi Tempat Rekreasi dan Olahraga-LO</v>
          </cell>
          <cell r="D2792">
            <v>19355000</v>
          </cell>
          <cell r="E2792">
            <v>22400000</v>
          </cell>
          <cell r="F2792">
            <v>0</v>
          </cell>
          <cell r="G2792">
            <v>0</v>
          </cell>
          <cell r="H2792">
            <v>0</v>
          </cell>
          <cell r="I2792">
            <v>0</v>
          </cell>
          <cell r="J2792">
            <v>22400000</v>
          </cell>
        </row>
        <row r="2793">
          <cell r="B2793" t="str">
            <v>7.1.02.02.10</v>
          </cell>
          <cell r="C2793" t="str">
            <v>Retribusi Penyeberangan di Air-LO</v>
          </cell>
          <cell r="F2793">
            <v>0</v>
          </cell>
          <cell r="G2793">
            <v>0</v>
          </cell>
          <cell r="H2793">
            <v>0</v>
          </cell>
          <cell r="I2793">
            <v>0</v>
          </cell>
          <cell r="J2793">
            <v>0</v>
          </cell>
        </row>
        <row r="2794">
          <cell r="B2794" t="str">
            <v>7.1.02.02.11</v>
          </cell>
          <cell r="C2794" t="str">
            <v>Retribusi Penjualan Produksi Usaha Daerah-LO</v>
          </cell>
          <cell r="D2794">
            <v>114500000</v>
          </cell>
          <cell r="E2794">
            <v>93000000</v>
          </cell>
          <cell r="F2794">
            <v>0</v>
          </cell>
          <cell r="G2794">
            <v>0</v>
          </cell>
          <cell r="H2794">
            <v>0</v>
          </cell>
          <cell r="I2794">
            <v>0</v>
          </cell>
          <cell r="J2794">
            <v>93000000</v>
          </cell>
        </row>
        <row r="2795">
          <cell r="B2795" t="str">
            <v>7.1.02.02.12</v>
          </cell>
          <cell r="C2795" t="str">
            <v>Retribusi Penyediaan Tempat Kegiatan Usaha berupa Pasar, Grosir, Pertokoan, dan Tempat Kegiatan Usaha Lainnya-LO</v>
          </cell>
          <cell r="F2795">
            <v>0</v>
          </cell>
          <cell r="G2795">
            <v>0</v>
          </cell>
          <cell r="H2795">
            <v>0</v>
          </cell>
          <cell r="I2795">
            <v>0</v>
          </cell>
          <cell r="J2795">
            <v>0</v>
          </cell>
        </row>
        <row r="2796">
          <cell r="B2796" t="str">
            <v>7.1.02.02.13</v>
          </cell>
          <cell r="C2796" t="str">
            <v>Retribusi Penyediaan Tempat Pelelangan Ikan, Ternak, Hasil Bumi, dan Hasil Hutan Termasuk Fasilitas Lainnya dalam Lingkungan Tempat Pelelangan-LO</v>
          </cell>
          <cell r="F2796">
            <v>0</v>
          </cell>
          <cell r="G2796">
            <v>0</v>
          </cell>
          <cell r="H2796">
            <v>0</v>
          </cell>
          <cell r="I2796">
            <v>0</v>
          </cell>
          <cell r="J2796">
            <v>0</v>
          </cell>
        </row>
        <row r="2797">
          <cell r="B2797" t="str">
            <v>7.1.02.02.14</v>
          </cell>
          <cell r="C2797" t="str">
            <v>Retribusi Penyediaan Tempat Khusus Parkir Diluar Badan Jalan-LO</v>
          </cell>
          <cell r="F2797">
            <v>0</v>
          </cell>
          <cell r="G2797">
            <v>0</v>
          </cell>
          <cell r="H2797">
            <v>0</v>
          </cell>
          <cell r="I2797">
            <v>0</v>
          </cell>
          <cell r="J2797">
            <v>0</v>
          </cell>
        </row>
        <row r="2798">
          <cell r="B2798" t="str">
            <v>7.1.02.02.15</v>
          </cell>
          <cell r="C2798" t="str">
            <v>Retribusi Pelayanan Rumah Pemotongan Hewan Ternak-LO</v>
          </cell>
          <cell r="E2798">
            <v>84660000</v>
          </cell>
          <cell r="F2798">
            <v>0</v>
          </cell>
          <cell r="G2798">
            <v>0</v>
          </cell>
          <cell r="H2798">
            <v>0</v>
          </cell>
          <cell r="I2798">
            <v>0</v>
          </cell>
          <cell r="J2798">
            <v>84660000</v>
          </cell>
        </row>
        <row r="2799">
          <cell r="B2799" t="str">
            <v>7.1.02.02.16</v>
          </cell>
          <cell r="C2799" t="str">
            <v>Retribusi Pelayanan Jasa Kepelabuhanan-LO</v>
          </cell>
          <cell r="E2799">
            <v>7210000</v>
          </cell>
          <cell r="F2799">
            <v>0</v>
          </cell>
          <cell r="G2799">
            <v>0</v>
          </cell>
          <cell r="H2799">
            <v>0</v>
          </cell>
          <cell r="I2799">
            <v>0</v>
          </cell>
          <cell r="J2799">
            <v>7210000</v>
          </cell>
        </row>
        <row r="2800">
          <cell r="B2800" t="str">
            <v>7.1.02.02.17</v>
          </cell>
          <cell r="C2800" t="str">
            <v>Retribusi Pelayanan Tempat Rekreasi, Pariwisata, dan Olahraga-LO</v>
          </cell>
          <cell r="F2800">
            <v>0</v>
          </cell>
          <cell r="G2800">
            <v>0</v>
          </cell>
          <cell r="H2800">
            <v>0</v>
          </cell>
          <cell r="I2800">
            <v>0</v>
          </cell>
          <cell r="J2800">
            <v>0</v>
          </cell>
        </row>
        <row r="2801">
          <cell r="B2801" t="str">
            <v>7.1.02.02.18</v>
          </cell>
          <cell r="C2801" t="str">
            <v>Retribusi Pelayanan Penyeberangan Orang atau Barang dengan Menggunakan Kendaraan di Air-LO</v>
          </cell>
          <cell r="F2801">
            <v>0</v>
          </cell>
          <cell r="G2801">
            <v>0</v>
          </cell>
          <cell r="H2801">
            <v>0</v>
          </cell>
          <cell r="I2801">
            <v>0</v>
          </cell>
          <cell r="J2801">
            <v>0</v>
          </cell>
        </row>
        <row r="2802">
          <cell r="B2802" t="str">
            <v>7.1.02.02.19</v>
          </cell>
          <cell r="C2802" t="str">
            <v>Retribusi Penjualan Hasil Produksi Usaha Pemerintah Daerah-LO</v>
          </cell>
          <cell r="F2802">
            <v>0</v>
          </cell>
          <cell r="G2802">
            <v>0</v>
          </cell>
          <cell r="H2802">
            <v>0</v>
          </cell>
          <cell r="I2802">
            <v>0</v>
          </cell>
          <cell r="J2802">
            <v>0</v>
          </cell>
        </row>
        <row r="2803">
          <cell r="B2803" t="str">
            <v>7.1.02.02.20</v>
          </cell>
          <cell r="C2803" t="str">
            <v>Retribusi Pemanfaatan Aset Daerah-LO</v>
          </cell>
          <cell r="E2803">
            <v>500000000</v>
          </cell>
          <cell r="F2803">
            <v>0</v>
          </cell>
          <cell r="G2803">
            <v>0</v>
          </cell>
          <cell r="H2803">
            <v>0</v>
          </cell>
          <cell r="I2803">
            <v>0</v>
          </cell>
          <cell r="J2803">
            <v>500000000</v>
          </cell>
        </row>
        <row r="2804">
          <cell r="B2804" t="str">
            <v>7.1.02.03</v>
          </cell>
          <cell r="C2804" t="str">
            <v>Retribusi Perizinan Tertentu-LO</v>
          </cell>
          <cell r="D2804">
            <v>582090055</v>
          </cell>
          <cell r="E2804">
            <v>562252687</v>
          </cell>
          <cell r="J2804">
            <v>562252687</v>
          </cell>
        </row>
        <row r="2805">
          <cell r="B2805" t="str">
            <v>7.1.02.03.01</v>
          </cell>
          <cell r="C2805" t="str">
            <v>Retribusi Izin Mendirikan Bangunan-LO</v>
          </cell>
          <cell r="F2805">
            <v>0</v>
          </cell>
          <cell r="G2805">
            <v>0</v>
          </cell>
          <cell r="H2805">
            <v>0</v>
          </cell>
          <cell r="I2805">
            <v>0</v>
          </cell>
          <cell r="J2805">
            <v>0</v>
          </cell>
        </row>
        <row r="2806">
          <cell r="B2806" t="str">
            <v>7.1.02.03.02</v>
          </cell>
          <cell r="C2806" t="str">
            <v>Retribusi Izin Tempat Penjualan Minuman Beralkohol-LO</v>
          </cell>
          <cell r="F2806">
            <v>0</v>
          </cell>
          <cell r="G2806">
            <v>0</v>
          </cell>
          <cell r="H2806">
            <v>0</v>
          </cell>
          <cell r="I2806">
            <v>0</v>
          </cell>
          <cell r="J2806">
            <v>0</v>
          </cell>
        </row>
        <row r="2807">
          <cell r="B2807" t="str">
            <v>7.1.02.03.03</v>
          </cell>
          <cell r="C2807" t="str">
            <v>Retribusi Izin Trayek untuk Menyediakan Pelayanan Angkutan Umum-LO</v>
          </cell>
          <cell r="F2807">
            <v>0</v>
          </cell>
          <cell r="G2807">
            <v>0</v>
          </cell>
          <cell r="H2807">
            <v>0</v>
          </cell>
          <cell r="I2807">
            <v>0</v>
          </cell>
          <cell r="J2807">
            <v>0</v>
          </cell>
        </row>
        <row r="2808">
          <cell r="B2808" t="str">
            <v>7.1.02.03.04</v>
          </cell>
          <cell r="C2808" t="str">
            <v>Retribusi Izin Usaha Perikanan-LO</v>
          </cell>
          <cell r="D2808">
            <v>2700000</v>
          </cell>
          <cell r="F2808">
            <v>0</v>
          </cell>
          <cell r="G2808">
            <v>0</v>
          </cell>
          <cell r="H2808">
            <v>0</v>
          </cell>
          <cell r="I2808">
            <v>0</v>
          </cell>
          <cell r="J2808">
            <v>0</v>
          </cell>
        </row>
        <row r="2809">
          <cell r="B2809" t="str">
            <v>7.1.02.03.05</v>
          </cell>
          <cell r="C2809" t="str">
            <v>Retribusi Pengendalian Lalu Lintas-LO</v>
          </cell>
          <cell r="F2809">
            <v>0</v>
          </cell>
          <cell r="G2809">
            <v>0</v>
          </cell>
          <cell r="H2809">
            <v>0</v>
          </cell>
          <cell r="I2809">
            <v>0</v>
          </cell>
          <cell r="J2809">
            <v>0</v>
          </cell>
        </row>
        <row r="2810">
          <cell r="B2810" t="str">
            <v>7.1.02.03.06</v>
          </cell>
          <cell r="C2810" t="str">
            <v>Retribusi Perpanjangan Izin Mempekerjakan Tenaga Kerja Asing (IMTA)-LO</v>
          </cell>
          <cell r="F2810">
            <v>0</v>
          </cell>
          <cell r="G2810">
            <v>0</v>
          </cell>
          <cell r="H2810">
            <v>0</v>
          </cell>
          <cell r="I2810">
            <v>0</v>
          </cell>
          <cell r="J2810">
            <v>0</v>
          </cell>
        </row>
        <row r="2811">
          <cell r="B2811" t="str">
            <v>7.1.02.03.07</v>
          </cell>
          <cell r="C2811" t="str">
            <v>Retribusi Persetujuan Bangunan Gedung-LO</v>
          </cell>
          <cell r="D2811">
            <v>579390055</v>
          </cell>
          <cell r="E2811">
            <v>542290687</v>
          </cell>
          <cell r="F2811">
            <v>0</v>
          </cell>
          <cell r="G2811">
            <v>0</v>
          </cell>
          <cell r="H2811">
            <v>0</v>
          </cell>
          <cell r="I2811">
            <v>0</v>
          </cell>
          <cell r="J2811">
            <v>542290687</v>
          </cell>
        </row>
        <row r="2812">
          <cell r="B2812" t="str">
            <v>7.1.02.03.08</v>
          </cell>
          <cell r="C2812" t="str">
            <v>Retribusi Penggunaan Tenaga Kerja Asing (TKA)-LO</v>
          </cell>
          <cell r="E2812">
            <v>19962000</v>
          </cell>
          <cell r="F2812">
            <v>0</v>
          </cell>
          <cell r="G2812">
            <v>0</v>
          </cell>
          <cell r="H2812">
            <v>0</v>
          </cell>
          <cell r="I2812">
            <v>0</v>
          </cell>
          <cell r="J2812">
            <v>19962000</v>
          </cell>
        </row>
        <row r="2813">
          <cell r="B2813" t="str">
            <v>7.1.02.03.09</v>
          </cell>
          <cell r="C2813" t="str">
            <v>Retribusi Pertambangan Rakyat-LO</v>
          </cell>
          <cell r="F2813">
            <v>0</v>
          </cell>
          <cell r="G2813">
            <v>0</v>
          </cell>
          <cell r="H2813">
            <v>0</v>
          </cell>
          <cell r="I2813">
            <v>0</v>
          </cell>
          <cell r="J2813">
            <v>0</v>
          </cell>
        </row>
        <row r="2815">
          <cell r="B2815" t="str">
            <v>7.1.03</v>
          </cell>
          <cell r="C2815" t="str">
            <v>Hasil Pengelolaan Kekayaan Daerah yang Dipisahkan-LO</v>
          </cell>
          <cell r="D2815">
            <v>231253151.75999999</v>
          </cell>
          <cell r="E2815">
            <v>8706729101.1200008</v>
          </cell>
          <cell r="J2815">
            <v>6144441656.0500011</v>
          </cell>
        </row>
        <row r="2816">
          <cell r="B2816" t="str">
            <v>7.1.03.01</v>
          </cell>
          <cell r="C2816" t="str">
            <v>Bagian Laba yang Dibagikan kepada Pemerintah Daerah (Dividen) atas Penyertaan Modal pada BUMN-LO</v>
          </cell>
          <cell r="D2816">
            <v>0</v>
          </cell>
          <cell r="E2816">
            <v>0</v>
          </cell>
          <cell r="J2816">
            <v>0</v>
          </cell>
        </row>
        <row r="2817">
          <cell r="B2817" t="str">
            <v>7.1.03.01.01</v>
          </cell>
          <cell r="C2817" t="str">
            <v>Bagian Laba yang Dibagikan kepada Pemerintah Daerah (Dividen) atas Penyertaan Modal pada BUMN-LO</v>
          </cell>
          <cell r="F2817">
            <v>0</v>
          </cell>
          <cell r="G2817">
            <v>0</v>
          </cell>
          <cell r="H2817">
            <v>0</v>
          </cell>
          <cell r="I2817">
            <v>0</v>
          </cell>
          <cell r="J2817">
            <v>0</v>
          </cell>
        </row>
        <row r="2818">
          <cell r="B2818" t="str">
            <v>7.1.03.02</v>
          </cell>
          <cell r="C2818" t="str">
            <v>Bagian Laba yang Dibagikan kepada Pemerintah Daerah (Dividen) atas Penyertaan Modal pada BUMD-LO</v>
          </cell>
          <cell r="D2818">
            <v>231253151.75999999</v>
          </cell>
          <cell r="E2818">
            <v>8706729101.1200008</v>
          </cell>
          <cell r="J2818">
            <v>6144441656.0500011</v>
          </cell>
        </row>
        <row r="2819">
          <cell r="B2819" t="str">
            <v>7.1.03.02.01</v>
          </cell>
          <cell r="C2819" t="str">
            <v>Bagian Laba yang Dibagikan kepada Pemerintah Daerah (Dividen) atas Penyertaan Modal pada BUMD (Lembaga Keuangan)-LO</v>
          </cell>
          <cell r="D2819">
            <v>86979561</v>
          </cell>
          <cell r="E2819">
            <v>8441338073.1000004</v>
          </cell>
          <cell r="F2819">
            <v>0</v>
          </cell>
          <cell r="G2819">
            <v>0</v>
          </cell>
          <cell r="H2819">
            <v>0</v>
          </cell>
          <cell r="I2819">
            <v>0</v>
          </cell>
          <cell r="J2819">
            <v>8441338073.1000004</v>
          </cell>
        </row>
        <row r="2820">
          <cell r="B2820" t="str">
            <v>7.1.03.02.02</v>
          </cell>
          <cell r="C2820" t="str">
            <v>Bagian Laba yang Dibagikan kepada Pemerintah Daerah (Dividen) atas Penyertaan Modal pada BUMD (Aneka Usaha)-LO</v>
          </cell>
          <cell r="D2820">
            <v>144273590.75999999</v>
          </cell>
          <cell r="E2820">
            <v>265391028.01999998</v>
          </cell>
          <cell r="F2820">
            <v>0</v>
          </cell>
          <cell r="G2820">
            <v>0</v>
          </cell>
          <cell r="H2820">
            <v>0</v>
          </cell>
          <cell r="I2820">
            <v>0</v>
          </cell>
          <cell r="J2820">
            <v>265391028.01999998</v>
          </cell>
        </row>
        <row r="2821">
          <cell r="B2821" t="str">
            <v>7.1.03.02.03</v>
          </cell>
          <cell r="C2821" t="str">
            <v>Bagian Laba yang Dibagikan kepada Pemerintah Daerah (Dividen) atas Penyertaan Modal pada BUMD (Bidang Air Minum)-LO</v>
          </cell>
          <cell r="F2821">
            <v>2562287445.0700002</v>
          </cell>
          <cell r="G2821">
            <v>0</v>
          </cell>
          <cell r="H2821">
            <v>0</v>
          </cell>
          <cell r="I2821">
            <v>0</v>
          </cell>
          <cell r="J2821">
            <v>-2562287445.0700002</v>
          </cell>
        </row>
        <row r="2822">
          <cell r="B2822" t="str">
            <v>7.1.03.02.04</v>
          </cell>
          <cell r="C2822" t="str">
            <v>Bagian Laba yang Dibagikan kepada Pemerintah Daerah (Dividen) atas Penyertaan Modal pada BUMD (Bidang Limbah)-LO</v>
          </cell>
          <cell r="F2822">
            <v>0</v>
          </cell>
          <cell r="G2822">
            <v>0</v>
          </cell>
          <cell r="H2822">
            <v>0</v>
          </cell>
          <cell r="I2822">
            <v>0</v>
          </cell>
          <cell r="J2822">
            <v>0</v>
          </cell>
        </row>
        <row r="2823">
          <cell r="B2823" t="str">
            <v>7.1.03.02.05</v>
          </cell>
          <cell r="C2823" t="str">
            <v>Bagian Laba yang Dibagikan kepada Pemerintah Daerah (Dividen) atas Penyertaan Modal pada BUMD (Bidang Sanitasi)-LO</v>
          </cell>
          <cell r="F2823">
            <v>0</v>
          </cell>
          <cell r="G2823">
            <v>0</v>
          </cell>
          <cell r="H2823">
            <v>0</v>
          </cell>
          <cell r="I2823">
            <v>0</v>
          </cell>
          <cell r="J2823">
            <v>0</v>
          </cell>
        </row>
        <row r="2824">
          <cell r="B2824" t="str">
            <v>7.1.03.03</v>
          </cell>
          <cell r="C2824" t="str">
            <v>Bagian Laba yang Dibagikan kepada Pemerintah Daerah (Dividen) atas Penyertaan Modal pada Perusahaan Milik Swasta-LO</v>
          </cell>
          <cell r="D2824">
            <v>0</v>
          </cell>
          <cell r="E2824">
            <v>0</v>
          </cell>
          <cell r="J2824">
            <v>0</v>
          </cell>
        </row>
        <row r="2825">
          <cell r="B2825" t="str">
            <v>7.1.03.03.01</v>
          </cell>
          <cell r="C2825" t="str">
            <v>Bagian Laba yang Dibagikan kepada Pemerintah Daerah (Dividen) atas Penyertaan Modal pada Perusahaan Milik Swasta-LO</v>
          </cell>
          <cell r="F2825">
            <v>0</v>
          </cell>
          <cell r="G2825">
            <v>0</v>
          </cell>
          <cell r="H2825">
            <v>0</v>
          </cell>
          <cell r="I2825">
            <v>0</v>
          </cell>
          <cell r="J2825">
            <v>0</v>
          </cell>
        </row>
        <row r="2827">
          <cell r="B2827" t="str">
            <v>7.1.04</v>
          </cell>
          <cell r="C2827" t="str">
            <v>Lain-lain PAD yang Sah-LO</v>
          </cell>
          <cell r="D2827">
            <v>128712155896.88301</v>
          </cell>
          <cell r="E2827">
            <v>8826028523.6300011</v>
          </cell>
          <cell r="J2827">
            <v>144497231953.13</v>
          </cell>
        </row>
        <row r="2828">
          <cell r="B2828" t="str">
            <v>7.1.04.01</v>
          </cell>
          <cell r="C2828" t="str">
            <v>Hasil Penjualan BMD yang Tidak Dipisahkan-LO</v>
          </cell>
          <cell r="D2828">
            <v>16400000</v>
          </cell>
          <cell r="E2828">
            <v>1084956984.8200002</v>
          </cell>
          <cell r="J2828">
            <v>1084956984.8200002</v>
          </cell>
        </row>
        <row r="2829">
          <cell r="B2829" t="str">
            <v>7.1.04.01.01</v>
          </cell>
          <cell r="C2829" t="str">
            <v>Hasil Penjualan Tanah-LO</v>
          </cell>
          <cell r="F2829">
            <v>0</v>
          </cell>
          <cell r="G2829">
            <v>0</v>
          </cell>
          <cell r="H2829">
            <v>0</v>
          </cell>
          <cell r="I2829">
            <v>0</v>
          </cell>
          <cell r="J2829">
            <v>0</v>
          </cell>
        </row>
        <row r="2830">
          <cell r="B2830" t="str">
            <v>7.1.04.01.02</v>
          </cell>
          <cell r="C2830" t="str">
            <v>Hasil Penjualan Peralatan dan Mesin-LO</v>
          </cell>
          <cell r="E2830">
            <v>512507500</v>
          </cell>
          <cell r="F2830">
            <v>0</v>
          </cell>
          <cell r="G2830">
            <v>0</v>
          </cell>
          <cell r="H2830">
            <v>0</v>
          </cell>
          <cell r="I2830">
            <v>0</v>
          </cell>
          <cell r="J2830">
            <v>512507500</v>
          </cell>
        </row>
        <row r="2831">
          <cell r="B2831" t="str">
            <v>7.1.04.01.03</v>
          </cell>
          <cell r="C2831" t="str">
            <v>Hasil Penjualan Gedung dan Bangunan-LO</v>
          </cell>
          <cell r="D2831">
            <v>16400000</v>
          </cell>
          <cell r="E2831">
            <v>572449484.82000005</v>
          </cell>
          <cell r="F2831">
            <v>0</v>
          </cell>
          <cell r="G2831">
            <v>0</v>
          </cell>
          <cell r="H2831">
            <v>0</v>
          </cell>
          <cell r="I2831">
            <v>0</v>
          </cell>
          <cell r="J2831">
            <v>572449484.82000005</v>
          </cell>
        </row>
        <row r="2832">
          <cell r="B2832" t="str">
            <v>7.1.04.01.04</v>
          </cell>
          <cell r="C2832" t="str">
            <v>Hasil Penjualan Jalan, Jaringan, dan Irigasi-LO</v>
          </cell>
          <cell r="F2832">
            <v>0</v>
          </cell>
          <cell r="G2832">
            <v>0</v>
          </cell>
          <cell r="H2832">
            <v>0</v>
          </cell>
          <cell r="I2832">
            <v>0</v>
          </cell>
          <cell r="J2832">
            <v>0</v>
          </cell>
        </row>
        <row r="2833">
          <cell r="B2833" t="str">
            <v>7.1.04.01.05</v>
          </cell>
          <cell r="C2833" t="str">
            <v>Hasil Penjualan Aset Tetap Lainnya-LO</v>
          </cell>
          <cell r="F2833">
            <v>0</v>
          </cell>
          <cell r="G2833">
            <v>0</v>
          </cell>
          <cell r="H2833">
            <v>0</v>
          </cell>
          <cell r="I2833">
            <v>0</v>
          </cell>
          <cell r="J2833">
            <v>0</v>
          </cell>
        </row>
        <row r="2834">
          <cell r="B2834" t="str">
            <v>7.1.04.01.06</v>
          </cell>
          <cell r="C2834" t="str">
            <v>Hasil Penjualan Aset Lainnya-LO</v>
          </cell>
          <cell r="F2834">
            <v>0</v>
          </cell>
          <cell r="G2834">
            <v>0</v>
          </cell>
          <cell r="H2834">
            <v>0</v>
          </cell>
          <cell r="I2834">
            <v>0</v>
          </cell>
          <cell r="J2834">
            <v>0</v>
          </cell>
        </row>
        <row r="2835">
          <cell r="B2835" t="str">
            <v>7.1.04.01.07</v>
          </cell>
          <cell r="C2835" t="str">
            <v>Hasil Penjualan Aset Tidak Berwujud-LO</v>
          </cell>
          <cell r="F2835">
            <v>0</v>
          </cell>
          <cell r="G2835">
            <v>0</v>
          </cell>
          <cell r="H2835">
            <v>0</v>
          </cell>
          <cell r="I2835">
            <v>0</v>
          </cell>
          <cell r="J2835">
            <v>0</v>
          </cell>
        </row>
        <row r="2836">
          <cell r="B2836" t="str">
            <v>7.1.04.01.08</v>
          </cell>
          <cell r="C2836" t="str">
            <v>Hasil Penjualan Aset Lain-Lain-LO</v>
          </cell>
          <cell r="F2836">
            <v>0</v>
          </cell>
          <cell r="G2836">
            <v>0</v>
          </cell>
          <cell r="H2836">
            <v>0</v>
          </cell>
          <cell r="I2836">
            <v>0</v>
          </cell>
          <cell r="J2836">
            <v>0</v>
          </cell>
        </row>
        <row r="2837">
          <cell r="B2837" t="str">
            <v>7.1.04.02</v>
          </cell>
          <cell r="C2837" t="str">
            <v>Hasil Selisih Lebih Tukar Menukar BMD yang Tidak Dipisahkan-LO</v>
          </cell>
          <cell r="D2837">
            <v>0</v>
          </cell>
          <cell r="E2837">
            <v>0</v>
          </cell>
          <cell r="J2837">
            <v>0</v>
          </cell>
        </row>
        <row r="2838">
          <cell r="B2838" t="str">
            <v>7.1.04.02.01</v>
          </cell>
          <cell r="C2838" t="str">
            <v>Hasil Selisih Lebih Tukar Menukar Tanah-LO</v>
          </cell>
          <cell r="F2838">
            <v>0</v>
          </cell>
          <cell r="G2838">
            <v>0</v>
          </cell>
          <cell r="H2838">
            <v>0</v>
          </cell>
          <cell r="I2838">
            <v>0</v>
          </cell>
          <cell r="J2838">
            <v>0</v>
          </cell>
        </row>
        <row r="2839">
          <cell r="B2839" t="str">
            <v>7.1.04.02.02</v>
          </cell>
          <cell r="C2839" t="str">
            <v>Hasil Selisih Lebih Tukar Menukar Peralatan dan Mesin-LO</v>
          </cell>
          <cell r="F2839">
            <v>0</v>
          </cell>
          <cell r="G2839">
            <v>0</v>
          </cell>
          <cell r="H2839">
            <v>0</v>
          </cell>
          <cell r="I2839">
            <v>0</v>
          </cell>
          <cell r="J2839">
            <v>0</v>
          </cell>
        </row>
        <row r="2840">
          <cell r="B2840" t="str">
            <v>7.1.04.02.03</v>
          </cell>
          <cell r="C2840" t="str">
            <v>Hasil Selisih Lebih Tukar Menukar Gedung dan Bangunan-LO</v>
          </cell>
          <cell r="F2840">
            <v>0</v>
          </cell>
          <cell r="G2840">
            <v>0</v>
          </cell>
          <cell r="H2840">
            <v>0</v>
          </cell>
          <cell r="I2840">
            <v>0</v>
          </cell>
          <cell r="J2840">
            <v>0</v>
          </cell>
        </row>
        <row r="2841">
          <cell r="B2841" t="str">
            <v>7.1.04.02.04</v>
          </cell>
          <cell r="C2841" t="str">
            <v>Hasil Selisih Lebih Tukar Menukar Jalan, Jaringan, dan Irigasi-LO</v>
          </cell>
          <cell r="F2841">
            <v>0</v>
          </cell>
          <cell r="G2841">
            <v>0</v>
          </cell>
          <cell r="H2841">
            <v>0</v>
          </cell>
          <cell r="I2841">
            <v>0</v>
          </cell>
          <cell r="J2841">
            <v>0</v>
          </cell>
        </row>
        <row r="2842">
          <cell r="B2842" t="str">
            <v>7.1.04.02.05</v>
          </cell>
          <cell r="C2842" t="str">
            <v>Hasil Selisih Lebih Tukar Menukar Aset Tetap Lainnya-LO</v>
          </cell>
          <cell r="F2842">
            <v>0</v>
          </cell>
          <cell r="G2842">
            <v>0</v>
          </cell>
          <cell r="H2842">
            <v>0</v>
          </cell>
          <cell r="I2842">
            <v>0</v>
          </cell>
          <cell r="J2842">
            <v>0</v>
          </cell>
        </row>
        <row r="2843">
          <cell r="B2843" t="str">
            <v>7.1.04.02.06</v>
          </cell>
          <cell r="C2843" t="str">
            <v>Hasil Selisih Lebih Tukar Menukar Aset Lainnya-LO</v>
          </cell>
          <cell r="F2843">
            <v>0</v>
          </cell>
          <cell r="G2843">
            <v>0</v>
          </cell>
          <cell r="H2843">
            <v>0</v>
          </cell>
          <cell r="I2843">
            <v>0</v>
          </cell>
          <cell r="J2843">
            <v>0</v>
          </cell>
        </row>
        <row r="2844">
          <cell r="B2844" t="str">
            <v>7.1.04.02.07</v>
          </cell>
          <cell r="C2844" t="str">
            <v>Hasil Selisih Lebih Tukar Menukar Aset Tidak Berwujud-LO</v>
          </cell>
          <cell r="F2844">
            <v>0</v>
          </cell>
          <cell r="G2844">
            <v>0</v>
          </cell>
          <cell r="H2844">
            <v>0</v>
          </cell>
          <cell r="I2844">
            <v>0</v>
          </cell>
          <cell r="J2844">
            <v>0</v>
          </cell>
        </row>
        <row r="2845">
          <cell r="B2845" t="str">
            <v>7.1.04.02.08</v>
          </cell>
          <cell r="C2845" t="str">
            <v>Hasil Selisih Lebih Tukar Menukar Aset Lain-Lain-LO</v>
          </cell>
          <cell r="F2845">
            <v>0</v>
          </cell>
          <cell r="G2845">
            <v>0</v>
          </cell>
          <cell r="H2845">
            <v>0</v>
          </cell>
          <cell r="I2845">
            <v>0</v>
          </cell>
          <cell r="J2845">
            <v>0</v>
          </cell>
        </row>
        <row r="2846">
          <cell r="B2846" t="str">
            <v>7.1.04.03</v>
          </cell>
          <cell r="C2846" t="str">
            <v>Hasil Pemanfaatan BMD yang Tidak Dipisahkan-LO</v>
          </cell>
          <cell r="D2846">
            <v>500000000</v>
          </cell>
          <cell r="E2846">
            <v>0</v>
          </cell>
          <cell r="J2846">
            <v>0</v>
          </cell>
        </row>
        <row r="2847">
          <cell r="B2847" t="str">
            <v>7.1.04.03.01</v>
          </cell>
          <cell r="C2847" t="str">
            <v>Hasil Sewa BMD-LO</v>
          </cell>
          <cell r="F2847">
            <v>0</v>
          </cell>
          <cell r="G2847">
            <v>0</v>
          </cell>
          <cell r="H2847">
            <v>0</v>
          </cell>
          <cell r="I2847">
            <v>0</v>
          </cell>
          <cell r="J2847">
            <v>0</v>
          </cell>
        </row>
        <row r="2848">
          <cell r="B2848" t="str">
            <v>7.1.04.03.02</v>
          </cell>
          <cell r="C2848" t="str">
            <v>Hasil Kerja Sama Pemanfaatan BMD-LO</v>
          </cell>
          <cell r="D2848">
            <v>500000000</v>
          </cell>
          <cell r="F2848">
            <v>0</v>
          </cell>
          <cell r="G2848">
            <v>0</v>
          </cell>
          <cell r="H2848">
            <v>0</v>
          </cell>
          <cell r="I2848">
            <v>0</v>
          </cell>
          <cell r="J2848">
            <v>0</v>
          </cell>
        </row>
        <row r="2849">
          <cell r="B2849" t="str">
            <v>7.1.04.03.03</v>
          </cell>
          <cell r="C2849" t="str">
            <v>Hasil dari Bangun Guna Serah-LO</v>
          </cell>
          <cell r="F2849">
            <v>0</v>
          </cell>
          <cell r="G2849">
            <v>0</v>
          </cell>
          <cell r="H2849">
            <v>0</v>
          </cell>
          <cell r="I2849">
            <v>0</v>
          </cell>
          <cell r="J2849">
            <v>0</v>
          </cell>
        </row>
        <row r="2850">
          <cell r="B2850" t="str">
            <v>7.1.04.03.04</v>
          </cell>
          <cell r="C2850" t="str">
            <v>Hasil dari Bangun Serah Guna-LO</v>
          </cell>
          <cell r="F2850">
            <v>0</v>
          </cell>
          <cell r="G2850">
            <v>0</v>
          </cell>
          <cell r="H2850">
            <v>0</v>
          </cell>
          <cell r="I2850">
            <v>0</v>
          </cell>
          <cell r="J2850">
            <v>0</v>
          </cell>
        </row>
        <row r="2851">
          <cell r="B2851" t="str">
            <v>7.1.04.03.05</v>
          </cell>
          <cell r="C2851" t="str">
            <v>Hasil dari Kerja Sama Penyediaan Infrastruktur-LO</v>
          </cell>
          <cell r="F2851">
            <v>0</v>
          </cell>
          <cell r="G2851">
            <v>0</v>
          </cell>
          <cell r="H2851">
            <v>0</v>
          </cell>
          <cell r="I2851">
            <v>0</v>
          </cell>
          <cell r="J2851">
            <v>0</v>
          </cell>
        </row>
        <row r="2852">
          <cell r="B2852" t="str">
            <v>7.1.04.04</v>
          </cell>
          <cell r="C2852" t="str">
            <v>Hasil Kerja Sama Daerah-LO</v>
          </cell>
          <cell r="D2852">
            <v>0</v>
          </cell>
          <cell r="E2852">
            <v>0</v>
          </cell>
          <cell r="J2852">
            <v>0</v>
          </cell>
        </row>
        <row r="2853">
          <cell r="B2853" t="str">
            <v>7.1.04.04.01</v>
          </cell>
          <cell r="C2853" t="str">
            <v>Hasil Kerja Sama Daerah-LO</v>
          </cell>
          <cell r="F2853">
            <v>0</v>
          </cell>
          <cell r="G2853">
            <v>0</v>
          </cell>
          <cell r="H2853">
            <v>0</v>
          </cell>
          <cell r="I2853">
            <v>0</v>
          </cell>
          <cell r="J2853">
            <v>0</v>
          </cell>
        </row>
        <row r="2854">
          <cell r="B2854" t="str">
            <v>7.1.04.05</v>
          </cell>
          <cell r="C2854" t="str">
            <v>Jasa Giro-LO</v>
          </cell>
          <cell r="D2854">
            <v>2308728676</v>
          </cell>
          <cell r="E2854">
            <v>2216059559.9099998</v>
          </cell>
          <cell r="J2854">
            <v>2219360170.8199997</v>
          </cell>
        </row>
        <row r="2855">
          <cell r="B2855" t="str">
            <v>7.1.04.05.01</v>
          </cell>
          <cell r="C2855" t="str">
            <v>Jasa Giro pada Kas Daerah-LO</v>
          </cell>
          <cell r="D2855">
            <v>2308397645.3499999</v>
          </cell>
          <cell r="E2855">
            <v>2216059559.9099998</v>
          </cell>
          <cell r="F2855">
            <v>0</v>
          </cell>
          <cell r="G2855">
            <v>0</v>
          </cell>
          <cell r="H2855">
            <v>0</v>
          </cell>
          <cell r="I2855">
            <v>0</v>
          </cell>
          <cell r="J2855">
            <v>2216059559.9099998</v>
          </cell>
        </row>
        <row r="2856">
          <cell r="B2856" t="str">
            <v>7.1.04.05.02</v>
          </cell>
          <cell r="C2856" t="str">
            <v>Jasa Giro pada Kas di Bendahara-LO</v>
          </cell>
          <cell r="F2856">
            <v>0</v>
          </cell>
          <cell r="G2856">
            <v>0</v>
          </cell>
          <cell r="H2856">
            <v>0</v>
          </cell>
          <cell r="I2856">
            <v>0</v>
          </cell>
          <cell r="J2856">
            <v>0</v>
          </cell>
        </row>
        <row r="2857">
          <cell r="B2857" t="str">
            <v>7.1.04.05.03</v>
          </cell>
          <cell r="C2857" t="str">
            <v>Jasa Giro pada Rekening Dana Cadangan-LO</v>
          </cell>
          <cell r="F2857">
            <v>0</v>
          </cell>
          <cell r="G2857">
            <v>0</v>
          </cell>
          <cell r="H2857">
            <v>0</v>
          </cell>
          <cell r="I2857">
            <v>0</v>
          </cell>
          <cell r="J2857">
            <v>0</v>
          </cell>
        </row>
        <row r="2858">
          <cell r="B2858" t="str">
            <v>7.1.04.05.04</v>
          </cell>
          <cell r="C2858" t="str">
            <v>Jasa Giro pada Rekening Dana BOS-LO</v>
          </cell>
          <cell r="D2858">
            <v>331030.65000000002</v>
          </cell>
          <cell r="F2858">
            <v>0</v>
          </cell>
          <cell r="G2858">
            <v>3300610.9100000006</v>
          </cell>
          <cell r="H2858">
            <v>0</v>
          </cell>
          <cell r="I2858">
            <v>0</v>
          </cell>
          <cell r="J2858">
            <v>3300610.9100000006</v>
          </cell>
        </row>
        <row r="2859">
          <cell r="B2859" t="str">
            <v>7.1.04.05.05</v>
          </cell>
          <cell r="C2859" t="str">
            <v>Jasa Giro Dana Kapitasi pada FKTP-LO</v>
          </cell>
          <cell r="F2859">
            <v>0</v>
          </cell>
          <cell r="G2859">
            <v>0</v>
          </cell>
          <cell r="H2859">
            <v>0</v>
          </cell>
          <cell r="I2859">
            <v>0</v>
          </cell>
          <cell r="J2859">
            <v>0</v>
          </cell>
        </row>
        <row r="2860">
          <cell r="B2860" t="str">
            <v>7.1.04.05.06</v>
          </cell>
          <cell r="C2860" t="str">
            <v>Pendapatan Jasa Giro pada Rekening Dana BOSP-LO</v>
          </cell>
          <cell r="F2860">
            <v>0</v>
          </cell>
          <cell r="G2860">
            <v>0</v>
          </cell>
          <cell r="H2860">
            <v>0</v>
          </cell>
          <cell r="I2860">
            <v>0</v>
          </cell>
          <cell r="J2860">
            <v>0</v>
          </cell>
        </row>
        <row r="2861">
          <cell r="B2861" t="str">
            <v>7.1.04.05.07</v>
          </cell>
          <cell r="C2861" t="str">
            <v>Pendapatan Jasa Giro pada Rekening Dana BOK Puskesmas-LO</v>
          </cell>
          <cell r="F2861">
            <v>0</v>
          </cell>
          <cell r="G2861">
            <v>0</v>
          </cell>
          <cell r="H2861">
            <v>0</v>
          </cell>
          <cell r="I2861">
            <v>0</v>
          </cell>
          <cell r="J2861">
            <v>0</v>
          </cell>
        </row>
        <row r="2862">
          <cell r="B2862" t="str">
            <v>7.1.04.05.08</v>
          </cell>
          <cell r="C2862" t="str">
            <v>Jasa Giro pada Rekening Kas Otonomi Khusus-LO</v>
          </cell>
          <cell r="F2862">
            <v>0</v>
          </cell>
          <cell r="G2862">
            <v>0</v>
          </cell>
          <cell r="H2862">
            <v>0</v>
          </cell>
          <cell r="I2862">
            <v>0</v>
          </cell>
          <cell r="J2862">
            <v>0</v>
          </cell>
        </row>
        <row r="2863">
          <cell r="B2863" t="str">
            <v>7.1.04.05.09</v>
          </cell>
          <cell r="C2863" t="str">
            <v>Jasa Giro pada Rekening Kas Dana Abadi Daerah-LO</v>
          </cell>
          <cell r="F2863">
            <v>0</v>
          </cell>
          <cell r="G2863">
            <v>0</v>
          </cell>
          <cell r="H2863">
            <v>0</v>
          </cell>
          <cell r="I2863">
            <v>0</v>
          </cell>
          <cell r="J2863">
            <v>0</v>
          </cell>
        </row>
        <row r="2864">
          <cell r="B2864" t="str">
            <v>7.1.04.06</v>
          </cell>
          <cell r="C2864" t="str">
            <v>Hasil Pengelolaan Dana Bergulir-LO</v>
          </cell>
          <cell r="D2864">
            <v>0</v>
          </cell>
          <cell r="E2864">
            <v>0</v>
          </cell>
          <cell r="J2864">
            <v>0</v>
          </cell>
        </row>
        <row r="2865">
          <cell r="B2865" t="str">
            <v>7.1.04.06.01</v>
          </cell>
          <cell r="C2865" t="str">
            <v>Hasil Pengelolaan Dana Bergulir-LO</v>
          </cell>
          <cell r="F2865">
            <v>0</v>
          </cell>
          <cell r="G2865">
            <v>0</v>
          </cell>
          <cell r="H2865">
            <v>0</v>
          </cell>
          <cell r="I2865">
            <v>0</v>
          </cell>
          <cell r="J2865">
            <v>0</v>
          </cell>
        </row>
        <row r="2866">
          <cell r="B2866" t="str">
            <v>7.1.04.07</v>
          </cell>
          <cell r="C2866" t="str">
            <v>Pendapatan Bunga-LO</v>
          </cell>
          <cell r="D2866">
            <v>358358851</v>
          </cell>
          <cell r="E2866">
            <v>0</v>
          </cell>
          <cell r="J2866">
            <v>40558908</v>
          </cell>
        </row>
        <row r="2867">
          <cell r="B2867" t="str">
            <v>7.1.04.07.01</v>
          </cell>
          <cell r="C2867" t="str">
            <v>Pendapatan Bunga atas Penempatan Uang Pemerintah Daerah-LO</v>
          </cell>
          <cell r="D2867">
            <v>358358851</v>
          </cell>
          <cell r="F2867">
            <v>0</v>
          </cell>
          <cell r="G2867">
            <v>40558908</v>
          </cell>
          <cell r="H2867">
            <v>0</v>
          </cell>
          <cell r="I2867">
            <v>0</v>
          </cell>
          <cell r="J2867">
            <v>40558908</v>
          </cell>
        </row>
        <row r="2868">
          <cell r="B2868" t="str">
            <v>7.1.04.08</v>
          </cell>
          <cell r="C2868" t="str">
            <v>Penerimaan atas Tuntutan Ganti Kerugian Keuangan Daerah-LO</v>
          </cell>
          <cell r="D2868">
            <v>1521631251.0999999</v>
          </cell>
          <cell r="E2868">
            <v>1686412431.1800001</v>
          </cell>
          <cell r="J2868">
            <v>1681412431.1800001</v>
          </cell>
        </row>
        <row r="2869">
          <cell r="B2869" t="str">
            <v>7.1.04.08.01</v>
          </cell>
          <cell r="C2869" t="str">
            <v>Tuntutan Ganti Kerugian Daerah terhadap Bendahara-LO</v>
          </cell>
          <cell r="F2869">
            <v>0</v>
          </cell>
          <cell r="G2869">
            <v>0</v>
          </cell>
          <cell r="H2869">
            <v>0</v>
          </cell>
          <cell r="I2869">
            <v>0</v>
          </cell>
          <cell r="J2869">
            <v>0</v>
          </cell>
        </row>
        <row r="2870">
          <cell r="B2870" t="str">
            <v>7.1.04.08.02</v>
          </cell>
          <cell r="C2870" t="str">
            <v>Tuntutan Ganti Kerugian Daerah terhadap Pegawai Negeri Bukan Bendahara atau Pejabat Lain-LO</v>
          </cell>
          <cell r="D2870">
            <v>1521631251.0999999</v>
          </cell>
          <cell r="E2870">
            <v>1686412431.1800001</v>
          </cell>
          <cell r="F2870">
            <v>5000000</v>
          </cell>
          <cell r="G2870">
            <v>0</v>
          </cell>
          <cell r="H2870">
            <v>0</v>
          </cell>
          <cell r="I2870">
            <v>0</v>
          </cell>
          <cell r="J2870">
            <v>1681412431.1800001</v>
          </cell>
        </row>
        <row r="2871">
          <cell r="B2871" t="str">
            <v>7.1.04.09</v>
          </cell>
          <cell r="C2871" t="str">
            <v>Penerimaan Komisi, Potongan, atau Bentuk Lain-LO</v>
          </cell>
          <cell r="D2871">
            <v>541163211.20000076</v>
          </cell>
          <cell r="E2871">
            <v>2575292894.9400001</v>
          </cell>
          <cell r="J2871">
            <v>2521950914.5300002</v>
          </cell>
        </row>
        <row r="2872">
          <cell r="B2872" t="str">
            <v>7.1.04.09.01</v>
          </cell>
          <cell r="C2872" t="str">
            <v>Penerimaan Komisi, Potongan, atau Bentuk Lain-LO</v>
          </cell>
          <cell r="D2872">
            <v>541163211.20000076</v>
          </cell>
          <cell r="E2872">
            <v>2575292894.9400001</v>
          </cell>
          <cell r="F2872">
            <v>58020463.019999996</v>
          </cell>
          <cell r="G2872">
            <v>4678482.6099999212</v>
          </cell>
          <cell r="H2872">
            <v>0</v>
          </cell>
          <cell r="I2872">
            <v>0</v>
          </cell>
          <cell r="J2872">
            <v>2521950914.5300002</v>
          </cell>
        </row>
        <row r="2873">
          <cell r="B2873" t="str">
            <v>7.1.04.10</v>
          </cell>
          <cell r="C2873" t="str">
            <v>Penerimaan Keuntungan dari Selisih Nilai Tukar Rupiah terhadap Mata Uang Asing-LO</v>
          </cell>
          <cell r="D2873">
            <v>4069826337</v>
          </cell>
          <cell r="E2873">
            <v>0</v>
          </cell>
          <cell r="J2873">
            <v>0</v>
          </cell>
        </row>
        <row r="2874">
          <cell r="B2874" t="str">
            <v>7.1.04.10.01</v>
          </cell>
          <cell r="C2874" t="str">
            <v>Penerimaan Keuntungan dari Selisih Nilai Tukar Rupiah terhadap Mata Uang Asing-LO</v>
          </cell>
          <cell r="D2874">
            <v>4069826337</v>
          </cell>
          <cell r="F2874">
            <v>0</v>
          </cell>
          <cell r="G2874">
            <v>0</v>
          </cell>
          <cell r="H2874">
            <v>0</v>
          </cell>
          <cell r="I2874">
            <v>0</v>
          </cell>
          <cell r="J2874">
            <v>0</v>
          </cell>
        </row>
        <row r="2875">
          <cell r="B2875" t="str">
            <v>7.1.04.11</v>
          </cell>
          <cell r="C2875" t="str">
            <v>Pendapatan Denda atas Keterlambatan Pelaksanaan Pekerjaan-LO</v>
          </cell>
          <cell r="D2875">
            <v>56374292.710000001</v>
          </cell>
          <cell r="E2875">
            <v>1263306652.78</v>
          </cell>
          <cell r="J2875">
            <v>1263306652.78</v>
          </cell>
        </row>
        <row r="2876">
          <cell r="B2876" t="str">
            <v>7.1.04.11.01</v>
          </cell>
          <cell r="C2876" t="str">
            <v>Pendapatan Denda atas Keterlambatan Pelaksanaan Pekerjaan-LO</v>
          </cell>
          <cell r="D2876">
            <v>56374292.710000001</v>
          </cell>
          <cell r="E2876">
            <v>1263306652.78</v>
          </cell>
          <cell r="F2876">
            <v>0</v>
          </cell>
          <cell r="G2876">
            <v>0</v>
          </cell>
          <cell r="H2876">
            <v>0</v>
          </cell>
          <cell r="I2876">
            <v>0</v>
          </cell>
          <cell r="J2876">
            <v>1263306652.78</v>
          </cell>
        </row>
        <row r="2877">
          <cell r="B2877" t="str">
            <v>7.1.04.12</v>
          </cell>
          <cell r="C2877" t="str">
            <v>Pendapatan Denda Pajak Daerah-LO</v>
          </cell>
          <cell r="D2877">
            <v>0</v>
          </cell>
          <cell r="E2877">
            <v>0</v>
          </cell>
          <cell r="J2877">
            <v>0</v>
          </cell>
        </row>
        <row r="2878">
          <cell r="B2878" t="str">
            <v>7.1.04.12.01</v>
          </cell>
          <cell r="C2878" t="str">
            <v>Pendapatan Denda Pajak Kendaraan Bermotor (PKB)-LO</v>
          </cell>
          <cell r="F2878">
            <v>0</v>
          </cell>
          <cell r="G2878">
            <v>0</v>
          </cell>
          <cell r="H2878">
            <v>0</v>
          </cell>
          <cell r="I2878">
            <v>0</v>
          </cell>
          <cell r="J2878">
            <v>0</v>
          </cell>
        </row>
        <row r="2879">
          <cell r="B2879" t="str">
            <v>7.1.04.12.02</v>
          </cell>
          <cell r="C2879" t="str">
            <v>Pendapatan Denda Bea Balik Nama Kendaraan Bermotor (BBNKB)-LO</v>
          </cell>
          <cell r="F2879">
            <v>0</v>
          </cell>
          <cell r="G2879">
            <v>0</v>
          </cell>
          <cell r="H2879">
            <v>0</v>
          </cell>
          <cell r="I2879">
            <v>0</v>
          </cell>
          <cell r="J2879">
            <v>0</v>
          </cell>
        </row>
        <row r="2880">
          <cell r="B2880" t="str">
            <v>7.1.04.12.03</v>
          </cell>
          <cell r="C2880" t="str">
            <v>Pendapatan Denda Pajak Bahan Bakar Kendaraan Bermotor (PBBKB)-LO</v>
          </cell>
          <cell r="F2880">
            <v>0</v>
          </cell>
          <cell r="G2880">
            <v>0</v>
          </cell>
          <cell r="H2880">
            <v>0</v>
          </cell>
          <cell r="I2880">
            <v>0</v>
          </cell>
          <cell r="J2880">
            <v>0</v>
          </cell>
        </row>
        <row r="2881">
          <cell r="B2881" t="str">
            <v>7.1.04.12.04</v>
          </cell>
          <cell r="C2881" t="str">
            <v>Pendapatan Denda Pajak Air Permukaan-LO</v>
          </cell>
          <cell r="F2881">
            <v>0</v>
          </cell>
          <cell r="G2881">
            <v>0</v>
          </cell>
          <cell r="H2881">
            <v>0</v>
          </cell>
          <cell r="I2881">
            <v>0</v>
          </cell>
          <cell r="J2881">
            <v>0</v>
          </cell>
        </row>
        <row r="2882">
          <cell r="B2882" t="str">
            <v>7.1.04.12.05</v>
          </cell>
          <cell r="C2882" t="str">
            <v>Pendapatan Denda Pajak Rokok-LO</v>
          </cell>
          <cell r="F2882">
            <v>0</v>
          </cell>
          <cell r="G2882">
            <v>0</v>
          </cell>
          <cell r="H2882">
            <v>0</v>
          </cell>
          <cell r="I2882">
            <v>0</v>
          </cell>
          <cell r="J2882">
            <v>0</v>
          </cell>
        </row>
        <row r="2883">
          <cell r="B2883" t="str">
            <v>7.1.04.12.06</v>
          </cell>
          <cell r="C2883" t="str">
            <v>Pendapatan Denda Pajak Hotel-LO</v>
          </cell>
          <cell r="F2883">
            <v>0</v>
          </cell>
          <cell r="G2883">
            <v>0</v>
          </cell>
          <cell r="H2883">
            <v>0</v>
          </cell>
          <cell r="I2883">
            <v>0</v>
          </cell>
          <cell r="J2883">
            <v>0</v>
          </cell>
        </row>
        <row r="2884">
          <cell r="B2884" t="str">
            <v>7.1.04.12.07</v>
          </cell>
          <cell r="C2884" t="str">
            <v>Pendapatan Denda Pajak Restoran-LO</v>
          </cell>
          <cell r="F2884">
            <v>0</v>
          </cell>
          <cell r="G2884">
            <v>0</v>
          </cell>
          <cell r="H2884">
            <v>0</v>
          </cell>
          <cell r="I2884">
            <v>0</v>
          </cell>
          <cell r="J2884">
            <v>0</v>
          </cell>
        </row>
        <row r="2885">
          <cell r="B2885" t="str">
            <v>7.1.04.12.08</v>
          </cell>
          <cell r="C2885" t="str">
            <v>Pendapatan Denda Pajak Hiburan-LO</v>
          </cell>
          <cell r="F2885">
            <v>0</v>
          </cell>
          <cell r="G2885">
            <v>0</v>
          </cell>
          <cell r="H2885">
            <v>0</v>
          </cell>
          <cell r="I2885">
            <v>0</v>
          </cell>
          <cell r="J2885">
            <v>0</v>
          </cell>
        </row>
        <row r="2886">
          <cell r="B2886" t="str">
            <v>7.1.04.12.09</v>
          </cell>
          <cell r="C2886" t="str">
            <v>Pendapatan Denda Pajak Reklame-LO</v>
          </cell>
          <cell r="F2886">
            <v>0</v>
          </cell>
          <cell r="G2886">
            <v>0</v>
          </cell>
          <cell r="H2886">
            <v>0</v>
          </cell>
          <cell r="I2886">
            <v>0</v>
          </cell>
          <cell r="J2886">
            <v>0</v>
          </cell>
        </row>
        <row r="2887">
          <cell r="B2887" t="str">
            <v>7.1.04.12.10</v>
          </cell>
          <cell r="C2887" t="str">
            <v>Pendapatan Denda Pajak Penerangan Jalan-LO</v>
          </cell>
          <cell r="F2887">
            <v>0</v>
          </cell>
          <cell r="G2887">
            <v>0</v>
          </cell>
          <cell r="H2887">
            <v>0</v>
          </cell>
          <cell r="I2887">
            <v>0</v>
          </cell>
          <cell r="J2887">
            <v>0</v>
          </cell>
        </row>
        <row r="2888">
          <cell r="B2888" t="str">
            <v>7.1.04.12.11</v>
          </cell>
          <cell r="C2888" t="str">
            <v>Pendapatan Denda Pajak Parkir-LO</v>
          </cell>
          <cell r="F2888">
            <v>0</v>
          </cell>
          <cell r="G2888">
            <v>0</v>
          </cell>
          <cell r="H2888">
            <v>0</v>
          </cell>
          <cell r="I2888">
            <v>0</v>
          </cell>
          <cell r="J2888">
            <v>0</v>
          </cell>
        </row>
        <row r="2889">
          <cell r="B2889" t="str">
            <v>7.1.04.12.12</v>
          </cell>
          <cell r="C2889" t="str">
            <v>Pendapatan Denda Pajak Air Tanah-LO</v>
          </cell>
          <cell r="F2889">
            <v>0</v>
          </cell>
          <cell r="G2889">
            <v>0</v>
          </cell>
          <cell r="H2889">
            <v>0</v>
          </cell>
          <cell r="I2889">
            <v>0</v>
          </cell>
          <cell r="J2889">
            <v>0</v>
          </cell>
        </row>
        <row r="2890">
          <cell r="B2890" t="str">
            <v>7.1.04.12.13</v>
          </cell>
          <cell r="C2890" t="str">
            <v>Pendapatan Denda Pajak Sarang Burung Walet-LO</v>
          </cell>
          <cell r="F2890">
            <v>0</v>
          </cell>
          <cell r="G2890">
            <v>0</v>
          </cell>
          <cell r="H2890">
            <v>0</v>
          </cell>
          <cell r="I2890">
            <v>0</v>
          </cell>
          <cell r="J2890">
            <v>0</v>
          </cell>
        </row>
        <row r="2891">
          <cell r="B2891" t="str">
            <v>7.1.04.12.14</v>
          </cell>
          <cell r="C2891" t="str">
            <v>Pendapatan Denda Pajak Mineral Bukan Logam dan Batuan-LO</v>
          </cell>
          <cell r="F2891">
            <v>0</v>
          </cell>
          <cell r="G2891">
            <v>0</v>
          </cell>
          <cell r="H2891">
            <v>0</v>
          </cell>
          <cell r="I2891">
            <v>0</v>
          </cell>
          <cell r="J2891">
            <v>0</v>
          </cell>
        </row>
        <row r="2892">
          <cell r="B2892" t="str">
            <v>7.1.04.12.15</v>
          </cell>
          <cell r="C2892" t="str">
            <v>Pendapatan Denda Pajak Bumi dan Bangunan Perdesaan dan Perkotaan (PBBP2)-LO</v>
          </cell>
          <cell r="F2892">
            <v>0</v>
          </cell>
          <cell r="G2892">
            <v>0</v>
          </cell>
          <cell r="H2892">
            <v>0</v>
          </cell>
          <cell r="I2892">
            <v>0</v>
          </cell>
          <cell r="J2892">
            <v>0</v>
          </cell>
        </row>
        <row r="2893">
          <cell r="B2893" t="str">
            <v>7.1.04.12.16</v>
          </cell>
          <cell r="C2893" t="str">
            <v>Pendapatan Denda Bea Perolehan Hak atas Tanah dan Bangunan (BPHTB)-LO</v>
          </cell>
          <cell r="F2893">
            <v>0</v>
          </cell>
          <cell r="G2893">
            <v>0</v>
          </cell>
          <cell r="H2893">
            <v>0</v>
          </cell>
          <cell r="I2893">
            <v>0</v>
          </cell>
          <cell r="J2893">
            <v>0</v>
          </cell>
        </row>
        <row r="2894">
          <cell r="B2894" t="str">
            <v>7.1.04.12.17</v>
          </cell>
          <cell r="C2894" t="str">
            <v>Pendapatan Denda Pajak Alat Berat-LO</v>
          </cell>
          <cell r="F2894">
            <v>0</v>
          </cell>
          <cell r="G2894">
            <v>0</v>
          </cell>
          <cell r="H2894">
            <v>0</v>
          </cell>
          <cell r="I2894">
            <v>0</v>
          </cell>
          <cell r="J2894">
            <v>0</v>
          </cell>
        </row>
        <row r="2895">
          <cell r="B2895" t="str">
            <v>7.1.04.12.18</v>
          </cell>
          <cell r="C2895" t="str">
            <v>Pendapatan Denda Opsen Pajak Mineral Bukan Logam dan Batuan (MBLB)-LO</v>
          </cell>
          <cell r="F2895">
            <v>0</v>
          </cell>
          <cell r="G2895">
            <v>0</v>
          </cell>
          <cell r="H2895">
            <v>0</v>
          </cell>
          <cell r="I2895">
            <v>0</v>
          </cell>
          <cell r="J2895">
            <v>0</v>
          </cell>
        </row>
        <row r="2896">
          <cell r="B2896" t="str">
            <v>7.1.04.12.19</v>
          </cell>
          <cell r="C2896" t="str">
            <v>Pendapatan Denda Pajak Barang dan Jasa Tertentu (PBJT)-LO</v>
          </cell>
          <cell r="F2896">
            <v>0</v>
          </cell>
          <cell r="G2896">
            <v>0</v>
          </cell>
          <cell r="H2896">
            <v>0</v>
          </cell>
          <cell r="I2896">
            <v>0</v>
          </cell>
          <cell r="J2896">
            <v>0</v>
          </cell>
        </row>
        <row r="2897">
          <cell r="B2897" t="str">
            <v>7.1.04.12.20</v>
          </cell>
          <cell r="C2897" t="str">
            <v>Pendapatan Denda Opsen Pajak Kendaraan Bermotor (PKB)-LO</v>
          </cell>
          <cell r="F2897">
            <v>0</v>
          </cell>
          <cell r="G2897">
            <v>0</v>
          </cell>
          <cell r="H2897">
            <v>0</v>
          </cell>
          <cell r="I2897">
            <v>0</v>
          </cell>
          <cell r="J2897">
            <v>0</v>
          </cell>
        </row>
        <row r="2898">
          <cell r="B2898" t="str">
            <v>7.1.04.12.21</v>
          </cell>
          <cell r="C2898" t="str">
            <v>Pendapatan Denda Opsen Bea Balik Nama Kendaraan Bermotor (BBNKB)-LO</v>
          </cell>
          <cell r="F2898">
            <v>0</v>
          </cell>
          <cell r="G2898">
            <v>0</v>
          </cell>
          <cell r="H2898">
            <v>0</v>
          </cell>
          <cell r="I2898">
            <v>0</v>
          </cell>
          <cell r="J2898">
            <v>0</v>
          </cell>
        </row>
        <row r="2899">
          <cell r="B2899" t="str">
            <v>7.1.04.13</v>
          </cell>
          <cell r="C2899" t="str">
            <v>Pendapatan Denda Retribusi Daerah-LO</v>
          </cell>
          <cell r="D2899">
            <v>0</v>
          </cell>
          <cell r="E2899">
            <v>0</v>
          </cell>
          <cell r="J2899">
            <v>0</v>
          </cell>
        </row>
        <row r="2900">
          <cell r="B2900" t="str">
            <v>7.1.04.13.01</v>
          </cell>
          <cell r="C2900" t="str">
            <v>Pendapatan Denda Retribusi Jasa Umum-LO</v>
          </cell>
          <cell r="F2900">
            <v>0</v>
          </cell>
          <cell r="G2900">
            <v>0</v>
          </cell>
          <cell r="H2900">
            <v>0</v>
          </cell>
          <cell r="I2900">
            <v>0</v>
          </cell>
          <cell r="J2900">
            <v>0</v>
          </cell>
        </row>
        <row r="2901">
          <cell r="B2901" t="str">
            <v>7.1.04.13.02</v>
          </cell>
          <cell r="C2901" t="str">
            <v>Pendapatan Denda Retribusi Jasa Usaha-LO</v>
          </cell>
          <cell r="F2901">
            <v>0</v>
          </cell>
          <cell r="G2901">
            <v>0</v>
          </cell>
          <cell r="H2901">
            <v>0</v>
          </cell>
          <cell r="I2901">
            <v>0</v>
          </cell>
          <cell r="J2901">
            <v>0</v>
          </cell>
        </row>
        <row r="2902">
          <cell r="B2902" t="str">
            <v>7.1.04.13.03</v>
          </cell>
          <cell r="C2902" t="str">
            <v>Pendapatan Denda Retribusi Perizinan Tertentu-LO</v>
          </cell>
          <cell r="F2902">
            <v>0</v>
          </cell>
          <cell r="G2902">
            <v>0</v>
          </cell>
          <cell r="H2902">
            <v>0</v>
          </cell>
          <cell r="I2902">
            <v>0</v>
          </cell>
          <cell r="J2902">
            <v>0</v>
          </cell>
        </row>
        <row r="2903">
          <cell r="B2903" t="str">
            <v>7.1.04.14</v>
          </cell>
          <cell r="C2903" t="str">
            <v>Pendapatan Hasil Eksekusi atas Jaminan-LO</v>
          </cell>
          <cell r="D2903">
            <v>0</v>
          </cell>
          <cell r="E2903">
            <v>0</v>
          </cell>
          <cell r="J2903">
            <v>0</v>
          </cell>
        </row>
        <row r="2904">
          <cell r="B2904" t="str">
            <v>7.1.04.14.01</v>
          </cell>
          <cell r="C2904" t="str">
            <v>Hasil Eksekusi atas Jaminan atas Pengadaan Barang/Jasa-LO</v>
          </cell>
          <cell r="F2904">
            <v>0</v>
          </cell>
          <cell r="G2904">
            <v>0</v>
          </cell>
          <cell r="H2904">
            <v>0</v>
          </cell>
          <cell r="I2904">
            <v>0</v>
          </cell>
          <cell r="J2904">
            <v>0</v>
          </cell>
        </row>
        <row r="2905">
          <cell r="B2905" t="str">
            <v>7.1.04.15</v>
          </cell>
          <cell r="C2905" t="str">
            <v>Pendapatan dari Pengembalian-LO</v>
          </cell>
          <cell r="D2905">
            <v>0</v>
          </cell>
          <cell r="E2905">
            <v>0</v>
          </cell>
          <cell r="J2905">
            <v>55875400</v>
          </cell>
        </row>
        <row r="2906">
          <cell r="B2906" t="str">
            <v>7.1.04.15.01</v>
          </cell>
          <cell r="C2906" t="str">
            <v>Pendapatan dari Pengembalian Kelebihan Pembayaran Pajak Penghasilan Pasal 21-LO</v>
          </cell>
          <cell r="F2906">
            <v>0</v>
          </cell>
          <cell r="G2906">
            <v>0</v>
          </cell>
          <cell r="H2906">
            <v>0</v>
          </cell>
          <cell r="I2906">
            <v>0</v>
          </cell>
          <cell r="J2906">
            <v>0</v>
          </cell>
        </row>
        <row r="2907">
          <cell r="B2907" t="str">
            <v>7.1.04.15.02</v>
          </cell>
          <cell r="C2907" t="str">
            <v>Pendapatan dari Pengembalian Kelebihan Pembayaran Iuran Simpanan Peserta Tabungan Perumahan Rakyat ASN-LO</v>
          </cell>
          <cell r="F2907">
            <v>0</v>
          </cell>
          <cell r="G2907">
            <v>0</v>
          </cell>
          <cell r="H2907">
            <v>0</v>
          </cell>
          <cell r="I2907">
            <v>0</v>
          </cell>
          <cell r="J2907">
            <v>0</v>
          </cell>
        </row>
        <row r="2908">
          <cell r="B2908" t="str">
            <v>7.1.04.15.03</v>
          </cell>
          <cell r="C2908" t="str">
            <v>Pendapatan dari Pengembalian Kelebihan Pembayaran Gaji dan Tunjangan-LO</v>
          </cell>
          <cell r="F2908">
            <v>0</v>
          </cell>
          <cell r="G2908">
            <v>0</v>
          </cell>
          <cell r="H2908">
            <v>0</v>
          </cell>
          <cell r="I2908">
            <v>0</v>
          </cell>
          <cell r="J2908">
            <v>0</v>
          </cell>
        </row>
        <row r="2909">
          <cell r="B2909" t="str">
            <v>7.1.04.15.04</v>
          </cell>
          <cell r="C2909" t="str">
            <v>Pendapatan dari Pengembalian Kelebihan Pembayaran Perjalanan Dinas-LO</v>
          </cell>
          <cell r="F2909">
            <v>0</v>
          </cell>
          <cell r="G2909">
            <v>0</v>
          </cell>
          <cell r="H2909">
            <v>0</v>
          </cell>
          <cell r="I2909">
            <v>0</v>
          </cell>
          <cell r="J2909">
            <v>0</v>
          </cell>
        </row>
        <row r="2910">
          <cell r="B2910" t="str">
            <v>7.1.04.15.05</v>
          </cell>
          <cell r="C2910" t="str">
            <v>Pendapatan dari Pengembalian Kelebihan Pembayaran Jaminan Kecelakaan Kerja (JKK)-LO</v>
          </cell>
          <cell r="F2910">
            <v>0</v>
          </cell>
          <cell r="G2910">
            <v>0</v>
          </cell>
          <cell r="H2910">
            <v>0</v>
          </cell>
          <cell r="I2910">
            <v>0</v>
          </cell>
          <cell r="J2910">
            <v>0</v>
          </cell>
        </row>
        <row r="2911">
          <cell r="B2911" t="str">
            <v>7.1.04.15.06</v>
          </cell>
          <cell r="C2911" t="str">
            <v>Pendapatan dari Pengembalian Kelebihan Pembayaran Jaminan Kematian (JKM)-LO</v>
          </cell>
          <cell r="F2911">
            <v>0</v>
          </cell>
          <cell r="G2911">
            <v>0</v>
          </cell>
          <cell r="H2911">
            <v>0</v>
          </cell>
          <cell r="I2911">
            <v>0</v>
          </cell>
          <cell r="J2911">
            <v>0</v>
          </cell>
        </row>
        <row r="2912">
          <cell r="B2912" t="str">
            <v>7.1.04.15.07</v>
          </cell>
          <cell r="C2912" t="str">
            <v>Pendapatan dari Pengembalian Kelebihan Pembayaran Jaminan Kesehatan Nasional (JKN)-LO</v>
          </cell>
          <cell r="F2912">
            <v>0</v>
          </cell>
          <cell r="G2912">
            <v>0</v>
          </cell>
          <cell r="H2912">
            <v>0</v>
          </cell>
          <cell r="I2912">
            <v>0</v>
          </cell>
          <cell r="J2912">
            <v>0</v>
          </cell>
        </row>
        <row r="2913">
          <cell r="B2913" t="str">
            <v>7.1.04.15.08</v>
          </cell>
          <cell r="C2913" t="str">
            <v>Pendapatan dari Pengembalian Kelebihan Pembayaran Belanja Gaji dan Tunjangan ASN-LO</v>
          </cell>
          <cell r="F2913">
            <v>0</v>
          </cell>
          <cell r="G2913">
            <v>0</v>
          </cell>
          <cell r="H2913">
            <v>0</v>
          </cell>
          <cell r="I2913">
            <v>0</v>
          </cell>
          <cell r="J2913">
            <v>0</v>
          </cell>
        </row>
        <row r="2914">
          <cell r="B2914" t="str">
            <v>7.1.04.15.09</v>
          </cell>
          <cell r="C2914" t="str">
            <v>Pendapatan dari Pengembalian Kelebihan Pembayaran Belanja Tambahan Penghasilan ASN-LO</v>
          </cell>
          <cell r="F2914">
            <v>0</v>
          </cell>
          <cell r="G2914">
            <v>0</v>
          </cell>
          <cell r="H2914">
            <v>0</v>
          </cell>
          <cell r="I2914">
            <v>0</v>
          </cell>
          <cell r="J2914">
            <v>0</v>
          </cell>
        </row>
        <row r="2915">
          <cell r="B2915" t="str">
            <v>7.1.04.15.10</v>
          </cell>
          <cell r="C2915" t="str">
            <v>Pendapatan dari Pengembalian Kelebihan Pembayaran Belanja Tambahan Penghasilan berdasarkan Pertimbangan Objektif Lainnya ASN-LO</v>
          </cell>
          <cell r="F2915">
            <v>0</v>
          </cell>
          <cell r="G2915">
            <v>0</v>
          </cell>
          <cell r="H2915">
            <v>0</v>
          </cell>
          <cell r="I2915">
            <v>0</v>
          </cell>
          <cell r="J2915">
            <v>0</v>
          </cell>
        </row>
        <row r="2916">
          <cell r="B2916" t="str">
            <v>7.1.04.15.11</v>
          </cell>
          <cell r="C2916" t="str">
            <v>Pendapatan dari Pengembalian Kelebihan Pembayaran Belanja Gaji dan Tunjangan DPRD-LO</v>
          </cell>
          <cell r="F2916">
            <v>0</v>
          </cell>
          <cell r="G2916">
            <v>0</v>
          </cell>
          <cell r="H2916">
            <v>0</v>
          </cell>
          <cell r="I2916">
            <v>0</v>
          </cell>
          <cell r="J2916">
            <v>0</v>
          </cell>
        </row>
        <row r="2917">
          <cell r="B2917" t="str">
            <v>7.1.04.15.12</v>
          </cell>
          <cell r="C2917" t="str">
            <v>Pendapatan dari Pengembalian Kelebihan Pembayaran Belanja Gaji dan Tunjangan KDH/WKDH-LO</v>
          </cell>
          <cell r="F2917">
            <v>0</v>
          </cell>
          <cell r="G2917">
            <v>0</v>
          </cell>
          <cell r="H2917">
            <v>0</v>
          </cell>
          <cell r="I2917">
            <v>0</v>
          </cell>
          <cell r="J2917">
            <v>0</v>
          </cell>
        </row>
        <row r="2918">
          <cell r="B2918" t="str">
            <v>7.1.04.15.13</v>
          </cell>
          <cell r="C2918" t="str">
            <v>Pendapatan dari Pengembalian Kelebihan Pembayaran Belanja Penerimaan Lainnya Pimpinan DPRD serta KDH/WKDH-LO</v>
          </cell>
          <cell r="F2918">
            <v>0</v>
          </cell>
          <cell r="G2918">
            <v>0</v>
          </cell>
          <cell r="H2918">
            <v>0</v>
          </cell>
          <cell r="I2918">
            <v>0</v>
          </cell>
          <cell r="J2918">
            <v>0</v>
          </cell>
        </row>
        <row r="2919">
          <cell r="B2919" t="str">
            <v>7.1.04.15.14</v>
          </cell>
          <cell r="C2919" t="str">
            <v>Pendapatan dari Pengembalian Kelebihan Pembayaran Belanja Gaji dan Tunjangan MRP-LO</v>
          </cell>
          <cell r="F2919">
            <v>0</v>
          </cell>
          <cell r="G2919">
            <v>0</v>
          </cell>
          <cell r="H2919">
            <v>0</v>
          </cell>
          <cell r="I2919">
            <v>0</v>
          </cell>
          <cell r="J2919">
            <v>0</v>
          </cell>
        </row>
        <row r="2920">
          <cell r="B2920" t="str">
            <v>7.1.04.15.15</v>
          </cell>
          <cell r="C2920" t="str">
            <v>Pendapatan dari Pengembalian Kelebihan Pembayaran Belanja Barang-LO</v>
          </cell>
          <cell r="F2920">
            <v>0</v>
          </cell>
          <cell r="G2920">
            <v>0</v>
          </cell>
          <cell r="H2920">
            <v>0</v>
          </cell>
          <cell r="I2920">
            <v>0</v>
          </cell>
          <cell r="J2920">
            <v>0</v>
          </cell>
        </row>
        <row r="2921">
          <cell r="B2921" t="str">
            <v>7.1.04.15.16</v>
          </cell>
          <cell r="C2921" t="str">
            <v>Pendapatan dari Pengembalian Kelebihan Pembayaran Belanja Jasa-LO</v>
          </cell>
          <cell r="F2921">
            <v>0</v>
          </cell>
          <cell r="G2921">
            <v>0</v>
          </cell>
          <cell r="H2921">
            <v>0</v>
          </cell>
          <cell r="I2921">
            <v>0</v>
          </cell>
          <cell r="J2921">
            <v>0</v>
          </cell>
        </row>
        <row r="2922">
          <cell r="B2922" t="str">
            <v>7.1.04.15.17</v>
          </cell>
          <cell r="C2922" t="str">
            <v>Pendapatan dari Pengembalian Kelebihan Pembayaran Belanja Pemeliharaan-LO</v>
          </cell>
          <cell r="F2922">
            <v>0</v>
          </cell>
          <cell r="G2922">
            <v>0</v>
          </cell>
          <cell r="H2922">
            <v>0</v>
          </cell>
          <cell r="I2922">
            <v>0</v>
          </cell>
          <cell r="J2922">
            <v>0</v>
          </cell>
        </row>
        <row r="2923">
          <cell r="B2923" t="str">
            <v>7.1.04.15.18</v>
          </cell>
          <cell r="C2923" t="str">
            <v>Pendapatan dari Pengembalian Kelebihan Pembayaran Belanja Uang dan/atau Jasa untuk Diberikan kepada Pihak Ketiga/Pihak Lain/Masyarakat-LO</v>
          </cell>
          <cell r="F2923">
            <v>0</v>
          </cell>
          <cell r="G2923">
            <v>0</v>
          </cell>
          <cell r="H2923">
            <v>0</v>
          </cell>
          <cell r="I2923">
            <v>0</v>
          </cell>
          <cell r="J2923">
            <v>0</v>
          </cell>
        </row>
        <row r="2924">
          <cell r="B2924" t="str">
            <v>7.1.04.15.19</v>
          </cell>
          <cell r="C2924" t="str">
            <v>Pendapatan dari Pengembalian Kelebihan Pembayaran Belanja Penunjang Otonomi Khusus*)-LO</v>
          </cell>
          <cell r="F2924">
            <v>0</v>
          </cell>
          <cell r="G2924">
            <v>0</v>
          </cell>
          <cell r="H2924">
            <v>0</v>
          </cell>
          <cell r="I2924">
            <v>0</v>
          </cell>
          <cell r="J2924">
            <v>0</v>
          </cell>
        </row>
        <row r="2925">
          <cell r="B2925" t="str">
            <v>7.1.04.15.20</v>
          </cell>
          <cell r="C2925" t="str">
            <v>Pendapatan dari Pengembalian Kelebihan Pembayaran Belanja Bunga Utang Pinjaman kepada Pemerintah Pusat-LO</v>
          </cell>
          <cell r="F2925">
            <v>0</v>
          </cell>
          <cell r="G2925">
            <v>0</v>
          </cell>
          <cell r="H2925">
            <v>0</v>
          </cell>
          <cell r="I2925">
            <v>0</v>
          </cell>
          <cell r="J2925">
            <v>0</v>
          </cell>
        </row>
        <row r="2926">
          <cell r="B2926" t="str">
            <v>7.1.04.15.21</v>
          </cell>
          <cell r="C2926" t="str">
            <v>Pendapatan dari Pengembalian Kelebihan Pembayaran Belanja Bunga Utang Pinjaman kepada Pemerintah Daerah Lain-LO</v>
          </cell>
          <cell r="F2926">
            <v>0</v>
          </cell>
          <cell r="G2926">
            <v>0</v>
          </cell>
          <cell r="H2926">
            <v>0</v>
          </cell>
          <cell r="I2926">
            <v>0</v>
          </cell>
          <cell r="J2926">
            <v>0</v>
          </cell>
        </row>
        <row r="2927">
          <cell r="B2927" t="str">
            <v>7.1.04.15.22</v>
          </cell>
          <cell r="C2927" t="str">
            <v>Pendapatan dari Pengembalian Kelebihan Pembayaran Belanja Bunga Utang Pinjaman kepada Lembaga Keuangan Bank (LKB)-LO</v>
          </cell>
          <cell r="F2927">
            <v>0</v>
          </cell>
          <cell r="G2927">
            <v>0</v>
          </cell>
          <cell r="H2927">
            <v>0</v>
          </cell>
          <cell r="I2927">
            <v>0</v>
          </cell>
          <cell r="J2927">
            <v>0</v>
          </cell>
        </row>
        <row r="2928">
          <cell r="B2928" t="str">
            <v>7.1.04.15.23</v>
          </cell>
          <cell r="C2928" t="str">
            <v>Pendapatan dari Pengembalian Kelebihan Pembayaran Belanja Bunga Utang Pinjaman kepada Lembaga Keuangan Bukan Bank (LKBB)-LO</v>
          </cell>
          <cell r="F2928">
            <v>0</v>
          </cell>
          <cell r="G2928">
            <v>0</v>
          </cell>
          <cell r="H2928">
            <v>0</v>
          </cell>
          <cell r="I2928">
            <v>0</v>
          </cell>
          <cell r="J2928">
            <v>0</v>
          </cell>
        </row>
        <row r="2929">
          <cell r="B2929" t="str">
            <v>7.1.04.15.24</v>
          </cell>
          <cell r="C2929" t="str">
            <v>Pendapatan dari Pengembalian Kelebihan Pembayaran Belanja Bunga Utang Kepada Masyarakat (Obligasi)-LO</v>
          </cell>
          <cell r="F2929">
            <v>0</v>
          </cell>
          <cell r="G2929">
            <v>0</v>
          </cell>
          <cell r="H2929">
            <v>0</v>
          </cell>
          <cell r="I2929">
            <v>0</v>
          </cell>
          <cell r="J2929">
            <v>0</v>
          </cell>
        </row>
        <row r="2930">
          <cell r="B2930" t="str">
            <v>7.1.04.15.25</v>
          </cell>
          <cell r="C2930" t="str">
            <v>Pendapatan dari Pengembalian Kelebihan Pembayaran Belanja Bunga Utang Pinjaman melalui BLUD-LO</v>
          </cell>
          <cell r="F2930">
            <v>0</v>
          </cell>
          <cell r="G2930">
            <v>0</v>
          </cell>
          <cell r="H2930">
            <v>0</v>
          </cell>
          <cell r="I2930">
            <v>0</v>
          </cell>
          <cell r="J2930">
            <v>0</v>
          </cell>
        </row>
        <row r="2931">
          <cell r="B2931" t="str">
            <v>7.1.04.15.26</v>
          </cell>
          <cell r="C2931" t="str">
            <v>Pendapatan dari Pengembalian Kelebihan Pembayaran Belanja Subsidi kepada BUMN-LO</v>
          </cell>
          <cell r="F2931">
            <v>0</v>
          </cell>
          <cell r="G2931">
            <v>0</v>
          </cell>
          <cell r="H2931">
            <v>0</v>
          </cell>
          <cell r="I2931">
            <v>0</v>
          </cell>
          <cell r="J2931">
            <v>0</v>
          </cell>
        </row>
        <row r="2932">
          <cell r="B2932" t="str">
            <v>7.1.04.15.27</v>
          </cell>
          <cell r="C2932" t="str">
            <v>Pendapatan dari Pengembalian Kelebihan Pembayaran Belanja Subsidi kepada BUMD-LO</v>
          </cell>
          <cell r="F2932">
            <v>0</v>
          </cell>
          <cell r="G2932">
            <v>0</v>
          </cell>
          <cell r="H2932">
            <v>0</v>
          </cell>
          <cell r="I2932">
            <v>0</v>
          </cell>
          <cell r="J2932">
            <v>0</v>
          </cell>
        </row>
        <row r="2933">
          <cell r="B2933" t="str">
            <v>7.1.04.15.28</v>
          </cell>
          <cell r="C2933" t="str">
            <v>Pendapatan dari Pengembalian Kelebihan Pembayaran Belanja Subsidi kepada Badan Usaha Milik Swasta-LO</v>
          </cell>
          <cell r="F2933">
            <v>0</v>
          </cell>
          <cell r="G2933">
            <v>0</v>
          </cell>
          <cell r="H2933">
            <v>0</v>
          </cell>
          <cell r="I2933">
            <v>0</v>
          </cell>
          <cell r="J2933">
            <v>0</v>
          </cell>
        </row>
        <row r="2934">
          <cell r="B2934" t="str">
            <v>7.1.04.15.29</v>
          </cell>
          <cell r="C2934" t="str">
            <v>Pendapatan dari Pengembalian Kelebihan Pembayaran Belanja Subsidi kepada Koperasi-LO</v>
          </cell>
          <cell r="F2934">
            <v>0</v>
          </cell>
          <cell r="G2934">
            <v>0</v>
          </cell>
          <cell r="H2934">
            <v>0</v>
          </cell>
          <cell r="I2934">
            <v>0</v>
          </cell>
          <cell r="J2934">
            <v>0</v>
          </cell>
        </row>
        <row r="2935">
          <cell r="B2935" t="str">
            <v>7.1.04.15.30</v>
          </cell>
          <cell r="C2935" t="str">
            <v>Pendapatan dari Pengembalian Kelebihan Pembayaran Belanja Hibah kepada Pemerintah Pusat-LO</v>
          </cell>
          <cell r="F2935">
            <v>0</v>
          </cell>
          <cell r="G2935">
            <v>0</v>
          </cell>
          <cell r="H2935">
            <v>0</v>
          </cell>
          <cell r="I2935">
            <v>0</v>
          </cell>
          <cell r="J2935">
            <v>0</v>
          </cell>
        </row>
        <row r="2936">
          <cell r="B2936" t="str">
            <v>7.1.04.15.31</v>
          </cell>
          <cell r="C2936" t="str">
            <v>Pendapatan dari Pengembalian Kelebihan Pembayaran Belanja Hibah kepada Pemerintah Daerah Lainnya-LO</v>
          </cell>
          <cell r="F2936">
            <v>0</v>
          </cell>
          <cell r="G2936">
            <v>0</v>
          </cell>
          <cell r="H2936">
            <v>0</v>
          </cell>
          <cell r="I2936">
            <v>0</v>
          </cell>
          <cell r="J2936">
            <v>0</v>
          </cell>
        </row>
        <row r="2937">
          <cell r="B2937" t="str">
            <v>7.1.04.15.32</v>
          </cell>
          <cell r="C2937" t="str">
            <v>Pendapatan dari Pengembalian Kelebihan Pembayaran Belanja Hibah kepada BUMN-LO</v>
          </cell>
          <cell r="F2937">
            <v>0</v>
          </cell>
          <cell r="G2937">
            <v>0</v>
          </cell>
          <cell r="H2937">
            <v>0</v>
          </cell>
          <cell r="I2937">
            <v>0</v>
          </cell>
          <cell r="J2937">
            <v>0</v>
          </cell>
        </row>
        <row r="2938">
          <cell r="B2938" t="str">
            <v>7.1.04.15.33</v>
          </cell>
          <cell r="C2938" t="str">
            <v>Pendapatan dari Pengembalian Kelebihan Pembayaran Belanja Hibah kepada BUMD-LO</v>
          </cell>
          <cell r="F2938">
            <v>0</v>
          </cell>
          <cell r="G2938">
            <v>0</v>
          </cell>
          <cell r="H2938">
            <v>0</v>
          </cell>
          <cell r="I2938">
            <v>0</v>
          </cell>
          <cell r="J2938">
            <v>0</v>
          </cell>
        </row>
        <row r="2939">
          <cell r="B2939" t="str">
            <v>7.1.04.15.34</v>
          </cell>
          <cell r="C2939" t="str">
            <v>Pendapatan dari Pengembalian Kelebihan Pembayaran Belanja Hibah kepada Badan, Lembaga, Organisasi Kemasyarakatan yang Berbadan Hukum Indonesia-LO</v>
          </cell>
          <cell r="F2939">
            <v>0</v>
          </cell>
          <cell r="G2939">
            <v>0</v>
          </cell>
          <cell r="H2939">
            <v>0</v>
          </cell>
          <cell r="I2939">
            <v>0</v>
          </cell>
          <cell r="J2939">
            <v>0</v>
          </cell>
        </row>
        <row r="2940">
          <cell r="B2940" t="str">
            <v>7.1.04.15.35</v>
          </cell>
          <cell r="C2940" t="str">
            <v>Pendapatan dari Pengembalian Kelebihan Pembayaran Belanja Hibah Dana BOS-LO</v>
          </cell>
          <cell r="F2940">
            <v>0</v>
          </cell>
          <cell r="G2940">
            <v>0</v>
          </cell>
          <cell r="H2940">
            <v>0</v>
          </cell>
          <cell r="I2940">
            <v>0</v>
          </cell>
          <cell r="J2940">
            <v>0</v>
          </cell>
        </row>
        <row r="2941">
          <cell r="B2941" t="str">
            <v>7.1.04.15.36</v>
          </cell>
          <cell r="C2941" t="str">
            <v>Pendapatan dari Pengembalian Kelebihan Pembayaran Belanja Hibah Bantuan Keuangan kepada Partai Politik-LO</v>
          </cell>
          <cell r="F2941">
            <v>0</v>
          </cell>
          <cell r="G2941">
            <v>0</v>
          </cell>
          <cell r="H2941">
            <v>0</v>
          </cell>
          <cell r="I2941">
            <v>0</v>
          </cell>
          <cell r="J2941">
            <v>0</v>
          </cell>
        </row>
        <row r="2942">
          <cell r="B2942" t="str">
            <v>7.1.04.15.37</v>
          </cell>
          <cell r="C2942" t="str">
            <v>Pendapatan dari Pengembalian Kelebihan Pembayaran Belanja Bantuan Sosial kepada Individu-LO</v>
          </cell>
          <cell r="F2942">
            <v>0</v>
          </cell>
          <cell r="G2942">
            <v>0</v>
          </cell>
          <cell r="H2942">
            <v>0</v>
          </cell>
          <cell r="I2942">
            <v>0</v>
          </cell>
          <cell r="J2942">
            <v>0</v>
          </cell>
        </row>
        <row r="2943">
          <cell r="B2943" t="str">
            <v>7.1.04.15.38</v>
          </cell>
          <cell r="C2943" t="str">
            <v>Pendapatan dari Pengembalian Kelebihan Pembayaran Belanja Bantuan Sosial kepada Keluarga-LO</v>
          </cell>
          <cell r="F2943">
            <v>0</v>
          </cell>
          <cell r="G2943">
            <v>0</v>
          </cell>
          <cell r="H2943">
            <v>0</v>
          </cell>
          <cell r="I2943">
            <v>0</v>
          </cell>
          <cell r="J2943">
            <v>0</v>
          </cell>
        </row>
        <row r="2944">
          <cell r="B2944" t="str">
            <v>7.1.04.15.39</v>
          </cell>
          <cell r="C2944" t="str">
            <v>Pendapatan dari Pengembalian Kelebihan Pembayaran Belanja Bantuan Sosial kepada Kelompok Masyarakat-LO</v>
          </cell>
          <cell r="F2944">
            <v>0</v>
          </cell>
          <cell r="G2944">
            <v>0</v>
          </cell>
          <cell r="H2944">
            <v>0</v>
          </cell>
          <cell r="I2944">
            <v>0</v>
          </cell>
          <cell r="J2944">
            <v>0</v>
          </cell>
        </row>
        <row r="2945">
          <cell r="B2945" t="str">
            <v>7.1.04.15.40</v>
          </cell>
          <cell r="C2945" t="str">
            <v>Pendapatan dari Pengembalian Kelebihan Pembayaran Belanja Bantuan Sosial Bantuan Sosial kepada Lembaga Non Pemerintahan (Bidang Pendidikan, Keagamaan dan Bidang Lainnya)-LO</v>
          </cell>
          <cell r="F2945">
            <v>0</v>
          </cell>
          <cell r="G2945">
            <v>0</v>
          </cell>
          <cell r="H2945">
            <v>0</v>
          </cell>
          <cell r="I2945">
            <v>0</v>
          </cell>
          <cell r="J2945">
            <v>0</v>
          </cell>
        </row>
        <row r="2946">
          <cell r="B2946" t="str">
            <v>7.1.04.15.41</v>
          </cell>
          <cell r="C2946" t="str">
            <v>Pendapatan dari Pengembalian Kelebihan Pembayaran Belanja Modal Tanah-LO</v>
          </cell>
          <cell r="F2946">
            <v>0</v>
          </cell>
          <cell r="G2946">
            <v>0</v>
          </cell>
          <cell r="H2946">
            <v>0</v>
          </cell>
          <cell r="I2946">
            <v>0</v>
          </cell>
          <cell r="J2946">
            <v>0</v>
          </cell>
        </row>
        <row r="2947">
          <cell r="B2947" t="str">
            <v>7.1.04.15.42</v>
          </cell>
          <cell r="C2947" t="str">
            <v>Pendapatan dari Pengembalian Kelebihan Pembayaran Belanja Modal Peralatan dan Mesin-Alat Besar-LO</v>
          </cell>
          <cell r="F2947">
            <v>0</v>
          </cell>
          <cell r="G2947">
            <v>0</v>
          </cell>
          <cell r="H2947">
            <v>0</v>
          </cell>
          <cell r="I2947">
            <v>0</v>
          </cell>
          <cell r="J2947">
            <v>0</v>
          </cell>
        </row>
        <row r="2948">
          <cell r="B2948" t="str">
            <v>7.1.04.15.43</v>
          </cell>
          <cell r="C2948" t="str">
            <v>Pendapatan dari Pengembalian Kelebihan Pembayaran Belanja Modal Peralatan dan Mesin-Alat Angkutan-LO</v>
          </cell>
          <cell r="F2948">
            <v>0</v>
          </cell>
          <cell r="G2948">
            <v>0</v>
          </cell>
          <cell r="H2948">
            <v>0</v>
          </cell>
          <cell r="I2948">
            <v>0</v>
          </cell>
          <cell r="J2948">
            <v>0</v>
          </cell>
        </row>
        <row r="2949">
          <cell r="B2949" t="str">
            <v>7.1.04.15.44</v>
          </cell>
          <cell r="C2949" t="str">
            <v>Pendapatan dari Pengembalian Kelebihan Pembayaran Belanja Modal Peralatan dan Mesin-Alat Bengkel dan Alat Ukur-LO</v>
          </cell>
          <cell r="F2949">
            <v>0</v>
          </cell>
          <cell r="G2949">
            <v>0</v>
          </cell>
          <cell r="H2949">
            <v>0</v>
          </cell>
          <cell r="I2949">
            <v>0</v>
          </cell>
          <cell r="J2949">
            <v>0</v>
          </cell>
        </row>
        <row r="2950">
          <cell r="B2950" t="str">
            <v>7.1.04.15.45</v>
          </cell>
          <cell r="C2950" t="str">
            <v>Pendapatan dari Pengembalian Kelebihan Pembayaran Belanja Modal Peralatan dan Mesin-Alat Pertanian-LO</v>
          </cell>
          <cell r="F2950">
            <v>0</v>
          </cell>
          <cell r="G2950">
            <v>0</v>
          </cell>
          <cell r="H2950">
            <v>0</v>
          </cell>
          <cell r="I2950">
            <v>0</v>
          </cell>
          <cell r="J2950">
            <v>0</v>
          </cell>
        </row>
        <row r="2951">
          <cell r="B2951" t="str">
            <v>7.1.04.15.46</v>
          </cell>
          <cell r="C2951" t="str">
            <v>Pendapatan dari Pengembalian Kelebihan Pembayaran Belanja Modal Peralatan dan Mesin-Alat Kantor dan Rumah Tangga-LO</v>
          </cell>
          <cell r="F2951">
            <v>0</v>
          </cell>
          <cell r="G2951">
            <v>0</v>
          </cell>
          <cell r="H2951">
            <v>0</v>
          </cell>
          <cell r="I2951">
            <v>0</v>
          </cell>
          <cell r="J2951">
            <v>0</v>
          </cell>
        </row>
        <row r="2952">
          <cell r="B2952" t="str">
            <v>7.1.04.15.47</v>
          </cell>
          <cell r="C2952" t="str">
            <v>Pendapatan dari Pengembalian Kelebihan Pembayaran Belanja Modal Peralatan dan Mesin-Alat Studio, Komunikasi, dan Pemancar-LO</v>
          </cell>
          <cell r="F2952">
            <v>0</v>
          </cell>
          <cell r="G2952">
            <v>0</v>
          </cell>
          <cell r="H2952">
            <v>0</v>
          </cell>
          <cell r="I2952">
            <v>0</v>
          </cell>
          <cell r="J2952">
            <v>0</v>
          </cell>
        </row>
        <row r="2953">
          <cell r="B2953" t="str">
            <v>7.1.04.15.48</v>
          </cell>
          <cell r="C2953" t="str">
            <v>Pendapatan dari Pengembalian Kelebihan Pembayaran Belanja Modal Peralatan dan Mesin-Alat Kedokteran dan Kesehatan-LO</v>
          </cell>
          <cell r="F2953">
            <v>0</v>
          </cell>
          <cell r="G2953">
            <v>0</v>
          </cell>
          <cell r="H2953">
            <v>0</v>
          </cell>
          <cell r="I2953">
            <v>0</v>
          </cell>
          <cell r="J2953">
            <v>0</v>
          </cell>
        </row>
        <row r="2954">
          <cell r="B2954" t="str">
            <v>7.1.04.15.49</v>
          </cell>
          <cell r="C2954" t="str">
            <v>Pendapatan dari Pengembalian Kelebihan Pembayaran Belanja Modal Peralatan dan Mesin-Alat Laboratorium-LO</v>
          </cell>
          <cell r="F2954">
            <v>0</v>
          </cell>
          <cell r="G2954">
            <v>0</v>
          </cell>
          <cell r="H2954">
            <v>0</v>
          </cell>
          <cell r="I2954">
            <v>0</v>
          </cell>
          <cell r="J2954">
            <v>0</v>
          </cell>
        </row>
        <row r="2955">
          <cell r="B2955" t="str">
            <v>7.1.04.15.51</v>
          </cell>
          <cell r="C2955" t="str">
            <v>Pendapatan dari Pengembalian Kelebihan Pembayaran Belanja Modal Peralatan dan Mesin-Komputer-LO</v>
          </cell>
          <cell r="F2955">
            <v>0</v>
          </cell>
          <cell r="G2955">
            <v>0</v>
          </cell>
          <cell r="H2955">
            <v>0</v>
          </cell>
          <cell r="I2955">
            <v>0</v>
          </cell>
          <cell r="J2955">
            <v>0</v>
          </cell>
        </row>
        <row r="2956">
          <cell r="B2956" t="str">
            <v>7.1.04.15.52</v>
          </cell>
          <cell r="C2956" t="str">
            <v>Pendapatan dari Pengembalian Kelebihan Pembayaran Belanja Modal Peralatan dan Mesin-Alat Eksplorasi-LO</v>
          </cell>
          <cell r="F2956">
            <v>0</v>
          </cell>
          <cell r="G2956">
            <v>0</v>
          </cell>
          <cell r="H2956">
            <v>0</v>
          </cell>
          <cell r="I2956">
            <v>0</v>
          </cell>
          <cell r="J2956">
            <v>0</v>
          </cell>
        </row>
        <row r="2957">
          <cell r="B2957" t="str">
            <v>7.1.04.15.53</v>
          </cell>
          <cell r="C2957" t="str">
            <v>Pendapatan dari Pengembalian Kelebihan Pembayaran Belanja Modal Peralatan dan Mesin-Alat Pengeboran-LO</v>
          </cell>
          <cell r="F2957">
            <v>0</v>
          </cell>
          <cell r="G2957">
            <v>0</v>
          </cell>
          <cell r="H2957">
            <v>0</v>
          </cell>
          <cell r="I2957">
            <v>0</v>
          </cell>
          <cell r="J2957">
            <v>0</v>
          </cell>
        </row>
        <row r="2958">
          <cell r="B2958" t="str">
            <v>7.1.04.15.54</v>
          </cell>
          <cell r="C2958" t="str">
            <v>Pendapatan dari Pengembalian Kelebihan Pembayaran Belanja Modal Peralatan dan Mesin-Alat Produksi, Pengolahan, dan Pemurnian-LO</v>
          </cell>
          <cell r="F2958">
            <v>0</v>
          </cell>
          <cell r="G2958">
            <v>0</v>
          </cell>
          <cell r="H2958">
            <v>0</v>
          </cell>
          <cell r="I2958">
            <v>0</v>
          </cell>
          <cell r="J2958">
            <v>0</v>
          </cell>
        </row>
        <row r="2959">
          <cell r="B2959" t="str">
            <v>7.1.04.15.55</v>
          </cell>
          <cell r="C2959" t="str">
            <v>Pendapatan dari Pengembalian Kelebihan Pembayaran Belanja Modal Peralatan dan Mesin-Alat Bantu Eksplorasi-LO</v>
          </cell>
          <cell r="F2959">
            <v>0</v>
          </cell>
          <cell r="G2959">
            <v>0</v>
          </cell>
          <cell r="H2959">
            <v>0</v>
          </cell>
          <cell r="I2959">
            <v>0</v>
          </cell>
          <cell r="J2959">
            <v>0</v>
          </cell>
        </row>
        <row r="2960">
          <cell r="B2960" t="str">
            <v>7.1.04.15.56</v>
          </cell>
          <cell r="C2960" t="str">
            <v>Pendapatan dari Pengembalian Kelebihan Pembayaran Belanja Modal Peralatan dan Mesin-Alat Keselamatan Kerja-LO</v>
          </cell>
          <cell r="F2960">
            <v>0</v>
          </cell>
          <cell r="G2960">
            <v>0</v>
          </cell>
          <cell r="H2960">
            <v>0</v>
          </cell>
          <cell r="I2960">
            <v>0</v>
          </cell>
          <cell r="J2960">
            <v>0</v>
          </cell>
        </row>
        <row r="2961">
          <cell r="B2961" t="str">
            <v>7.1.04.15.57</v>
          </cell>
          <cell r="C2961" t="str">
            <v>Pendapatan dari Pengembalian Kelebihan Pembayaran Belanja Modal Peralatan dan Mesin-Alat Peraga-LO</v>
          </cell>
          <cell r="F2961">
            <v>0</v>
          </cell>
          <cell r="G2961">
            <v>0</v>
          </cell>
          <cell r="H2961">
            <v>0</v>
          </cell>
          <cell r="I2961">
            <v>0</v>
          </cell>
          <cell r="J2961">
            <v>0</v>
          </cell>
        </row>
        <row r="2962">
          <cell r="B2962" t="str">
            <v>7.1.04.15.58</v>
          </cell>
          <cell r="C2962" t="str">
            <v>Pendapatan dari Pengembalian Kelebihan Pembayaran Belanja Modal Peralatan dan Mesin-Peralatan Proses/Produksi-LO</v>
          </cell>
          <cell r="F2962">
            <v>0</v>
          </cell>
          <cell r="G2962">
            <v>0</v>
          </cell>
          <cell r="H2962">
            <v>0</v>
          </cell>
          <cell r="I2962">
            <v>0</v>
          </cell>
          <cell r="J2962">
            <v>0</v>
          </cell>
        </row>
        <row r="2963">
          <cell r="B2963" t="str">
            <v>7.1.04.15.59</v>
          </cell>
          <cell r="C2963" t="str">
            <v>Pendapatan dari Pengembalian Kelebihan Pembayaran Belanja Modal Peralatan dan Mesin-Rambu-Rambu-LO</v>
          </cell>
          <cell r="F2963">
            <v>0</v>
          </cell>
          <cell r="G2963">
            <v>0</v>
          </cell>
          <cell r="H2963">
            <v>0</v>
          </cell>
          <cell r="I2963">
            <v>0</v>
          </cell>
          <cell r="J2963">
            <v>0</v>
          </cell>
        </row>
        <row r="2964">
          <cell r="B2964" t="str">
            <v>7.1.04.15.60</v>
          </cell>
          <cell r="C2964" t="str">
            <v>Pendapatan dari Pengembalian Kelebihan Pembayaran Belanja Modal Peralatan dan Mesin-Peralatan Olahraga-LO</v>
          </cell>
          <cell r="F2964">
            <v>0</v>
          </cell>
          <cell r="G2964">
            <v>0</v>
          </cell>
          <cell r="H2964">
            <v>0</v>
          </cell>
          <cell r="I2964">
            <v>0</v>
          </cell>
          <cell r="J2964">
            <v>0</v>
          </cell>
        </row>
        <row r="2965">
          <cell r="B2965" t="str">
            <v>7.1.04.15.61</v>
          </cell>
          <cell r="C2965" t="str">
            <v>Pendapatan dari Pengembalian Kelebihan Pembayaran Belanja Modal Gedung dan Bangunan-Bangunan Gedung-LO</v>
          </cell>
          <cell r="F2965">
            <v>0</v>
          </cell>
          <cell r="G2965">
            <v>0</v>
          </cell>
          <cell r="H2965">
            <v>0</v>
          </cell>
          <cell r="I2965">
            <v>0</v>
          </cell>
          <cell r="J2965">
            <v>0</v>
          </cell>
        </row>
        <row r="2966">
          <cell r="B2966" t="str">
            <v>7.1.04.15.62</v>
          </cell>
          <cell r="C2966" t="str">
            <v>Pendapatan dari Pengembalian Kelebihan Pembayaran Belanja Modal Gedung dan Bangunan-Monumen-LO</v>
          </cell>
          <cell r="F2966">
            <v>0</v>
          </cell>
          <cell r="G2966">
            <v>0</v>
          </cell>
          <cell r="H2966">
            <v>0</v>
          </cell>
          <cell r="I2966">
            <v>0</v>
          </cell>
          <cell r="J2966">
            <v>0</v>
          </cell>
        </row>
        <row r="2967">
          <cell r="B2967" t="str">
            <v>7.1.04.15.63</v>
          </cell>
          <cell r="C2967" t="str">
            <v>Pendapatan dari Pengembalian Kelebihan Pembayaran Belanja Modal Gedung dan Bangunan-Bangunan Menara-LO</v>
          </cell>
          <cell r="F2967">
            <v>0</v>
          </cell>
          <cell r="G2967">
            <v>0</v>
          </cell>
          <cell r="H2967">
            <v>0</v>
          </cell>
          <cell r="I2967">
            <v>0</v>
          </cell>
          <cell r="J2967">
            <v>0</v>
          </cell>
        </row>
        <row r="2968">
          <cell r="B2968" t="str">
            <v>7.1.04.15.64</v>
          </cell>
          <cell r="C2968" t="str">
            <v>Pendapatan dari Pengembalian Kelebihan Pembayaran Belanja Modal Gedung dan Bangunan-Tugu Titik Kontrol/Pasti-LO</v>
          </cell>
          <cell r="F2968">
            <v>0</v>
          </cell>
          <cell r="G2968">
            <v>0</v>
          </cell>
          <cell r="H2968">
            <v>0</v>
          </cell>
          <cell r="I2968">
            <v>0</v>
          </cell>
          <cell r="J2968">
            <v>0</v>
          </cell>
        </row>
        <row r="2969">
          <cell r="B2969" t="str">
            <v>7.1.04.15.65</v>
          </cell>
          <cell r="C2969" t="str">
            <v>Pendapatan dari Pengembalian Kelebihan Pembayaran Belanja Modal Jalan, Jaringan, dan Irigasi-Jalan dan Jembatan-LO</v>
          </cell>
          <cell r="F2969">
            <v>0</v>
          </cell>
          <cell r="G2969">
            <v>0</v>
          </cell>
          <cell r="H2969">
            <v>0</v>
          </cell>
          <cell r="I2969">
            <v>0</v>
          </cell>
          <cell r="J2969">
            <v>0</v>
          </cell>
        </row>
        <row r="2970">
          <cell r="B2970" t="str">
            <v>7.1.04.15.66</v>
          </cell>
          <cell r="C2970" t="str">
            <v>Pendapatan dari Pengembalian Kelebihan Pembayaran Belanja Modal Jalan, Jaringan, dan Irigasi-Bangunan Air-LO</v>
          </cell>
          <cell r="F2970">
            <v>0</v>
          </cell>
          <cell r="G2970">
            <v>0</v>
          </cell>
          <cell r="H2970">
            <v>0</v>
          </cell>
          <cell r="I2970">
            <v>0</v>
          </cell>
          <cell r="J2970">
            <v>0</v>
          </cell>
        </row>
        <row r="2971">
          <cell r="B2971" t="str">
            <v>7.1.04.15.67</v>
          </cell>
          <cell r="C2971" t="str">
            <v>Pendapatan dari Pengembalian Kelebihan Pembayaran Belanja Jalan, Jaringan, dan Instalasi-Instalasi-LO</v>
          </cell>
          <cell r="F2971">
            <v>0</v>
          </cell>
          <cell r="G2971">
            <v>0</v>
          </cell>
          <cell r="H2971">
            <v>0</v>
          </cell>
          <cell r="I2971">
            <v>0</v>
          </cell>
          <cell r="J2971">
            <v>0</v>
          </cell>
        </row>
        <row r="2972">
          <cell r="B2972" t="str">
            <v>7.1.04.15.68</v>
          </cell>
          <cell r="C2972" t="str">
            <v>Pendapatan dari Pengembalian Kelebihan Pembayaran Belanja Modal Jalan, Jaringan, dan Irigasi-Jaringan-LO</v>
          </cell>
          <cell r="F2972">
            <v>0</v>
          </cell>
          <cell r="G2972">
            <v>0</v>
          </cell>
          <cell r="H2972">
            <v>0</v>
          </cell>
          <cell r="I2972">
            <v>0</v>
          </cell>
          <cell r="J2972">
            <v>0</v>
          </cell>
        </row>
        <row r="2973">
          <cell r="B2973" t="str">
            <v>7.1.04.15.69</v>
          </cell>
          <cell r="C2973" t="str">
            <v>Pendapatan dari Pengembalian Kelebihan Pembayaran Belanja Modal Aset Tetap Lainnya-Bahan Perpustakaan-LO</v>
          </cell>
          <cell r="F2973">
            <v>0</v>
          </cell>
          <cell r="G2973">
            <v>0</v>
          </cell>
          <cell r="H2973">
            <v>0</v>
          </cell>
          <cell r="I2973">
            <v>0</v>
          </cell>
          <cell r="J2973">
            <v>0</v>
          </cell>
        </row>
        <row r="2974">
          <cell r="B2974" t="str">
            <v>7.1.04.15.70</v>
          </cell>
          <cell r="C2974" t="str">
            <v>Pendapatan dari Pengembalian Kelebihan Pembayaran Belanja Modal Aset Tetap Lainnya-Barang Bercorak Kesenian/Kebudayaan/Olahraga-LO</v>
          </cell>
          <cell r="F2974">
            <v>0</v>
          </cell>
          <cell r="G2974">
            <v>0</v>
          </cell>
          <cell r="H2974">
            <v>0</v>
          </cell>
          <cell r="I2974">
            <v>0</v>
          </cell>
          <cell r="J2974">
            <v>0</v>
          </cell>
        </row>
        <row r="2975">
          <cell r="B2975" t="str">
            <v>7.1.04.15.71</v>
          </cell>
          <cell r="C2975" t="str">
            <v>Pendapatan dari Pengembalian Kelebihan Pembayaran Belanja Modal Aset Tetap Lainnya-Hewan-LO</v>
          </cell>
          <cell r="F2975">
            <v>0</v>
          </cell>
          <cell r="G2975">
            <v>0</v>
          </cell>
          <cell r="H2975">
            <v>0</v>
          </cell>
          <cell r="I2975">
            <v>0</v>
          </cell>
          <cell r="J2975">
            <v>0</v>
          </cell>
        </row>
        <row r="2976">
          <cell r="B2976" t="str">
            <v>7.1.04.15.72</v>
          </cell>
          <cell r="C2976" t="str">
            <v>Pendapatan dari Pengembalian Kelebihan Pembayaran Belanja Modal Aset Tetap Lainnya-Biota Perairan-LO</v>
          </cell>
          <cell r="F2976">
            <v>0</v>
          </cell>
          <cell r="G2976">
            <v>0</v>
          </cell>
          <cell r="H2976">
            <v>0</v>
          </cell>
          <cell r="I2976">
            <v>0</v>
          </cell>
          <cell r="J2976">
            <v>0</v>
          </cell>
        </row>
        <row r="2977">
          <cell r="B2977" t="str">
            <v>7.1.04.15.73</v>
          </cell>
          <cell r="C2977" t="str">
            <v>Pendapatan dari Pengembalian Kelebihan Pembayaran Belanja Modal Aset Tetap Lainnya-Tanaman-LO</v>
          </cell>
          <cell r="F2977">
            <v>0</v>
          </cell>
          <cell r="G2977">
            <v>0</v>
          </cell>
          <cell r="H2977">
            <v>0</v>
          </cell>
          <cell r="I2977">
            <v>0</v>
          </cell>
          <cell r="J2977">
            <v>0</v>
          </cell>
        </row>
        <row r="2978">
          <cell r="B2978" t="str">
            <v>7.1.04.15.74</v>
          </cell>
          <cell r="C2978" t="str">
            <v>Pendapatan dari Pengembalian Kelebihan Pembayaran Belanja Modal Aset Tetap Lainnya-Barang Koleksi Non Budaya-LO</v>
          </cell>
          <cell r="F2978">
            <v>0</v>
          </cell>
          <cell r="G2978">
            <v>0</v>
          </cell>
          <cell r="H2978">
            <v>0</v>
          </cell>
          <cell r="I2978">
            <v>0</v>
          </cell>
          <cell r="J2978">
            <v>0</v>
          </cell>
        </row>
        <row r="2979">
          <cell r="B2979" t="str">
            <v>7.1.04.15.75</v>
          </cell>
          <cell r="C2979" t="str">
            <v>Pendapatan dari Pengembalian Kelebihan Pembayaran Belanja Modal Aset Tetap Lainnya-Aset Tetap dalam Renovasi-LO</v>
          </cell>
          <cell r="F2979">
            <v>0</v>
          </cell>
          <cell r="G2979">
            <v>0</v>
          </cell>
          <cell r="H2979">
            <v>0</v>
          </cell>
          <cell r="I2979">
            <v>0</v>
          </cell>
          <cell r="J2979">
            <v>0</v>
          </cell>
        </row>
        <row r="2980">
          <cell r="B2980" t="str">
            <v>7.1.04.15.76</v>
          </cell>
          <cell r="C2980" t="str">
            <v>Pendapatan dari Pengembalian Kelebihan Pembayaran Belanja Modal Aset Lainnya-Aset Tidak Berwujud-LO</v>
          </cell>
          <cell r="F2980">
            <v>0</v>
          </cell>
          <cell r="G2980">
            <v>0</v>
          </cell>
          <cell r="H2980">
            <v>0</v>
          </cell>
          <cell r="I2980">
            <v>0</v>
          </cell>
          <cell r="J2980">
            <v>0</v>
          </cell>
        </row>
        <row r="2981">
          <cell r="B2981" t="str">
            <v>7.1.04.15.77</v>
          </cell>
          <cell r="C2981" t="str">
            <v>Pendapatan dari Pengembalian Kelebihan Pembayaran Belanja Tidak Terduga-LO</v>
          </cell>
          <cell r="F2981">
            <v>0</v>
          </cell>
          <cell r="G2981">
            <v>0</v>
          </cell>
          <cell r="H2981">
            <v>0</v>
          </cell>
          <cell r="I2981">
            <v>0</v>
          </cell>
          <cell r="J2981">
            <v>0</v>
          </cell>
        </row>
        <row r="2982">
          <cell r="B2982" t="str">
            <v>7.1.04.15.78</v>
          </cell>
          <cell r="C2982" t="str">
            <v>Pendapatan dari Pengembalian Kelebihan Pembayaran Belanja Bagi Hasil Pajak Daerah Kepada Pemerintahan Kabupaten/Kota dan Desa-LO</v>
          </cell>
          <cell r="F2982">
            <v>0</v>
          </cell>
          <cell r="G2982">
            <v>0</v>
          </cell>
          <cell r="H2982">
            <v>0</v>
          </cell>
          <cell r="I2982">
            <v>0</v>
          </cell>
          <cell r="J2982">
            <v>0</v>
          </cell>
        </row>
        <row r="2983">
          <cell r="B2983" t="str">
            <v>7.1.04.15.79</v>
          </cell>
          <cell r="C2983" t="str">
            <v>Pendapatan dari Pengembalian Kelebihan Pembayaran Belanja Bagi Hasil Retribusi Daerah Kabupaten/Kota Kepada Pemerintah Desa-LO</v>
          </cell>
          <cell r="F2983">
            <v>0</v>
          </cell>
          <cell r="G2983">
            <v>0</v>
          </cell>
          <cell r="H2983">
            <v>0</v>
          </cell>
          <cell r="I2983">
            <v>0</v>
          </cell>
          <cell r="J2983">
            <v>0</v>
          </cell>
        </row>
        <row r="2984">
          <cell r="B2984" t="str">
            <v>7.1.04.15.80</v>
          </cell>
          <cell r="C2984" t="str">
            <v>Pendapatan dari Pengembalian Kelebihan Pembayaran Belanja Bantuan Keuangan antar Daerah Provinsi-LO</v>
          </cell>
          <cell r="F2984">
            <v>0</v>
          </cell>
          <cell r="G2984">
            <v>0</v>
          </cell>
          <cell r="H2984">
            <v>0</v>
          </cell>
          <cell r="I2984">
            <v>0</v>
          </cell>
          <cell r="J2984">
            <v>0</v>
          </cell>
        </row>
        <row r="2985">
          <cell r="B2985" t="str">
            <v>7.1.04.15.81</v>
          </cell>
          <cell r="C2985" t="str">
            <v>Pendapatan dari Pengembalian Kelebihan Pembayaran Belanja Bantuan Keuangan antar Daerah Kabupaten/Kota-LO</v>
          </cell>
          <cell r="F2985">
            <v>0</v>
          </cell>
          <cell r="G2985">
            <v>0</v>
          </cell>
          <cell r="H2985">
            <v>0</v>
          </cell>
          <cell r="I2985">
            <v>0</v>
          </cell>
          <cell r="J2985">
            <v>0</v>
          </cell>
        </row>
        <row r="2986">
          <cell r="B2986" t="str">
            <v>7.1.04.15.82</v>
          </cell>
          <cell r="C2986" t="str">
            <v>Pendapatan dari Pengembalian Kelebihan Pembayaran Belanja Bantuan Keuangan Daerah Provinsi ke Kabupaten/Kota-LO</v>
          </cell>
          <cell r="F2986">
            <v>0</v>
          </cell>
          <cell r="G2986">
            <v>0</v>
          </cell>
          <cell r="H2986">
            <v>0</v>
          </cell>
          <cell r="I2986">
            <v>0</v>
          </cell>
          <cell r="J2986">
            <v>0</v>
          </cell>
        </row>
        <row r="2987">
          <cell r="B2987" t="str">
            <v>7.1.04.15.83</v>
          </cell>
          <cell r="C2987" t="str">
            <v>Pendapatan dari Pengembalian Kelebihan Pembayaran Belanja Bantuan Keuangan Kabupaten/Kota ke Daerah Provinsi-LO</v>
          </cell>
          <cell r="F2987">
            <v>0</v>
          </cell>
          <cell r="G2987">
            <v>0</v>
          </cell>
          <cell r="H2987">
            <v>0</v>
          </cell>
          <cell r="I2987">
            <v>0</v>
          </cell>
          <cell r="J2987">
            <v>0</v>
          </cell>
        </row>
        <row r="2988">
          <cell r="B2988" t="str">
            <v>7.1.04.15.84</v>
          </cell>
          <cell r="C2988" t="str">
            <v>Pendapatan dari Pengembalian Kelebihan Pembayaran Belanja Bantuan Keuangan Daerah Provinsi atau Kabupaten/Kota kepada Desa-LO</v>
          </cell>
          <cell r="F2988">
            <v>0</v>
          </cell>
          <cell r="G2988">
            <v>0</v>
          </cell>
          <cell r="H2988">
            <v>0</v>
          </cell>
          <cell r="I2988">
            <v>0</v>
          </cell>
          <cell r="J2988">
            <v>0</v>
          </cell>
        </row>
        <row r="2989">
          <cell r="B2989" t="str">
            <v>7.1.04.15.85</v>
          </cell>
          <cell r="C2989" t="str">
            <v>Pendapatan dari Pengembalian Kelebihan Pembayaran Belanja Transfer Dana Otonomi Khusus Provinsi kepada Kabupaten/Kota-LO</v>
          </cell>
          <cell r="F2989">
            <v>0</v>
          </cell>
          <cell r="G2989">
            <v>0</v>
          </cell>
          <cell r="H2989">
            <v>0</v>
          </cell>
          <cell r="I2989">
            <v>0</v>
          </cell>
          <cell r="J2989">
            <v>0</v>
          </cell>
        </row>
        <row r="2990">
          <cell r="B2990" t="str">
            <v>7.1.04.15.86</v>
          </cell>
          <cell r="C2990" t="str">
            <v>Pendapatan dari Pengembalian Kelebihan Pembayaran Belanja Gaji dan Tunjangan Perangkat Lembaga Wali Nanggroe-LO</v>
          </cell>
          <cell r="F2990">
            <v>0</v>
          </cell>
          <cell r="G2990">
            <v>0</v>
          </cell>
          <cell r="H2990">
            <v>0</v>
          </cell>
          <cell r="I2990">
            <v>0</v>
          </cell>
          <cell r="J2990">
            <v>0</v>
          </cell>
        </row>
        <row r="2991">
          <cell r="B2991" t="str">
            <v>7.1.04.15.87</v>
          </cell>
          <cell r="C2991" t="str">
            <v>Pendapatan dari Pengembalian Kelebihan Pembayaran Belanja Hibah Dana BOSP-LO</v>
          </cell>
          <cell r="F2991">
            <v>0</v>
          </cell>
          <cell r="G2991">
            <v>0</v>
          </cell>
          <cell r="H2991">
            <v>0</v>
          </cell>
          <cell r="I2991">
            <v>0</v>
          </cell>
          <cell r="J2991">
            <v>0</v>
          </cell>
        </row>
        <row r="2992">
          <cell r="B2992" t="str">
            <v>7.1.04.15.88</v>
          </cell>
          <cell r="C2992" t="str">
            <v>Pendapatan dari Pengembalian Kelebihan Pembayaran Belanja Pegawai BOS, Belanja Barang dan Jasa BOS, Belanja Modal Peralatan dan Mesin BOS, serta Belanja Modal Aset Tetap Lainnya BOS-LO</v>
          </cell>
          <cell r="F2992">
            <v>0</v>
          </cell>
          <cell r="G2992">
            <v>0</v>
          </cell>
          <cell r="H2992">
            <v>0</v>
          </cell>
          <cell r="I2992">
            <v>0</v>
          </cell>
          <cell r="J2992">
            <v>0</v>
          </cell>
        </row>
        <row r="2993">
          <cell r="B2993" t="str">
            <v>7.1.04.15.89</v>
          </cell>
          <cell r="C2993" t="str">
            <v>Pendapatan dari Pengembalian Kelebihan Pembayaran Belanja Pegawai BOSP, Belanja Barang dan Jasa BOSP, Belanja Modal Peralatan dan Mesin BOSP, dan Belanja Modal Aset Tetap Lainnya BOSP-LO</v>
          </cell>
          <cell r="F2993">
            <v>0</v>
          </cell>
          <cell r="G2993">
            <v>55875400</v>
          </cell>
          <cell r="H2993">
            <v>0</v>
          </cell>
          <cell r="I2993">
            <v>0</v>
          </cell>
          <cell r="J2993">
            <v>55875400</v>
          </cell>
        </row>
        <row r="2994">
          <cell r="B2994" t="str">
            <v>7.1.04.15.90</v>
          </cell>
          <cell r="C2994" t="str">
            <v>Pendapatan dari Pengembalian Kelebihan Pembayaran Belanja Barang dan Jasa BOK Puskesmas-LO</v>
          </cell>
          <cell r="F2994">
            <v>0</v>
          </cell>
          <cell r="G2994">
            <v>0</v>
          </cell>
          <cell r="H2994">
            <v>0</v>
          </cell>
          <cell r="I2994">
            <v>0</v>
          </cell>
          <cell r="J2994">
            <v>0</v>
          </cell>
        </row>
        <row r="2995">
          <cell r="B2995" t="str">
            <v>7.1.04.15.91</v>
          </cell>
          <cell r="C2995" t="str">
            <v>Pendapatan dari Pengembalian Kelebihan Pembayaran Belanja Hibah kepada BUMDesa-LO</v>
          </cell>
          <cell r="F2995">
            <v>0</v>
          </cell>
          <cell r="G2995">
            <v>0</v>
          </cell>
          <cell r="H2995">
            <v>0</v>
          </cell>
          <cell r="I2995">
            <v>0</v>
          </cell>
          <cell r="J2995">
            <v>0</v>
          </cell>
        </row>
        <row r="2996">
          <cell r="B2996" t="str">
            <v>7.1.04.15.92</v>
          </cell>
          <cell r="C2996" t="str">
            <v>Pendapatan dari Pengembalian Kelebihan Pembayaran Belanja Hibah kepada Koperasi-LO</v>
          </cell>
          <cell r="F2996">
            <v>0</v>
          </cell>
          <cell r="G2996">
            <v>0</v>
          </cell>
          <cell r="H2996">
            <v>0</v>
          </cell>
          <cell r="I2996">
            <v>0</v>
          </cell>
          <cell r="J2996">
            <v>0</v>
          </cell>
        </row>
        <row r="2997">
          <cell r="B2997" t="str">
            <v>7.1.04.15.93</v>
          </cell>
          <cell r="C2997" t="str">
            <v>Pendapatan dari Pengembalian Kelebihan Pembayaran Belanja Imbalan-Imbalan Sukuk Daerah-LO</v>
          </cell>
          <cell r="F2997">
            <v>0</v>
          </cell>
          <cell r="G2997">
            <v>0</v>
          </cell>
          <cell r="H2997">
            <v>0</v>
          </cell>
          <cell r="I2997">
            <v>0</v>
          </cell>
          <cell r="J2997">
            <v>0</v>
          </cell>
        </row>
        <row r="2998">
          <cell r="B2998" t="str">
            <v>7.1.04.15.94</v>
          </cell>
          <cell r="C2998" t="str">
            <v>Pendapatan dari Pengembalian Kelebihan Pembayaran Belanja Bunga Pembiayaan Utang Daerah-Pinjaman Daerah-LO</v>
          </cell>
          <cell r="F2998">
            <v>0</v>
          </cell>
          <cell r="G2998">
            <v>0</v>
          </cell>
          <cell r="H2998">
            <v>0</v>
          </cell>
          <cell r="I2998">
            <v>0</v>
          </cell>
          <cell r="J2998">
            <v>0</v>
          </cell>
        </row>
        <row r="2999">
          <cell r="B2999" t="str">
            <v>7.1.04.15.95</v>
          </cell>
          <cell r="C2999" t="str">
            <v>Pendapatan dari Pengembalian Kelebihan Pembayaran Belanja Bunga Pembiayaan Utang Daerah-Obligasi Daerah-LO</v>
          </cell>
          <cell r="F2999">
            <v>0</v>
          </cell>
          <cell r="G2999">
            <v>0</v>
          </cell>
          <cell r="H2999">
            <v>0</v>
          </cell>
          <cell r="I2999">
            <v>0</v>
          </cell>
          <cell r="J2999">
            <v>0</v>
          </cell>
        </row>
        <row r="3000">
          <cell r="B3000" t="str">
            <v>7.1.04.15.99</v>
          </cell>
          <cell r="C3000"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BLUD-LO</v>
          </cell>
          <cell r="F3000">
            <v>0</v>
          </cell>
          <cell r="G3000">
            <v>0</v>
          </cell>
          <cell r="H3000">
            <v>0</v>
          </cell>
          <cell r="I3000">
            <v>0</v>
          </cell>
          <cell r="J3000">
            <v>0</v>
          </cell>
        </row>
        <row r="3001">
          <cell r="B3001" t="str">
            <v>7.1.04.16</v>
          </cell>
          <cell r="C3001" t="str">
            <v>Pendapatan dari BLUD-LO</v>
          </cell>
          <cell r="D3001">
            <v>93682163161.133011</v>
          </cell>
          <cell r="E3001">
            <v>0</v>
          </cell>
          <cell r="J3001">
            <v>135629810491</v>
          </cell>
        </row>
        <row r="3002">
          <cell r="B3002" t="str">
            <v>7.1.04.16.01</v>
          </cell>
          <cell r="C3002" t="str">
            <v>Pendapatan dari BLUD-LO</v>
          </cell>
          <cell r="F3002">
            <v>0</v>
          </cell>
          <cell r="G3002">
            <v>0</v>
          </cell>
          <cell r="H3002">
            <v>0</v>
          </cell>
          <cell r="I3002">
            <v>0</v>
          </cell>
          <cell r="J3002">
            <v>0</v>
          </cell>
        </row>
        <row r="3003">
          <cell r="B3003" t="str">
            <v>7.1.04.16.02</v>
          </cell>
          <cell r="C3003" t="str">
            <v>Pendapatan BLUD dari Jasa Layanan-LO</v>
          </cell>
          <cell r="D3003">
            <v>93540018657.009995</v>
          </cell>
          <cell r="F3003">
            <v>0</v>
          </cell>
          <cell r="G3003">
            <v>0</v>
          </cell>
          <cell r="H3003">
            <v>0</v>
          </cell>
          <cell r="I3003">
            <v>135629810491</v>
          </cell>
          <cell r="J3003">
            <v>135629810491</v>
          </cell>
        </row>
        <row r="3004">
          <cell r="B3004" t="str">
            <v>7.1.04.16.03</v>
          </cell>
          <cell r="C3004" t="str">
            <v>Pendapatan BLUD dari Hibah-LO</v>
          </cell>
          <cell r="D3004">
            <v>130000</v>
          </cell>
          <cell r="F3004">
            <v>0</v>
          </cell>
          <cell r="G3004">
            <v>0</v>
          </cell>
          <cell r="H3004">
            <v>0</v>
          </cell>
          <cell r="I3004">
            <v>0</v>
          </cell>
          <cell r="J3004">
            <v>0</v>
          </cell>
        </row>
        <row r="3005">
          <cell r="B3005" t="str">
            <v>7.1.04.16.04</v>
          </cell>
          <cell r="C3005" t="str">
            <v>Pendapatan BLUD dari Hasil Kerja Sama dengan Pihak Lain-LO</v>
          </cell>
          <cell r="D3005">
            <v>16230000.002999999</v>
          </cell>
          <cell r="F3005">
            <v>0</v>
          </cell>
          <cell r="G3005">
            <v>0</v>
          </cell>
          <cell r="H3005">
            <v>0</v>
          </cell>
          <cell r="I3005">
            <v>0</v>
          </cell>
          <cell r="J3005">
            <v>0</v>
          </cell>
        </row>
        <row r="3006">
          <cell r="B3006" t="str">
            <v>7.1.04.16.05</v>
          </cell>
          <cell r="C3006" t="str">
            <v>Pendapatan BLUD dari APBD-LO</v>
          </cell>
          <cell r="D3006">
            <v>36226729.739999995</v>
          </cell>
          <cell r="F3006">
            <v>0</v>
          </cell>
          <cell r="G3006">
            <v>0</v>
          </cell>
          <cell r="H3006">
            <v>0</v>
          </cell>
          <cell r="I3006">
            <v>0</v>
          </cell>
          <cell r="J3006">
            <v>0</v>
          </cell>
        </row>
        <row r="3007">
          <cell r="B3007" t="str">
            <v>7.1.04.16.06</v>
          </cell>
          <cell r="C3007" t="str">
            <v>Pendapatan BLUD dari Lain-Lain Pendapatan BLUD yang Sah-LO</v>
          </cell>
          <cell r="D3007">
            <v>89557774.380000025</v>
          </cell>
          <cell r="F3007">
            <v>0</v>
          </cell>
          <cell r="G3007">
            <v>0</v>
          </cell>
          <cell r="H3007">
            <v>0</v>
          </cell>
          <cell r="I3007">
            <v>0</v>
          </cell>
          <cell r="J3007">
            <v>0</v>
          </cell>
        </row>
        <row r="3008">
          <cell r="B3008" t="str">
            <v>7.1.04.17</v>
          </cell>
          <cell r="C3008" t="str">
            <v>Pendapatan Denda Pemanfaatan BMD yang Tidak Dipisahkan-LO</v>
          </cell>
          <cell r="D3008">
            <v>0</v>
          </cell>
          <cell r="E3008">
            <v>0</v>
          </cell>
          <cell r="J3008">
            <v>0</v>
          </cell>
        </row>
        <row r="3009">
          <cell r="B3009" t="str">
            <v>7.1.04.17.01</v>
          </cell>
          <cell r="C3009" t="str">
            <v>Pendapatan Denda Pengakhiran Sewa BMD-LO</v>
          </cell>
          <cell r="F3009">
            <v>0</v>
          </cell>
          <cell r="G3009">
            <v>0</v>
          </cell>
          <cell r="H3009">
            <v>0</v>
          </cell>
          <cell r="I3009">
            <v>0</v>
          </cell>
          <cell r="J3009">
            <v>0</v>
          </cell>
        </row>
        <row r="3010">
          <cell r="B3010" t="str">
            <v>7.1.04.17.02</v>
          </cell>
          <cell r="C3010" t="str">
            <v>Pendapatan Denda Hasil dari Kerja Sama Penyediaan Infrastruktur-LO</v>
          </cell>
          <cell r="F3010">
            <v>0</v>
          </cell>
          <cell r="G3010">
            <v>0</v>
          </cell>
          <cell r="H3010">
            <v>0</v>
          </cell>
          <cell r="I3010">
            <v>0</v>
          </cell>
          <cell r="J3010">
            <v>0</v>
          </cell>
        </row>
        <row r="3011">
          <cell r="B3011" t="str">
            <v>7.1.04.18</v>
          </cell>
          <cell r="C3011" t="str">
            <v>Pendapatan Dana Kapitasi Jaminan Kesehatan Nasional (JKN) pada Fasilitas Kesehatan Tingkat Pertama (FKTP)-LO</v>
          </cell>
          <cell r="D3011">
            <v>25657510116.740002</v>
          </cell>
          <cell r="E3011">
            <v>0</v>
          </cell>
          <cell r="J3011">
            <v>0</v>
          </cell>
        </row>
        <row r="3012">
          <cell r="B3012" t="str">
            <v>7.1.04.18.01</v>
          </cell>
          <cell r="C3012" t="str">
            <v>Pendapatan Dana Kapitasi JKN pada FKTP-LO</v>
          </cell>
          <cell r="D3012">
            <v>25657510116.740002</v>
          </cell>
          <cell r="F3012">
            <v>0</v>
          </cell>
          <cell r="G3012">
            <v>0</v>
          </cell>
          <cell r="H3012">
            <v>0</v>
          </cell>
          <cell r="I3012">
            <v>0</v>
          </cell>
          <cell r="J3012">
            <v>0</v>
          </cell>
        </row>
        <row r="3013">
          <cell r="B3013" t="str">
            <v>7.1.04.19</v>
          </cell>
          <cell r="C3013" t="str">
            <v>Pendapatan Hasil Pengelolaan Dana Bergulir-LO</v>
          </cell>
          <cell r="D3013">
            <v>0</v>
          </cell>
          <cell r="E3013">
            <v>0</v>
          </cell>
          <cell r="J3013">
            <v>0</v>
          </cell>
        </row>
        <row r="3014">
          <cell r="B3014" t="str">
            <v>7.1.04.19.01</v>
          </cell>
          <cell r="C3014" t="str">
            <v>Pendapatan Hasil Pengelolaan Dana Bergulir-LO</v>
          </cell>
          <cell r="F3014">
            <v>0</v>
          </cell>
          <cell r="G3014">
            <v>0</v>
          </cell>
          <cell r="H3014">
            <v>0</v>
          </cell>
          <cell r="I3014">
            <v>0</v>
          </cell>
          <cell r="J3014">
            <v>0</v>
          </cell>
        </row>
        <row r="3015">
          <cell r="B3015" t="str">
            <v>7.1.04.20</v>
          </cell>
          <cell r="C3015" t="str">
            <v>Pendapatan Berdasarkan Putusan Pengadilan (Inkracht)-LO</v>
          </cell>
          <cell r="D3015">
            <v>0</v>
          </cell>
          <cell r="E3015">
            <v>0</v>
          </cell>
          <cell r="J3015">
            <v>0</v>
          </cell>
        </row>
        <row r="3016">
          <cell r="B3016" t="str">
            <v>7.1.04.20.01</v>
          </cell>
          <cell r="C3016" t="str">
            <v>Pendapatan Berdasarkan Putusan Pengadilan (Inkracht)-LO</v>
          </cell>
          <cell r="F3016">
            <v>0</v>
          </cell>
          <cell r="G3016">
            <v>0</v>
          </cell>
          <cell r="H3016">
            <v>0</v>
          </cell>
          <cell r="I3016">
            <v>0</v>
          </cell>
          <cell r="J3016">
            <v>0</v>
          </cell>
        </row>
        <row r="3017">
          <cell r="B3017" t="str">
            <v>7.1.04.21</v>
          </cell>
          <cell r="C3017" t="str">
            <v>Pendapatan Denda atas Pelanggaran Peraturan Daerah-LO</v>
          </cell>
          <cell r="D3017">
            <v>0</v>
          </cell>
          <cell r="E3017">
            <v>0</v>
          </cell>
          <cell r="J3017">
            <v>0</v>
          </cell>
        </row>
        <row r="3018">
          <cell r="B3018" t="str">
            <v>7.1.04.21.01</v>
          </cell>
          <cell r="C3018" t="str">
            <v>Pendapatan Denda atas Pelanggaran Peraturan Daerah-LO</v>
          </cell>
          <cell r="F3018">
            <v>0</v>
          </cell>
          <cell r="G3018">
            <v>0</v>
          </cell>
          <cell r="H3018">
            <v>0</v>
          </cell>
          <cell r="I3018">
            <v>0</v>
          </cell>
          <cell r="J3018">
            <v>0</v>
          </cell>
        </row>
        <row r="3019">
          <cell r="B3019" t="str">
            <v>7.1.04.22</v>
          </cell>
          <cell r="C3019" t="str">
            <v>Pendapatan Zakat, Infaq, Shadaqah , dan Wakaf-LO</v>
          </cell>
          <cell r="D3019">
            <v>0</v>
          </cell>
          <cell r="E3019">
            <v>0</v>
          </cell>
          <cell r="J3019">
            <v>0</v>
          </cell>
        </row>
        <row r="3020">
          <cell r="B3020" t="str">
            <v>7.1.04.22.01</v>
          </cell>
          <cell r="C3020" t="str">
            <v>Pendapatan Zakat-LO</v>
          </cell>
          <cell r="F3020">
            <v>0</v>
          </cell>
          <cell r="G3020">
            <v>0</v>
          </cell>
          <cell r="H3020">
            <v>0</v>
          </cell>
          <cell r="I3020">
            <v>0</v>
          </cell>
          <cell r="J3020">
            <v>0</v>
          </cell>
        </row>
        <row r="3021">
          <cell r="B3021" t="str">
            <v>7.1.04.22.02</v>
          </cell>
          <cell r="C3021" t="str">
            <v>Pendapatan Infaq-LO</v>
          </cell>
          <cell r="F3021">
            <v>0</v>
          </cell>
          <cell r="G3021">
            <v>0</v>
          </cell>
          <cell r="H3021">
            <v>0</v>
          </cell>
          <cell r="I3021">
            <v>0</v>
          </cell>
          <cell r="J3021">
            <v>0</v>
          </cell>
        </row>
        <row r="3022">
          <cell r="B3022" t="str">
            <v>7.1.04.22.03</v>
          </cell>
          <cell r="C3022" t="str">
            <v>Pendapatan Shadaqah-LO</v>
          </cell>
          <cell r="F3022">
            <v>0</v>
          </cell>
          <cell r="G3022">
            <v>0</v>
          </cell>
          <cell r="H3022">
            <v>0</v>
          </cell>
          <cell r="I3022">
            <v>0</v>
          </cell>
          <cell r="J3022">
            <v>0</v>
          </cell>
        </row>
        <row r="3023">
          <cell r="B3023" t="str">
            <v>7.1.04.22.04</v>
          </cell>
          <cell r="C3023" t="str">
            <v>Pendapatan Wakaf-LO</v>
          </cell>
          <cell r="F3023">
            <v>0</v>
          </cell>
          <cell r="G3023">
            <v>0</v>
          </cell>
          <cell r="H3023">
            <v>0</v>
          </cell>
          <cell r="I3023">
            <v>0</v>
          </cell>
          <cell r="J3023">
            <v>0</v>
          </cell>
        </row>
        <row r="3024">
          <cell r="B3024" t="str">
            <v>7.1.04.23</v>
          </cell>
          <cell r="C3024" t="str">
            <v>Pendapatan Hasil Pelaksanaan Perjanjian/Kontrak-LO</v>
          </cell>
          <cell r="D3024">
            <v>0</v>
          </cell>
          <cell r="E3024">
            <v>0</v>
          </cell>
          <cell r="J3024">
            <v>0</v>
          </cell>
        </row>
        <row r="3025">
          <cell r="B3025" t="str">
            <v>7.1.04.23.01</v>
          </cell>
          <cell r="C3025" t="str">
            <v>Pendapatan Hasil Pelaksanaan Perjanjian/Kontrak-LO</v>
          </cell>
          <cell r="F3025">
            <v>0</v>
          </cell>
          <cell r="G3025">
            <v>0</v>
          </cell>
          <cell r="H3025">
            <v>0</v>
          </cell>
          <cell r="I3025">
            <v>0</v>
          </cell>
          <cell r="J3025">
            <v>0</v>
          </cell>
        </row>
        <row r="3026">
          <cell r="B3026" t="str">
            <v>7.1.04.24</v>
          </cell>
          <cell r="C3026" t="str">
            <v>Pendapatan Konsesi Jasa-LO</v>
          </cell>
          <cell r="D3026">
            <v>0</v>
          </cell>
          <cell r="E3026">
            <v>0</v>
          </cell>
          <cell r="J3026">
            <v>0</v>
          </cell>
        </row>
        <row r="3027">
          <cell r="B3027" t="str">
            <v>7.1.04.24.01</v>
          </cell>
          <cell r="C3027" t="str">
            <v>Pendapatan Konsesi Jasa-LO</v>
          </cell>
          <cell r="F3027">
            <v>0</v>
          </cell>
          <cell r="G3027">
            <v>0</v>
          </cell>
          <cell r="H3027">
            <v>0</v>
          </cell>
          <cell r="I3027">
            <v>0</v>
          </cell>
          <cell r="J3027">
            <v>0</v>
          </cell>
        </row>
        <row r="3028">
          <cell r="B3028" t="str">
            <v>7.1.04.25</v>
          </cell>
          <cell r="C3028" t="str">
            <v>Pungutan bagi Wisatawan Asing-LO</v>
          </cell>
          <cell r="D3028">
            <v>0</v>
          </cell>
          <cell r="E3028">
            <v>0</v>
          </cell>
          <cell r="J3028">
            <v>0</v>
          </cell>
        </row>
        <row r="3029">
          <cell r="B3029" t="str">
            <v>7.1.04.25.01</v>
          </cell>
          <cell r="C3029" t="str">
            <v>Pungutan bagi Wisatawan Asing-LO</v>
          </cell>
          <cell r="F3029">
            <v>0</v>
          </cell>
          <cell r="G3029">
            <v>0</v>
          </cell>
          <cell r="H3029">
            <v>0</v>
          </cell>
          <cell r="I3029">
            <v>0</v>
          </cell>
          <cell r="J3029">
            <v>0</v>
          </cell>
        </row>
        <row r="3030">
          <cell r="B3030" t="str">
            <v>7.1.04.26</v>
          </cell>
          <cell r="C3030" t="str">
            <v>Hasil Pengelolaan Dana Abadi Daerah-LO</v>
          </cell>
          <cell r="D3030">
            <v>0</v>
          </cell>
          <cell r="E3030">
            <v>0</v>
          </cell>
          <cell r="J3030">
            <v>0</v>
          </cell>
        </row>
        <row r="3031">
          <cell r="B3031" t="str">
            <v>7.1.04.26.01</v>
          </cell>
          <cell r="C3031" t="str">
            <v>Hasil Pengelolaan Dana Abadi Daerah-LO</v>
          </cell>
          <cell r="F3031">
            <v>0</v>
          </cell>
          <cell r="G3031">
            <v>0</v>
          </cell>
          <cell r="H3031">
            <v>0</v>
          </cell>
          <cell r="I3031">
            <v>0</v>
          </cell>
          <cell r="J3031">
            <v>0</v>
          </cell>
        </row>
        <row r="3032">
          <cell r="B3032" t="str">
            <v>7.1.04.27</v>
          </cell>
          <cell r="C3032" t="str">
            <v>Pendapatan atas Sanksi Administrasi Pajak Daerah-LO</v>
          </cell>
          <cell r="D3032">
            <v>0</v>
          </cell>
          <cell r="E3032">
            <v>0</v>
          </cell>
          <cell r="J3032">
            <v>0</v>
          </cell>
        </row>
        <row r="3033">
          <cell r="B3033" t="str">
            <v>7.1.04.27.01</v>
          </cell>
          <cell r="C3033" t="str">
            <v>Pendapatan Denda-LO</v>
          </cell>
          <cell r="F3033">
            <v>0</v>
          </cell>
          <cell r="G3033">
            <v>0</v>
          </cell>
          <cell r="H3033">
            <v>0</v>
          </cell>
          <cell r="I3033">
            <v>0</v>
          </cell>
          <cell r="J3033">
            <v>0</v>
          </cell>
        </row>
        <row r="3034">
          <cell r="B3034" t="str">
            <v>7.1.04.27.02</v>
          </cell>
          <cell r="C3034" t="str">
            <v>Pendapatan Bunga-LO</v>
          </cell>
          <cell r="F3034">
            <v>0</v>
          </cell>
          <cell r="G3034">
            <v>0</v>
          </cell>
          <cell r="H3034">
            <v>0</v>
          </cell>
          <cell r="I3034">
            <v>0</v>
          </cell>
          <cell r="J3034">
            <v>0</v>
          </cell>
        </row>
        <row r="3035">
          <cell r="B3035" t="str">
            <v>7.1.04.27.03</v>
          </cell>
          <cell r="C3035" t="str">
            <v>Pendapatan Kenaikan Pokok Pajak-LO</v>
          </cell>
          <cell r="F3035">
            <v>0</v>
          </cell>
          <cell r="G3035">
            <v>0</v>
          </cell>
          <cell r="H3035">
            <v>0</v>
          </cell>
          <cell r="I3035">
            <v>0</v>
          </cell>
          <cell r="J3035">
            <v>0</v>
          </cell>
        </row>
        <row r="3036">
          <cell r="B3036" t="str">
            <v>7.1.04.28</v>
          </cell>
          <cell r="C3036" t="str">
            <v>Pendapatan atas Sanksi Administrasi Retribusi Daerah-LO</v>
          </cell>
          <cell r="D3036">
            <v>0</v>
          </cell>
          <cell r="E3036">
            <v>0</v>
          </cell>
          <cell r="J3036">
            <v>0</v>
          </cell>
        </row>
        <row r="3037">
          <cell r="B3037" t="str">
            <v>7.1.04.28.01</v>
          </cell>
          <cell r="C3037" t="str">
            <v>Pendapatan Denda-LO</v>
          </cell>
          <cell r="F3037">
            <v>0</v>
          </cell>
          <cell r="G3037">
            <v>0</v>
          </cell>
          <cell r="H3037">
            <v>0</v>
          </cell>
          <cell r="I3037">
            <v>0</v>
          </cell>
          <cell r="J3037">
            <v>0</v>
          </cell>
        </row>
        <row r="3038">
          <cell r="B3038" t="str">
            <v>7.1.04.28.02</v>
          </cell>
          <cell r="C3038" t="str">
            <v>Pendapatan Bunga-LO</v>
          </cell>
          <cell r="F3038">
            <v>0</v>
          </cell>
          <cell r="G3038">
            <v>0</v>
          </cell>
          <cell r="H3038">
            <v>0</v>
          </cell>
          <cell r="I3038">
            <v>0</v>
          </cell>
          <cell r="J3038">
            <v>0</v>
          </cell>
        </row>
        <row r="3040">
          <cell r="B3040" t="str">
            <v>7.2</v>
          </cell>
          <cell r="C3040" t="str">
            <v>PENDAPATAN TRANSFER-LO</v>
          </cell>
          <cell r="D3040">
            <v>1624323750481</v>
          </cell>
          <cell r="E3040">
            <v>1658039734903</v>
          </cell>
          <cell r="J3040">
            <v>1730928364903</v>
          </cell>
        </row>
        <row r="3041">
          <cell r="B3041" t="str">
            <v>7.2.01</v>
          </cell>
          <cell r="C3041" t="str">
            <v>Pendapatan Transfer Pemerintah Pusat-LO</v>
          </cell>
          <cell r="D3041">
            <v>1544758034899</v>
          </cell>
          <cell r="E3041">
            <v>1600617510700</v>
          </cell>
          <cell r="J3041">
            <v>1673506140700</v>
          </cell>
        </row>
        <row r="3042">
          <cell r="B3042" t="str">
            <v>7.2.01.01</v>
          </cell>
          <cell r="C3042" t="str">
            <v>Dana Perimbangan-LO</v>
          </cell>
          <cell r="D3042">
            <v>1537926359899</v>
          </cell>
          <cell r="E3042">
            <v>1600617510700</v>
          </cell>
          <cell r="J3042">
            <v>1673506140700</v>
          </cell>
        </row>
        <row r="3043">
          <cell r="B3043" t="str">
            <v>7.2.01.01.01</v>
          </cell>
          <cell r="C3043" t="str">
            <v>Dana Transfer Umum-Dana Bagi Hasil (DBH)-LO</v>
          </cell>
          <cell r="D3043">
            <v>48937222000</v>
          </cell>
          <cell r="E3043">
            <v>96283750300</v>
          </cell>
          <cell r="F3043">
            <v>0</v>
          </cell>
          <cell r="G3043">
            <v>72888630000</v>
          </cell>
          <cell r="H3043">
            <v>0</v>
          </cell>
          <cell r="I3043">
            <v>0</v>
          </cell>
          <cell r="J3043">
            <v>169172380300</v>
          </cell>
        </row>
        <row r="3044">
          <cell r="B3044" t="str">
            <v>7.2.01.01.02</v>
          </cell>
          <cell r="C3044" t="str">
            <v>Dana Transfer Umum-Dana Alokasi Umum (DAU)-LO</v>
          </cell>
          <cell r="D3044">
            <v>1069970219836</v>
          </cell>
          <cell r="E3044">
            <v>1160437521669</v>
          </cell>
          <cell r="F3044">
            <v>0</v>
          </cell>
          <cell r="G3044">
            <v>0</v>
          </cell>
          <cell r="H3044">
            <v>0</v>
          </cell>
          <cell r="I3044">
            <v>0</v>
          </cell>
          <cell r="J3044">
            <v>1160437521669</v>
          </cell>
        </row>
        <row r="3045">
          <cell r="B3045" t="str">
            <v>7.2.01.01.03</v>
          </cell>
          <cell r="C3045" t="str">
            <v>Dana Transfer Khusus-Dana Alokasi Khusus (DAK) Fisik-LO</v>
          </cell>
          <cell r="D3045">
            <v>160918308551</v>
          </cell>
          <cell r="E3045">
            <v>38820786519</v>
          </cell>
          <cell r="F3045">
            <v>0</v>
          </cell>
          <cell r="G3045">
            <v>0</v>
          </cell>
          <cell r="H3045">
            <v>0</v>
          </cell>
          <cell r="I3045">
            <v>0</v>
          </cell>
          <cell r="J3045">
            <v>38820786519</v>
          </cell>
        </row>
        <row r="3046">
          <cell r="B3046" t="str">
            <v>7.2.01.01.04</v>
          </cell>
          <cell r="C3046" t="str">
            <v>Dana Transfer Khusus-Dana Alokasi Khusus (DAK) Non Fisik-LO</v>
          </cell>
          <cell r="D3046">
            <v>258100609512</v>
          </cell>
          <cell r="E3046">
            <v>305075452212</v>
          </cell>
          <cell r="F3046">
            <v>0</v>
          </cell>
          <cell r="G3046">
            <v>0</v>
          </cell>
          <cell r="H3046">
            <v>0</v>
          </cell>
          <cell r="I3046">
            <v>0</v>
          </cell>
          <cell r="J3046">
            <v>305075452212</v>
          </cell>
        </row>
        <row r="3047">
          <cell r="B3047" t="str">
            <v>7.2.01.02</v>
          </cell>
          <cell r="C3047" t="str">
            <v>Dana Insentif Daerah (DID)-LO</v>
          </cell>
          <cell r="D3047">
            <v>0</v>
          </cell>
          <cell r="E3047">
            <v>0</v>
          </cell>
          <cell r="J3047">
            <v>0</v>
          </cell>
        </row>
        <row r="3048">
          <cell r="B3048" t="str">
            <v>7.2.01.02.01</v>
          </cell>
          <cell r="C3048" t="str">
            <v>DID-LO</v>
          </cell>
          <cell r="F3048">
            <v>0</v>
          </cell>
          <cell r="G3048">
            <v>0</v>
          </cell>
          <cell r="H3048">
            <v>0</v>
          </cell>
          <cell r="I3048">
            <v>0</v>
          </cell>
          <cell r="J3048">
            <v>0</v>
          </cell>
        </row>
        <row r="3049">
          <cell r="B3049" t="str">
            <v>7.2.01.03</v>
          </cell>
          <cell r="C3049" t="str">
            <v>Dana Otonomi Khusus dan Dana Tambahan Infrastruktur-LO</v>
          </cell>
          <cell r="D3049">
            <v>0</v>
          </cell>
          <cell r="E3049">
            <v>0</v>
          </cell>
          <cell r="J3049">
            <v>0</v>
          </cell>
        </row>
        <row r="3050">
          <cell r="B3050" t="str">
            <v>7.2.01.03.01</v>
          </cell>
          <cell r="C3050" t="str">
            <v>Dana Otonomi Khusus-Provinsi Papua-LO</v>
          </cell>
          <cell r="F3050">
            <v>0</v>
          </cell>
          <cell r="G3050">
            <v>0</v>
          </cell>
          <cell r="H3050">
            <v>0</v>
          </cell>
          <cell r="I3050">
            <v>0</v>
          </cell>
          <cell r="J3050">
            <v>0</v>
          </cell>
        </row>
        <row r="3051">
          <cell r="B3051" t="str">
            <v>7.2.01.03.02</v>
          </cell>
          <cell r="C3051" t="str">
            <v>Dana Otonomi Khusus-Provinsi Papua Barat-LO</v>
          </cell>
          <cell r="F3051">
            <v>0</v>
          </cell>
          <cell r="G3051">
            <v>0</v>
          </cell>
          <cell r="H3051">
            <v>0</v>
          </cell>
          <cell r="I3051">
            <v>0</v>
          </cell>
          <cell r="J3051">
            <v>0</v>
          </cell>
        </row>
        <row r="3052">
          <cell r="B3052" t="str">
            <v>7.2.01.03.03</v>
          </cell>
          <cell r="C3052" t="str">
            <v>Dana Otonomi Khusus-Provinsi Aceh-LO</v>
          </cell>
          <cell r="F3052">
            <v>0</v>
          </cell>
          <cell r="G3052">
            <v>0</v>
          </cell>
          <cell r="H3052">
            <v>0</v>
          </cell>
          <cell r="I3052">
            <v>0</v>
          </cell>
          <cell r="J3052">
            <v>0</v>
          </cell>
        </row>
        <row r="3053">
          <cell r="B3053" t="str">
            <v>7.2.01.03.04</v>
          </cell>
          <cell r="C3053" t="str">
            <v>Dana Tambahan Infrastruktur dalam rangka Otonomi Khusus Provinsi Papua-LO</v>
          </cell>
          <cell r="F3053">
            <v>0</v>
          </cell>
          <cell r="G3053">
            <v>0</v>
          </cell>
          <cell r="H3053">
            <v>0</v>
          </cell>
          <cell r="I3053">
            <v>0</v>
          </cell>
          <cell r="J3053">
            <v>0</v>
          </cell>
        </row>
        <row r="3054">
          <cell r="B3054" t="str">
            <v>7.2.01.03.05</v>
          </cell>
          <cell r="C3054" t="str">
            <v>Dana Tambahan Infrastruktur dalam rangka Otonomi Khusus Provinsi Papua Barat-LO</v>
          </cell>
          <cell r="F3054">
            <v>0</v>
          </cell>
          <cell r="G3054">
            <v>0</v>
          </cell>
          <cell r="H3054">
            <v>0</v>
          </cell>
          <cell r="I3054">
            <v>0</v>
          </cell>
          <cell r="J3054">
            <v>0</v>
          </cell>
        </row>
        <row r="3055">
          <cell r="B3055" t="str">
            <v>7.2.01.03.06</v>
          </cell>
          <cell r="C3055" t="str">
            <v>Dana Bagi Hasil (DBH) Minyak dan Gas Otonomi Khusus Papua-LO</v>
          </cell>
          <cell r="F3055">
            <v>0</v>
          </cell>
          <cell r="G3055">
            <v>0</v>
          </cell>
          <cell r="H3055">
            <v>0</v>
          </cell>
          <cell r="I3055">
            <v>0</v>
          </cell>
          <cell r="J3055">
            <v>0</v>
          </cell>
        </row>
        <row r="3056">
          <cell r="B3056" t="str">
            <v>7.2.01.03.07</v>
          </cell>
          <cell r="C3056" t="str">
            <v>Dana Bagi Hasil (DBH) Minyak dan Gas Otonomi Khusus Aceh-LO</v>
          </cell>
          <cell r="F3056">
            <v>0</v>
          </cell>
          <cell r="G3056">
            <v>0</v>
          </cell>
          <cell r="H3056">
            <v>0</v>
          </cell>
          <cell r="I3056">
            <v>0</v>
          </cell>
          <cell r="J3056">
            <v>0</v>
          </cell>
        </row>
        <row r="3057">
          <cell r="B3057" t="str">
            <v>7.2.01.03.08</v>
          </cell>
          <cell r="C3057" t="str">
            <v>Dana Otonomi Khusus 1%-Papua-LO</v>
          </cell>
          <cell r="F3057">
            <v>0</v>
          </cell>
          <cell r="G3057">
            <v>0</v>
          </cell>
          <cell r="H3057">
            <v>0</v>
          </cell>
          <cell r="I3057">
            <v>0</v>
          </cell>
          <cell r="J3057">
            <v>0</v>
          </cell>
        </row>
        <row r="3058">
          <cell r="B3058" t="str">
            <v>7.2.01.03.09</v>
          </cell>
          <cell r="C3058" t="str">
            <v>DBH SDA Pertambangan Minyak Bumi-Papua-LO</v>
          </cell>
          <cell r="F3058">
            <v>0</v>
          </cell>
          <cell r="G3058">
            <v>0</v>
          </cell>
          <cell r="H3058">
            <v>0</v>
          </cell>
          <cell r="I3058">
            <v>0</v>
          </cell>
          <cell r="J3058">
            <v>0</v>
          </cell>
        </row>
        <row r="3059">
          <cell r="B3059" t="str">
            <v>7.2.01.03.10</v>
          </cell>
          <cell r="C3059" t="str">
            <v>DBH SDA Pertambangan Gas Alam-Papua-LO</v>
          </cell>
          <cell r="F3059">
            <v>0</v>
          </cell>
          <cell r="G3059">
            <v>0</v>
          </cell>
          <cell r="H3059">
            <v>0</v>
          </cell>
          <cell r="I3059">
            <v>0</v>
          </cell>
          <cell r="J3059">
            <v>0</v>
          </cell>
        </row>
        <row r="3060">
          <cell r="B3060" t="str">
            <v>7.2.01.03.11</v>
          </cell>
          <cell r="C3060" t="str">
            <v>Dana Otonomi Khusus 1,25%-Papua-LO</v>
          </cell>
          <cell r="F3060">
            <v>0</v>
          </cell>
          <cell r="G3060">
            <v>0</v>
          </cell>
          <cell r="H3060">
            <v>0</v>
          </cell>
          <cell r="I3060">
            <v>0</v>
          </cell>
          <cell r="J3060">
            <v>0</v>
          </cell>
        </row>
        <row r="3061">
          <cell r="B3061" t="str">
            <v>7.2.01.03.12</v>
          </cell>
          <cell r="C3061" t="str">
            <v>DTI-Papua-LO</v>
          </cell>
          <cell r="F3061">
            <v>0</v>
          </cell>
          <cell r="G3061">
            <v>0</v>
          </cell>
          <cell r="H3061">
            <v>0</v>
          </cell>
          <cell r="I3061">
            <v>0</v>
          </cell>
          <cell r="J3061">
            <v>0</v>
          </cell>
        </row>
        <row r="3062">
          <cell r="B3062" t="str">
            <v>7.2.01.03.13</v>
          </cell>
          <cell r="C3062" t="str">
            <v>DBH SDA Pertambangan Minyak Bumi-Aceh-LO</v>
          </cell>
          <cell r="F3062">
            <v>0</v>
          </cell>
          <cell r="G3062">
            <v>0</v>
          </cell>
          <cell r="H3062">
            <v>0</v>
          </cell>
          <cell r="I3062">
            <v>0</v>
          </cell>
          <cell r="J3062">
            <v>0</v>
          </cell>
        </row>
        <row r="3063">
          <cell r="B3063" t="str">
            <v>7.2.01.03.14</v>
          </cell>
          <cell r="C3063" t="str">
            <v>DBH SDA Pertambangan Gas Alam-Aceh-LO</v>
          </cell>
          <cell r="F3063">
            <v>0</v>
          </cell>
          <cell r="G3063">
            <v>0</v>
          </cell>
          <cell r="H3063">
            <v>0</v>
          </cell>
          <cell r="I3063">
            <v>0</v>
          </cell>
          <cell r="J3063">
            <v>0</v>
          </cell>
        </row>
        <row r="3064">
          <cell r="B3064" t="str">
            <v>7.2.01.04</v>
          </cell>
          <cell r="C3064" t="str">
            <v>Dana Keistimewaan-LO</v>
          </cell>
          <cell r="D3064">
            <v>0</v>
          </cell>
          <cell r="E3064">
            <v>0</v>
          </cell>
          <cell r="J3064">
            <v>0</v>
          </cell>
        </row>
        <row r="3065">
          <cell r="B3065" t="str">
            <v>7.2.01.04.01</v>
          </cell>
          <cell r="C3065" t="str">
            <v>Dana Keistimewaan Daerah Istimewa Yogyakarta-LO</v>
          </cell>
          <cell r="F3065">
            <v>0</v>
          </cell>
          <cell r="G3065">
            <v>0</v>
          </cell>
          <cell r="H3065">
            <v>0</v>
          </cell>
          <cell r="I3065">
            <v>0</v>
          </cell>
          <cell r="J3065">
            <v>0</v>
          </cell>
        </row>
        <row r="3066">
          <cell r="B3066" t="str">
            <v>7.2.01.05</v>
          </cell>
          <cell r="C3066" t="str">
            <v>Dana Desa-LO</v>
          </cell>
          <cell r="D3066">
            <v>0</v>
          </cell>
          <cell r="E3066">
            <v>0</v>
          </cell>
          <cell r="J3066">
            <v>0</v>
          </cell>
        </row>
        <row r="3067">
          <cell r="B3067" t="str">
            <v>7.2.01.05.01</v>
          </cell>
          <cell r="C3067" t="str">
            <v>Dana Desa-LO</v>
          </cell>
          <cell r="F3067">
            <v>0</v>
          </cell>
          <cell r="G3067">
            <v>0</v>
          </cell>
          <cell r="H3067">
            <v>0</v>
          </cell>
          <cell r="I3067">
            <v>0</v>
          </cell>
          <cell r="J3067">
            <v>0</v>
          </cell>
        </row>
        <row r="3068">
          <cell r="B3068" t="str">
            <v>7.2.01.06</v>
          </cell>
          <cell r="C3068" t="str">
            <v>Insentif Fiskal-LO</v>
          </cell>
          <cell r="D3068">
            <v>6831675000</v>
          </cell>
          <cell r="E3068">
            <v>0</v>
          </cell>
          <cell r="J3068">
            <v>0</v>
          </cell>
        </row>
        <row r="3069">
          <cell r="B3069" t="str">
            <v>7.2.01.06.01</v>
          </cell>
          <cell r="C3069" t="str">
            <v>Insentif Fiskal-LO</v>
          </cell>
          <cell r="D3069">
            <v>6831675000</v>
          </cell>
          <cell r="F3069">
            <v>0</v>
          </cell>
          <cell r="G3069">
            <v>0</v>
          </cell>
          <cell r="H3069">
            <v>0</v>
          </cell>
          <cell r="I3069">
            <v>0</v>
          </cell>
          <cell r="J3069">
            <v>0</v>
          </cell>
        </row>
        <row r="3070">
          <cell r="B3070" t="str">
            <v>7.2.01.06.02</v>
          </cell>
          <cell r="C3070" t="str">
            <v>Insentif Fiskal Untuk Penghargaan Kinerja Tahun Sebelumnya-LO</v>
          </cell>
          <cell r="F3070">
            <v>0</v>
          </cell>
          <cell r="G3070">
            <v>0</v>
          </cell>
          <cell r="H3070">
            <v>0</v>
          </cell>
          <cell r="I3070">
            <v>0</v>
          </cell>
          <cell r="J3070">
            <v>0</v>
          </cell>
        </row>
        <row r="3071">
          <cell r="B3071" t="str">
            <v>7.2.01.06.03</v>
          </cell>
          <cell r="C3071" t="str">
            <v>Insentif Fiskal Untuk Penghargaan Kinerja Tahun Berjalan-LO</v>
          </cell>
          <cell r="F3071">
            <v>0</v>
          </cell>
          <cell r="G3071">
            <v>0</v>
          </cell>
          <cell r="H3071">
            <v>0</v>
          </cell>
          <cell r="I3071">
            <v>0</v>
          </cell>
          <cell r="J3071">
            <v>0</v>
          </cell>
        </row>
        <row r="3072">
          <cell r="B3072" t="str">
            <v>7.2.01.07</v>
          </cell>
          <cell r="C3072" t="str">
            <v>Dana Bagi Hasil (DBH)-LO</v>
          </cell>
          <cell r="D3072">
            <v>0</v>
          </cell>
          <cell r="E3072">
            <v>0</v>
          </cell>
          <cell r="J3072">
            <v>0</v>
          </cell>
        </row>
        <row r="3073">
          <cell r="B3073" t="str">
            <v>7.2.01.07.01</v>
          </cell>
          <cell r="C3073" t="str">
            <v>DBH Pajak-LO</v>
          </cell>
          <cell r="F3073">
            <v>0</v>
          </cell>
          <cell r="G3073">
            <v>0</v>
          </cell>
          <cell r="H3073">
            <v>0</v>
          </cell>
          <cell r="I3073">
            <v>0</v>
          </cell>
          <cell r="J3073">
            <v>0</v>
          </cell>
        </row>
        <row r="3074">
          <cell r="B3074" t="str">
            <v>7.2.01.07.02</v>
          </cell>
          <cell r="C3074" t="str">
            <v>DBH Sumber Daya Alam (SDA)-LO</v>
          </cell>
          <cell r="F3074">
            <v>0</v>
          </cell>
          <cell r="G3074">
            <v>0</v>
          </cell>
          <cell r="H3074">
            <v>0</v>
          </cell>
          <cell r="I3074">
            <v>0</v>
          </cell>
          <cell r="J3074">
            <v>0</v>
          </cell>
        </row>
        <row r="3075">
          <cell r="B3075" t="str">
            <v>7.2.01.07.03</v>
          </cell>
          <cell r="C3075" t="str">
            <v>DBH Lainnya-LO</v>
          </cell>
          <cell r="F3075">
            <v>0</v>
          </cell>
          <cell r="G3075">
            <v>0</v>
          </cell>
          <cell r="H3075">
            <v>0</v>
          </cell>
          <cell r="I3075">
            <v>0</v>
          </cell>
          <cell r="J3075">
            <v>0</v>
          </cell>
        </row>
        <row r="3076">
          <cell r="B3076" t="str">
            <v>7.2.01.08</v>
          </cell>
          <cell r="C3076" t="str">
            <v>Dana Alokasi Umum (DAU)-LO</v>
          </cell>
          <cell r="D3076">
            <v>0</v>
          </cell>
          <cell r="E3076">
            <v>0</v>
          </cell>
          <cell r="J3076">
            <v>0</v>
          </cell>
        </row>
        <row r="3077">
          <cell r="B3077" t="str">
            <v>7.2.01.08.01</v>
          </cell>
          <cell r="C3077" t="str">
            <v>DAU yang Tidak Ditentukan Penggunaannya-LO</v>
          </cell>
          <cell r="F3077">
            <v>0</v>
          </cell>
          <cell r="G3077">
            <v>0</v>
          </cell>
          <cell r="H3077">
            <v>0</v>
          </cell>
          <cell r="I3077">
            <v>0</v>
          </cell>
          <cell r="J3077">
            <v>0</v>
          </cell>
        </row>
        <row r="3078">
          <cell r="B3078" t="str">
            <v>7.2.01.08.02</v>
          </cell>
          <cell r="C3078" t="str">
            <v>DAU yang Ditentukan Penggunaannya-LO</v>
          </cell>
          <cell r="F3078">
            <v>0</v>
          </cell>
          <cell r="G3078">
            <v>0</v>
          </cell>
          <cell r="H3078">
            <v>0</v>
          </cell>
          <cell r="I3078">
            <v>0</v>
          </cell>
          <cell r="J3078">
            <v>0</v>
          </cell>
        </row>
        <row r="3079">
          <cell r="B3079" t="str">
            <v>7.2.01.09</v>
          </cell>
          <cell r="C3079" t="str">
            <v>Dana Alokasi Khusus (DAK)-LO</v>
          </cell>
          <cell r="D3079">
            <v>0</v>
          </cell>
          <cell r="E3079">
            <v>0</v>
          </cell>
          <cell r="J3079">
            <v>0</v>
          </cell>
        </row>
        <row r="3080">
          <cell r="B3080" t="str">
            <v>7.2.01.09.01</v>
          </cell>
          <cell r="C3080" t="str">
            <v>DAK Fisik-LO</v>
          </cell>
          <cell r="F3080">
            <v>0</v>
          </cell>
          <cell r="G3080">
            <v>0</v>
          </cell>
          <cell r="H3080">
            <v>0</v>
          </cell>
          <cell r="I3080">
            <v>0</v>
          </cell>
          <cell r="J3080">
            <v>0</v>
          </cell>
        </row>
        <row r="3081">
          <cell r="B3081" t="str">
            <v>7.2.01.09.02</v>
          </cell>
          <cell r="C3081" t="str">
            <v>DAK Non Fisik-LO</v>
          </cell>
          <cell r="F3081">
            <v>0</v>
          </cell>
          <cell r="G3081">
            <v>0</v>
          </cell>
          <cell r="H3081">
            <v>0</v>
          </cell>
          <cell r="I3081">
            <v>0</v>
          </cell>
          <cell r="J3081">
            <v>0</v>
          </cell>
        </row>
        <row r="3082">
          <cell r="B3082" t="str">
            <v>7.2.01.09.03</v>
          </cell>
          <cell r="C3082" t="str">
            <v>Hibah kepada Daerah-LO</v>
          </cell>
          <cell r="F3082">
            <v>0</v>
          </cell>
          <cell r="G3082">
            <v>0</v>
          </cell>
          <cell r="H3082">
            <v>0</v>
          </cell>
          <cell r="I3082">
            <v>0</v>
          </cell>
          <cell r="J3082">
            <v>0</v>
          </cell>
        </row>
        <row r="3084">
          <cell r="B3084" t="str">
            <v>7.2.02</v>
          </cell>
          <cell r="C3084" t="str">
            <v>Pendapatan Transfer Antar Daerah-LO</v>
          </cell>
          <cell r="D3084">
            <v>79565715582</v>
          </cell>
          <cell r="E3084">
            <v>57422224203</v>
          </cell>
          <cell r="J3084">
            <v>57422224203</v>
          </cell>
        </row>
        <row r="3085">
          <cell r="B3085" t="str">
            <v>7.2.02.01</v>
          </cell>
          <cell r="C3085" t="str">
            <v>Pendapatan Bagi Hasil-LO</v>
          </cell>
          <cell r="D3085">
            <v>79565715582</v>
          </cell>
          <cell r="E3085">
            <v>57231224203</v>
          </cell>
          <cell r="J3085">
            <v>57231224203</v>
          </cell>
        </row>
        <row r="3086">
          <cell r="B3086" t="str">
            <v>7.2.02.01.01</v>
          </cell>
          <cell r="C3086" t="str">
            <v>Pendapatan Bagi Hasil Pajak-LO</v>
          </cell>
          <cell r="D3086">
            <v>79565715582</v>
          </cell>
          <cell r="E3086">
            <v>57231224203</v>
          </cell>
          <cell r="F3086">
            <v>0</v>
          </cell>
          <cell r="G3086">
            <v>0</v>
          </cell>
          <cell r="H3086">
            <v>0</v>
          </cell>
          <cell r="I3086">
            <v>0</v>
          </cell>
          <cell r="J3086">
            <v>57231224203</v>
          </cell>
        </row>
        <row r="3087">
          <cell r="B3087" t="str">
            <v>7.2.02.02</v>
          </cell>
          <cell r="C3087" t="str">
            <v>Bantuan Keuangan-LO</v>
          </cell>
          <cell r="D3087">
            <v>0</v>
          </cell>
          <cell r="E3087">
            <v>191000000</v>
          </cell>
          <cell r="J3087">
            <v>191000000</v>
          </cell>
        </row>
        <row r="3088">
          <cell r="B3088" t="str">
            <v>7.2.02.02.01</v>
          </cell>
          <cell r="C3088" t="str">
            <v>Bantuan Keuangan Umum dari Pemerintah Provinsi-LO</v>
          </cell>
          <cell r="F3088">
            <v>0</v>
          </cell>
          <cell r="G3088">
            <v>0</v>
          </cell>
          <cell r="H3088">
            <v>0</v>
          </cell>
          <cell r="I3088">
            <v>0</v>
          </cell>
          <cell r="J3088">
            <v>0</v>
          </cell>
        </row>
        <row r="3089">
          <cell r="B3089" t="str">
            <v>7.2.02.02.02</v>
          </cell>
          <cell r="C3089" t="str">
            <v>Bantuan Keuangan Khusus dari Pemerintah Provinsi-LO</v>
          </cell>
          <cell r="E3089">
            <v>191000000</v>
          </cell>
          <cell r="F3089">
            <v>0</v>
          </cell>
          <cell r="G3089">
            <v>0</v>
          </cell>
          <cell r="H3089">
            <v>0</v>
          </cell>
          <cell r="I3089">
            <v>0</v>
          </cell>
          <cell r="J3089">
            <v>191000000</v>
          </cell>
        </row>
        <row r="3090">
          <cell r="B3090" t="str">
            <v>7.2.02.02.03</v>
          </cell>
          <cell r="C3090" t="str">
            <v>Bantuan Keuangan Umum dari Pemerintah Kabupaten/Kota-LO</v>
          </cell>
          <cell r="F3090">
            <v>0</v>
          </cell>
          <cell r="G3090">
            <v>0</v>
          </cell>
          <cell r="H3090">
            <v>0</v>
          </cell>
          <cell r="I3090">
            <v>0</v>
          </cell>
          <cell r="J3090">
            <v>0</v>
          </cell>
        </row>
        <row r="3091">
          <cell r="B3091" t="str">
            <v>7.2.02.02.04</v>
          </cell>
          <cell r="C3091" t="str">
            <v>Bantuan Keuangan Khusus dari Pemerintah Kabupaten/Kota-LO</v>
          </cell>
          <cell r="F3091">
            <v>0</v>
          </cell>
          <cell r="G3091">
            <v>0</v>
          </cell>
          <cell r="H3091">
            <v>0</v>
          </cell>
          <cell r="I3091">
            <v>0</v>
          </cell>
          <cell r="J3091">
            <v>0</v>
          </cell>
        </row>
        <row r="3093">
          <cell r="B3093" t="str">
            <v>7.3</v>
          </cell>
          <cell r="C3093" t="str">
            <v>LAIN-LAIN PENDAPATAN DAERAH YANG SAH-LO</v>
          </cell>
          <cell r="D3093">
            <v>48962732865.669998</v>
          </cell>
          <cell r="E3093">
            <v>86427840661.279999</v>
          </cell>
          <cell r="J3093">
            <v>55309191811.279999</v>
          </cell>
        </row>
        <row r="3094">
          <cell r="B3094" t="str">
            <v>7.3.01</v>
          </cell>
          <cell r="C3094" t="str">
            <v>Pendapatan Hibah-LO</v>
          </cell>
          <cell r="D3094">
            <v>32818843345.669998</v>
          </cell>
          <cell r="E3094">
            <v>60103319368.279999</v>
          </cell>
          <cell r="J3094">
            <v>28984670518.279999</v>
          </cell>
        </row>
        <row r="3095">
          <cell r="B3095" t="str">
            <v>7.3.01.01</v>
          </cell>
          <cell r="C3095" t="str">
            <v>Pendapatan Hibah dari Pemerintah Pusat-LO</v>
          </cell>
          <cell r="D3095">
            <v>24362201274</v>
          </cell>
          <cell r="E3095">
            <v>60103319368.279999</v>
          </cell>
          <cell r="J3095">
            <v>28984670518.279999</v>
          </cell>
        </row>
        <row r="3096">
          <cell r="B3096" t="str">
            <v>7.3.01.01.01</v>
          </cell>
          <cell r="C3096" t="str">
            <v>Pendapatan Hibah dari Pemerintah Pusat-LO</v>
          </cell>
          <cell r="D3096">
            <v>24362201274</v>
          </cell>
          <cell r="E3096">
            <v>60103319368.279999</v>
          </cell>
          <cell r="F3096">
            <v>31657446850</v>
          </cell>
          <cell r="G3096">
            <v>538798000</v>
          </cell>
          <cell r="H3096">
            <v>0</v>
          </cell>
          <cell r="I3096">
            <v>0</v>
          </cell>
          <cell r="J3096">
            <v>28984670518.279999</v>
          </cell>
        </row>
        <row r="3097">
          <cell r="B3097" t="str">
            <v>7.3.01.02</v>
          </cell>
          <cell r="C3097" t="str">
            <v>Pendapatan Hibah dari Pemerintah Daerah Lainnya-LO</v>
          </cell>
          <cell r="D3097">
            <v>8456642071.6700001</v>
          </cell>
          <cell r="E3097">
            <v>0</v>
          </cell>
          <cell r="J3097">
            <v>0</v>
          </cell>
        </row>
        <row r="3098">
          <cell r="B3098" t="str">
            <v>7.3.01.02.01</v>
          </cell>
          <cell r="C3098" t="str">
            <v>Pendapatan Hibah dari Pemerintah Daerah Lainnya-LO</v>
          </cell>
          <cell r="D3098">
            <v>8456642071.6700001</v>
          </cell>
          <cell r="F3098">
            <v>0</v>
          </cell>
          <cell r="G3098">
            <v>0</v>
          </cell>
          <cell r="H3098">
            <v>0</v>
          </cell>
          <cell r="I3098">
            <v>0</v>
          </cell>
          <cell r="J3098">
            <v>0</v>
          </cell>
        </row>
        <row r="3099">
          <cell r="B3099" t="str">
            <v>7.3.01.03</v>
          </cell>
          <cell r="C3099" t="str">
            <v>Pendapatan Hibah dari Kelompok Masyarakat/Perorangan Dalam Negeri-LO</v>
          </cell>
          <cell r="D3099">
            <v>0</v>
          </cell>
          <cell r="E3099">
            <v>0</v>
          </cell>
          <cell r="J3099">
            <v>0</v>
          </cell>
        </row>
        <row r="3100">
          <cell r="B3100" t="str">
            <v>7.3.01.03.01</v>
          </cell>
          <cell r="C3100" t="str">
            <v>Pendapatan Hibah dari Kelompok Masyarakat/Perorangan Dalam Negeri-LO</v>
          </cell>
          <cell r="F3100">
            <v>0</v>
          </cell>
          <cell r="G3100">
            <v>0</v>
          </cell>
          <cell r="H3100">
            <v>0</v>
          </cell>
          <cell r="I3100">
            <v>0</v>
          </cell>
          <cell r="J3100">
            <v>0</v>
          </cell>
        </row>
        <row r="3101">
          <cell r="B3101" t="str">
            <v>7.3.01.04</v>
          </cell>
          <cell r="C3101" t="str">
            <v>Pendapatan Hibah dari Badan/Lembaga/Organisasi Dalam Negeri/Luar Negeri-LO</v>
          </cell>
          <cell r="D3101">
            <v>0</v>
          </cell>
          <cell r="E3101">
            <v>0</v>
          </cell>
          <cell r="J3101">
            <v>0</v>
          </cell>
        </row>
        <row r="3102">
          <cell r="B3102" t="str">
            <v>7.3.01.04.01</v>
          </cell>
          <cell r="C3102" t="str">
            <v>Pendapatan Hibah dari Badan/Lembaga/Organisasi Dalam Negeri-LO</v>
          </cell>
          <cell r="F3102">
            <v>0</v>
          </cell>
          <cell r="G3102">
            <v>0</v>
          </cell>
          <cell r="H3102">
            <v>0</v>
          </cell>
          <cell r="I3102">
            <v>0</v>
          </cell>
          <cell r="J3102">
            <v>0</v>
          </cell>
        </row>
        <row r="3103">
          <cell r="B3103" t="str">
            <v>7.3.01.04.02</v>
          </cell>
          <cell r="C3103" t="str">
            <v>Pendapatan Hibah dari Badan/Lembaga/Organisasi Luar Negeri-LO</v>
          </cell>
          <cell r="F3103">
            <v>0</v>
          </cell>
          <cell r="G3103">
            <v>0</v>
          </cell>
          <cell r="H3103">
            <v>0</v>
          </cell>
          <cell r="I3103">
            <v>0</v>
          </cell>
          <cell r="J3103">
            <v>0</v>
          </cell>
        </row>
        <row r="3104">
          <cell r="B3104" t="str">
            <v>7.3.01.04.03</v>
          </cell>
          <cell r="C3104" t="str">
            <v>Pendapatan Hibah dari Lembaga/Organisasi Swasta Dalam Negeri-LO</v>
          </cell>
          <cell r="F3104">
            <v>0</v>
          </cell>
          <cell r="G3104">
            <v>0</v>
          </cell>
          <cell r="H3104">
            <v>0</v>
          </cell>
          <cell r="I3104">
            <v>0</v>
          </cell>
          <cell r="J3104">
            <v>0</v>
          </cell>
        </row>
        <row r="3105">
          <cell r="B3105" t="str">
            <v>7.3.01.04.04</v>
          </cell>
          <cell r="C3105" t="str">
            <v>Pendapatan Hibah dari Lembaga/Organisasi Swasta Luar Negeri-LO</v>
          </cell>
          <cell r="F3105">
            <v>0</v>
          </cell>
          <cell r="G3105">
            <v>0</v>
          </cell>
          <cell r="H3105">
            <v>0</v>
          </cell>
          <cell r="I3105">
            <v>0</v>
          </cell>
          <cell r="J3105">
            <v>0</v>
          </cell>
        </row>
        <row r="3106">
          <cell r="B3106" t="str">
            <v>7.3.01.05</v>
          </cell>
          <cell r="C3106" t="str">
            <v>Sumbangan Pihak Ketiga/Sejenis-LO</v>
          </cell>
          <cell r="D3106">
            <v>0</v>
          </cell>
          <cell r="E3106">
            <v>0</v>
          </cell>
          <cell r="J3106">
            <v>0</v>
          </cell>
        </row>
        <row r="3107">
          <cell r="B3107" t="str">
            <v>7.3.01.05.01</v>
          </cell>
          <cell r="C3107" t="str">
            <v>Sumbangan Pihak Ketiga/Sejenis-LO</v>
          </cell>
          <cell r="F3107">
            <v>0</v>
          </cell>
          <cell r="G3107">
            <v>0</v>
          </cell>
          <cell r="H3107">
            <v>0</v>
          </cell>
          <cell r="I3107">
            <v>0</v>
          </cell>
          <cell r="J3107">
            <v>0</v>
          </cell>
        </row>
        <row r="3109">
          <cell r="B3109" t="str">
            <v>7.3.02</v>
          </cell>
          <cell r="C3109" t="str">
            <v>Dana Darurat-LO</v>
          </cell>
          <cell r="D3109">
            <v>0</v>
          </cell>
          <cell r="E3109">
            <v>0</v>
          </cell>
          <cell r="J3109">
            <v>0</v>
          </cell>
        </row>
        <row r="3110">
          <cell r="B3110" t="str">
            <v>7.3.02.01</v>
          </cell>
          <cell r="C3110" t="str">
            <v>Dana Darurat-LO</v>
          </cell>
          <cell r="D3110">
            <v>0</v>
          </cell>
          <cell r="E3110">
            <v>0</v>
          </cell>
          <cell r="J3110">
            <v>0</v>
          </cell>
        </row>
        <row r="3111">
          <cell r="B3111" t="str">
            <v>7.3.02.01.01</v>
          </cell>
          <cell r="C3111" t="str">
            <v>Dana Darurat-LO</v>
          </cell>
          <cell r="F3111">
            <v>0</v>
          </cell>
          <cell r="G3111">
            <v>0</v>
          </cell>
          <cell r="H3111">
            <v>0</v>
          </cell>
          <cell r="I3111">
            <v>0</v>
          </cell>
          <cell r="J3111">
            <v>0</v>
          </cell>
        </row>
        <row r="3113">
          <cell r="B3113" t="str">
            <v>7.3.03</v>
          </cell>
          <cell r="C3113" t="str">
            <v>Lain-lain Pendapatan Sesuai dengan Ketentuan Peraturan Perundang-Undangan-LO</v>
          </cell>
          <cell r="D3113">
            <v>16143889520</v>
          </cell>
          <cell r="E3113">
            <v>26324521293</v>
          </cell>
          <cell r="J3113">
            <v>26324521293</v>
          </cell>
        </row>
        <row r="3114">
          <cell r="B3114" t="str">
            <v>7.3.03.01</v>
          </cell>
          <cell r="C3114" t="str">
            <v>Lain-lain Pendapatan-LO</v>
          </cell>
          <cell r="D3114">
            <v>0</v>
          </cell>
          <cell r="E3114">
            <v>0</v>
          </cell>
          <cell r="J3114">
            <v>0</v>
          </cell>
        </row>
        <row r="3115">
          <cell r="B3115" t="str">
            <v>7.3.03.01.01</v>
          </cell>
          <cell r="C3115" t="str">
            <v>Pendapatan Hibah Dana BOS-LO</v>
          </cell>
          <cell r="F3115">
            <v>0</v>
          </cell>
          <cell r="G3115">
            <v>0</v>
          </cell>
          <cell r="H3115">
            <v>0</v>
          </cell>
          <cell r="I3115">
            <v>0</v>
          </cell>
          <cell r="J3115">
            <v>0</v>
          </cell>
        </row>
        <row r="3116">
          <cell r="B3116" t="str">
            <v>7.3.03.01.02</v>
          </cell>
          <cell r="C3116" t="str">
            <v>Pendapatan atas Pengembalian Hibah-LO</v>
          </cell>
          <cell r="F3116">
            <v>0</v>
          </cell>
          <cell r="G3116">
            <v>0</v>
          </cell>
          <cell r="H3116">
            <v>0</v>
          </cell>
          <cell r="I3116">
            <v>0</v>
          </cell>
          <cell r="J3116">
            <v>0</v>
          </cell>
        </row>
        <row r="3117">
          <cell r="B3117" t="str">
            <v>7.3.03.01.03</v>
          </cell>
          <cell r="C3117" t="str">
            <v>Pendapatan atas Dana Reducing Emission from Deforestration and Forest Degradation Results Based Payment-LO</v>
          </cell>
          <cell r="F3117">
            <v>0</v>
          </cell>
          <cell r="G3117">
            <v>0</v>
          </cell>
          <cell r="H3117">
            <v>0</v>
          </cell>
          <cell r="I3117">
            <v>0</v>
          </cell>
          <cell r="J3117">
            <v>0</v>
          </cell>
        </row>
        <row r="3118">
          <cell r="B3118" t="str">
            <v>7.3.03.02</v>
          </cell>
          <cell r="C3118" t="str">
            <v>Pendapatan Dana Kapitasi JKN pada FKTP-LO</v>
          </cell>
          <cell r="D3118">
            <v>0</v>
          </cell>
          <cell r="E3118">
            <v>0</v>
          </cell>
          <cell r="J3118">
            <v>0</v>
          </cell>
        </row>
        <row r="3119">
          <cell r="B3119" t="str">
            <v>7.3.03.02.01</v>
          </cell>
          <cell r="C3119" t="str">
            <v>Pendapatan Dana Kapitasi JKN pada FKTP-LO</v>
          </cell>
          <cell r="F3119">
            <v>0</v>
          </cell>
          <cell r="G3119">
            <v>0</v>
          </cell>
          <cell r="H3119">
            <v>0</v>
          </cell>
          <cell r="I3119">
            <v>0</v>
          </cell>
          <cell r="J3119">
            <v>0</v>
          </cell>
        </row>
        <row r="3120">
          <cell r="B3120" t="str">
            <v>7.3.03.03</v>
          </cell>
          <cell r="C3120" t="str">
            <v>Pendapatan Bagi Hasil Pemegang IUPK atas Pertambangan Mineral Logam dan Batu Bara-LO</v>
          </cell>
          <cell r="D3120">
            <v>16143889520</v>
          </cell>
          <cell r="E3120">
            <v>26324521293</v>
          </cell>
          <cell r="J3120">
            <v>26324521293</v>
          </cell>
        </row>
        <row r="3121">
          <cell r="B3121" t="str">
            <v>7.3.03.03.01</v>
          </cell>
          <cell r="C3121" t="str">
            <v>Pendapatan Bagi Hasil Pemegang IUPK atas Pertambangan Mineral Logam dan Batu Bara-LO</v>
          </cell>
          <cell r="D3121">
            <v>16143889520</v>
          </cell>
          <cell r="E3121">
            <v>26324521293</v>
          </cell>
          <cell r="F3121">
            <v>0</v>
          </cell>
          <cell r="G3121">
            <v>0</v>
          </cell>
          <cell r="H3121">
            <v>0</v>
          </cell>
          <cell r="I3121">
            <v>0</v>
          </cell>
          <cell r="J3121">
            <v>26324521293</v>
          </cell>
        </row>
        <row r="3122">
          <cell r="B3122" t="str">
            <v>7.3.03.04</v>
          </cell>
          <cell r="C3122" t="str">
            <v>Kontribusi dari Sumber Lain yang Sah dan Tidak Mengikat-LO</v>
          </cell>
          <cell r="D3122">
            <v>0</v>
          </cell>
          <cell r="E3122">
            <v>0</v>
          </cell>
          <cell r="J3122">
            <v>0</v>
          </cell>
        </row>
        <row r="3123">
          <cell r="B3123" t="str">
            <v>7.3.03.04.01</v>
          </cell>
          <cell r="C3123" t="str">
            <v>Kontribusi dari Sumber Lain yang Sah dan Tidak Mengikat-LO</v>
          </cell>
          <cell r="F3123">
            <v>0</v>
          </cell>
          <cell r="G3123">
            <v>0</v>
          </cell>
          <cell r="H3123">
            <v>0</v>
          </cell>
          <cell r="I3123">
            <v>0</v>
          </cell>
          <cell r="J3123">
            <v>0</v>
          </cell>
        </row>
        <row r="3124">
          <cell r="B3124" t="str">
            <v>7.3.03.05</v>
          </cell>
          <cell r="C3124" t="str">
            <v>Pendapatan Klaim Pelayanan Kesehatan/Nonkapitasi-LO</v>
          </cell>
          <cell r="D3124">
            <v>0</v>
          </cell>
          <cell r="E3124">
            <v>0</v>
          </cell>
          <cell r="J3124">
            <v>0</v>
          </cell>
        </row>
        <row r="3125">
          <cell r="B3125" t="str">
            <v>7.3.03.05.01</v>
          </cell>
          <cell r="C3125" t="str">
            <v>Pendapatan Klaim Pelayanan Kesehatan/Nonkapitasi-LO</v>
          </cell>
          <cell r="F3125">
            <v>0</v>
          </cell>
          <cell r="G3125">
            <v>0</v>
          </cell>
          <cell r="H3125">
            <v>0</v>
          </cell>
          <cell r="I3125">
            <v>0</v>
          </cell>
          <cell r="J3125">
            <v>0</v>
          </cell>
        </row>
        <row r="3126">
          <cell r="B3126" t="str">
            <v>7.3.03.06</v>
          </cell>
          <cell r="C3126" t="str">
            <v>Pendapatan Bonus Produksi Panas Bumi-LO</v>
          </cell>
          <cell r="D3126">
            <v>0</v>
          </cell>
          <cell r="E3126">
            <v>0</v>
          </cell>
          <cell r="J3126">
            <v>0</v>
          </cell>
        </row>
        <row r="3127">
          <cell r="B3127" t="str">
            <v>7.3.03.06.01</v>
          </cell>
          <cell r="C3127" t="str">
            <v>Pendapatan Bonus Produksi Panas Bumi-LO</v>
          </cell>
          <cell r="F3127">
            <v>0</v>
          </cell>
          <cell r="G3127">
            <v>0</v>
          </cell>
          <cell r="H3127">
            <v>0</v>
          </cell>
          <cell r="I3127">
            <v>0</v>
          </cell>
          <cell r="J3127">
            <v>0</v>
          </cell>
        </row>
        <row r="3128">
          <cell r="B3128" t="str">
            <v>7.3.03.07</v>
          </cell>
          <cell r="C3128" t="str">
            <v>Pendapatan Bonus Tandatangan dan Bonus Produksi Pemerintah Aceh-LO</v>
          </cell>
          <cell r="D3128">
            <v>0</v>
          </cell>
          <cell r="E3128">
            <v>0</v>
          </cell>
          <cell r="J3128">
            <v>0</v>
          </cell>
        </row>
        <row r="3129">
          <cell r="B3129" t="str">
            <v>7.3.03.07.01</v>
          </cell>
          <cell r="C3129" t="str">
            <v>Pendapatan Bonus Tandatangan dan Bonus Produksi Pemerintah Aceh-LO</v>
          </cell>
          <cell r="F3129">
            <v>0</v>
          </cell>
          <cell r="G3129">
            <v>0</v>
          </cell>
          <cell r="H3129">
            <v>0</v>
          </cell>
          <cell r="I3129">
            <v>0</v>
          </cell>
          <cell r="J3129">
            <v>0</v>
          </cell>
        </row>
        <row r="3131">
          <cell r="B3131" t="str">
            <v>8</v>
          </cell>
          <cell r="C3131" t="str">
            <v>BEBAN DAERAH</v>
          </cell>
          <cell r="D3131">
            <v>1936009689068.54</v>
          </cell>
          <cell r="E3131">
            <v>1948160696808.3401</v>
          </cell>
          <cell r="J3131">
            <v>1945412548063.2061</v>
          </cell>
        </row>
        <row r="3132">
          <cell r="B3132" t="str">
            <v>8.1</v>
          </cell>
          <cell r="C3132" t="str">
            <v>BEBAN OPERASI</v>
          </cell>
          <cell r="D3132">
            <v>1825859684513.54</v>
          </cell>
          <cell r="E3132">
            <v>1816216489434.3401</v>
          </cell>
          <cell r="J3132">
            <v>1813468340689.2061</v>
          </cell>
        </row>
        <row r="3133">
          <cell r="B3133" t="str">
            <v>8.1.01</v>
          </cell>
          <cell r="C3133" t="str">
            <v>Beban Pegawai</v>
          </cell>
          <cell r="D3133">
            <v>955957751085.09998</v>
          </cell>
          <cell r="E3133">
            <v>1062695324843</v>
          </cell>
          <cell r="J3133">
            <v>1062582069447</v>
          </cell>
        </row>
        <row r="3134">
          <cell r="B3134" t="str">
            <v>8.1.01.01</v>
          </cell>
          <cell r="C3134" t="str">
            <v>Beban Gaji dan Tunjangan ASN</v>
          </cell>
          <cell r="D3134">
            <v>644058133623</v>
          </cell>
          <cell r="E3134">
            <v>726572069970</v>
          </cell>
          <cell r="J3134">
            <v>726487717742</v>
          </cell>
        </row>
        <row r="3135">
          <cell r="B3135" t="str">
            <v>8.1.01.01.01</v>
          </cell>
          <cell r="C3135" t="str">
            <v>Beban Gaji Pokok ASN</v>
          </cell>
          <cell r="D3135">
            <v>502381756483</v>
          </cell>
          <cell r="E3135">
            <v>562084786902</v>
          </cell>
          <cell r="F3135">
            <v>0</v>
          </cell>
          <cell r="G3135">
            <v>0</v>
          </cell>
          <cell r="H3135">
            <v>0</v>
          </cell>
          <cell r="I3135">
            <v>0</v>
          </cell>
          <cell r="J3135">
            <v>562084786902</v>
          </cell>
        </row>
        <row r="3136">
          <cell r="B3136" t="str">
            <v>8.1.01.01.02</v>
          </cell>
          <cell r="C3136" t="str">
            <v>Beban Tunjangan Keluarga ASN</v>
          </cell>
          <cell r="D3136">
            <v>43434962550</v>
          </cell>
          <cell r="E3136">
            <v>49173169555</v>
          </cell>
          <cell r="F3136">
            <v>0</v>
          </cell>
          <cell r="G3136">
            <v>45535108</v>
          </cell>
          <cell r="H3136">
            <v>0</v>
          </cell>
          <cell r="I3136">
            <v>0</v>
          </cell>
          <cell r="J3136">
            <v>49127634447</v>
          </cell>
        </row>
        <row r="3137">
          <cell r="B3137" t="str">
            <v>8.1.01.01.03</v>
          </cell>
          <cell r="C3137" t="str">
            <v>Beban Tunjangan Jabatan ASN</v>
          </cell>
          <cell r="D3137">
            <v>7258295000</v>
          </cell>
          <cell r="E3137">
            <v>6439035000</v>
          </cell>
          <cell r="F3137">
            <v>0</v>
          </cell>
          <cell r="G3137">
            <v>0</v>
          </cell>
          <cell r="H3137">
            <v>0</v>
          </cell>
          <cell r="I3137">
            <v>0</v>
          </cell>
          <cell r="J3137">
            <v>6439035000</v>
          </cell>
        </row>
        <row r="3138">
          <cell r="B3138" t="str">
            <v>8.1.01.01.04</v>
          </cell>
          <cell r="C3138" t="str">
            <v>Beban Tunjangan Fungsional ASN</v>
          </cell>
          <cell r="D3138">
            <v>27705813091</v>
          </cell>
          <cell r="E3138">
            <v>27141088336</v>
          </cell>
          <cell r="F3138">
            <v>0</v>
          </cell>
          <cell r="G3138">
            <v>0</v>
          </cell>
          <cell r="H3138">
            <v>0</v>
          </cell>
          <cell r="I3138">
            <v>0</v>
          </cell>
          <cell r="J3138">
            <v>27141088336</v>
          </cell>
        </row>
        <row r="3139">
          <cell r="B3139" t="str">
            <v>8.1.01.01.05</v>
          </cell>
          <cell r="C3139" t="str">
            <v>Beban Tunjangan Fungsional Umum ASN</v>
          </cell>
          <cell r="D3139">
            <v>11649951568</v>
          </cell>
          <cell r="E3139">
            <v>15725967915</v>
          </cell>
          <cell r="F3139">
            <v>0</v>
          </cell>
          <cell r="G3139">
            <v>0</v>
          </cell>
          <cell r="H3139">
            <v>0</v>
          </cell>
          <cell r="I3139">
            <v>0</v>
          </cell>
          <cell r="J3139">
            <v>15725967915</v>
          </cell>
        </row>
        <row r="3140">
          <cell r="B3140" t="str">
            <v>8.1.01.01.06</v>
          </cell>
          <cell r="C3140" t="str">
            <v>Beban Tunjangan Beras ASN</v>
          </cell>
          <cell r="D3140">
            <v>25980078364</v>
          </cell>
          <cell r="E3140">
            <v>29974579405</v>
          </cell>
          <cell r="F3140">
            <v>0</v>
          </cell>
          <cell r="G3140">
            <v>38817120</v>
          </cell>
          <cell r="H3140">
            <v>0</v>
          </cell>
          <cell r="I3140">
            <v>0</v>
          </cell>
          <cell r="J3140">
            <v>29935762285</v>
          </cell>
        </row>
        <row r="3141">
          <cell r="B3141" t="str">
            <v>8.1.01.01.07</v>
          </cell>
          <cell r="C3141" t="str">
            <v>Beban Tunjangan PPh/Tunjangan Khusus ASN</v>
          </cell>
          <cell r="D3141">
            <v>933223356</v>
          </cell>
          <cell r="E3141">
            <v>1266214333</v>
          </cell>
          <cell r="F3141">
            <v>0</v>
          </cell>
          <cell r="G3141">
            <v>0</v>
          </cell>
          <cell r="H3141">
            <v>0</v>
          </cell>
          <cell r="I3141">
            <v>0</v>
          </cell>
          <cell r="J3141">
            <v>1266214333</v>
          </cell>
        </row>
        <row r="3142">
          <cell r="B3142" t="str">
            <v>8.1.01.01.08</v>
          </cell>
          <cell r="C3142" t="str">
            <v>Beban Pembulatan Gaji ASN</v>
          </cell>
          <cell r="D3142">
            <v>7758188</v>
          </cell>
          <cell r="E3142">
            <v>8583314</v>
          </cell>
          <cell r="F3142">
            <v>0</v>
          </cell>
          <cell r="G3142">
            <v>0</v>
          </cell>
          <cell r="H3142">
            <v>0</v>
          </cell>
          <cell r="I3142">
            <v>0</v>
          </cell>
          <cell r="J3142">
            <v>8583314</v>
          </cell>
        </row>
        <row r="3143">
          <cell r="B3143" t="str">
            <v>8.1.01.01.09</v>
          </cell>
          <cell r="C3143" t="str">
            <v>Beban Iuran Jaminan Kesehatan ASN</v>
          </cell>
          <cell r="D3143">
            <v>20705789371</v>
          </cell>
          <cell r="E3143">
            <v>30083875968</v>
          </cell>
          <cell r="F3143">
            <v>0</v>
          </cell>
          <cell r="G3143">
            <v>0</v>
          </cell>
          <cell r="H3143">
            <v>0</v>
          </cell>
          <cell r="I3143">
            <v>0</v>
          </cell>
          <cell r="J3143">
            <v>30083875968</v>
          </cell>
        </row>
        <row r="3144">
          <cell r="B3144" t="str">
            <v>8.1.01.01.10</v>
          </cell>
          <cell r="C3144" t="str">
            <v>Beban Iuran Jaminan Kecelakaan Kerja ASN</v>
          </cell>
          <cell r="D3144">
            <v>1032767474</v>
          </cell>
          <cell r="E3144">
            <v>1168563719</v>
          </cell>
          <cell r="F3144">
            <v>0</v>
          </cell>
          <cell r="G3144">
            <v>0</v>
          </cell>
          <cell r="H3144">
            <v>0</v>
          </cell>
          <cell r="I3144">
            <v>0</v>
          </cell>
          <cell r="J3144">
            <v>1168563719</v>
          </cell>
        </row>
        <row r="3145">
          <cell r="B3145" t="str">
            <v>8.1.01.01.11</v>
          </cell>
          <cell r="C3145" t="str">
            <v>Beban Iuran Jaminan Kematian ASN</v>
          </cell>
          <cell r="D3145">
            <v>2967547425</v>
          </cell>
          <cell r="E3145">
            <v>3506205523</v>
          </cell>
          <cell r="F3145">
            <v>0</v>
          </cell>
          <cell r="G3145">
            <v>0</v>
          </cell>
          <cell r="H3145">
            <v>0</v>
          </cell>
          <cell r="I3145">
            <v>0</v>
          </cell>
          <cell r="J3145">
            <v>3506205523</v>
          </cell>
        </row>
        <row r="3146">
          <cell r="B3146" t="str">
            <v>8.1.01.01.12</v>
          </cell>
          <cell r="C3146" t="str">
            <v>Beban Iuran Simpanan Peserta Tabungan Perumahan Rakyat ASN</v>
          </cell>
          <cell r="F3146">
            <v>0</v>
          </cell>
          <cell r="G3146">
            <v>0</v>
          </cell>
          <cell r="H3146">
            <v>0</v>
          </cell>
          <cell r="I3146">
            <v>0</v>
          </cell>
          <cell r="J3146">
            <v>0</v>
          </cell>
        </row>
        <row r="3147">
          <cell r="B3147" t="str">
            <v>8.1.01.01.13</v>
          </cell>
          <cell r="C3147" t="str">
            <v>Beban Jaminan Hari Tua ASN</v>
          </cell>
          <cell r="F3147">
            <v>0</v>
          </cell>
          <cell r="G3147">
            <v>0</v>
          </cell>
          <cell r="H3147">
            <v>0</v>
          </cell>
          <cell r="I3147">
            <v>0</v>
          </cell>
          <cell r="J3147">
            <v>0</v>
          </cell>
        </row>
        <row r="3148">
          <cell r="B3148" t="str">
            <v>8.1.01.01.14</v>
          </cell>
          <cell r="C3148" t="str">
            <v>Beban Tunjangan Khusus*)</v>
          </cell>
          <cell r="D3148">
            <v>190753</v>
          </cell>
          <cell r="F3148">
            <v>0</v>
          </cell>
          <cell r="G3148">
            <v>0</v>
          </cell>
          <cell r="H3148">
            <v>0</v>
          </cell>
          <cell r="I3148">
            <v>0</v>
          </cell>
          <cell r="J3148">
            <v>0</v>
          </cell>
        </row>
        <row r="3149">
          <cell r="B3149" t="str">
            <v>8.1.01.01.15</v>
          </cell>
          <cell r="C3149" t="str">
            <v>Beban Zakat ASN</v>
          </cell>
          <cell r="F3149">
            <v>0</v>
          </cell>
          <cell r="G3149">
            <v>0</v>
          </cell>
          <cell r="H3149">
            <v>0</v>
          </cell>
          <cell r="I3149">
            <v>0</v>
          </cell>
          <cell r="J3149">
            <v>0</v>
          </cell>
        </row>
        <row r="3150">
          <cell r="B3150" t="str">
            <v>8.1.01.02</v>
          </cell>
          <cell r="C3150" t="str">
            <v>Beban Tambahan Penghasilan ASN</v>
          </cell>
          <cell r="D3150">
            <v>55183987177</v>
          </cell>
          <cell r="E3150">
            <v>54756337117</v>
          </cell>
          <cell r="J3150">
            <v>54727433949</v>
          </cell>
        </row>
        <row r="3151">
          <cell r="B3151" t="str">
            <v>8.1.01.02.01</v>
          </cell>
          <cell r="C3151" t="str">
            <v>Beban Tambahan Penghasilan berdasarkan Beban Kerja ASN</v>
          </cell>
          <cell r="D3151">
            <v>24870277500</v>
          </cell>
          <cell r="E3151">
            <v>24711592049</v>
          </cell>
          <cell r="F3151">
            <v>0</v>
          </cell>
          <cell r="G3151">
            <v>28903168</v>
          </cell>
          <cell r="H3151">
            <v>0</v>
          </cell>
          <cell r="I3151">
            <v>0</v>
          </cell>
          <cell r="J3151">
            <v>24682688881</v>
          </cell>
        </row>
        <row r="3152">
          <cell r="B3152" t="str">
            <v>8.1.01.02.02</v>
          </cell>
          <cell r="C3152" t="str">
            <v>Beban Tambahan Penghasilan berdasarkan Tempat Bertugas ASN</v>
          </cell>
          <cell r="F3152">
            <v>0</v>
          </cell>
          <cell r="G3152">
            <v>0</v>
          </cell>
          <cell r="H3152">
            <v>0</v>
          </cell>
          <cell r="I3152">
            <v>0</v>
          </cell>
          <cell r="J3152">
            <v>0</v>
          </cell>
        </row>
        <row r="3153">
          <cell r="B3153" t="str">
            <v>8.1.01.02.03</v>
          </cell>
          <cell r="C3153" t="str">
            <v>Beban Tambahan Penghasilan berdasarkan Kondisi Kerja ASN</v>
          </cell>
          <cell r="D3153">
            <v>35855848</v>
          </cell>
          <cell r="E3153">
            <v>21470000</v>
          </cell>
          <cell r="F3153">
            <v>0</v>
          </cell>
          <cell r="G3153">
            <v>0</v>
          </cell>
          <cell r="H3153">
            <v>0</v>
          </cell>
          <cell r="I3153">
            <v>0</v>
          </cell>
          <cell r="J3153">
            <v>21470000</v>
          </cell>
        </row>
        <row r="3154">
          <cell r="B3154" t="str">
            <v>8.1.01.02.04</v>
          </cell>
          <cell r="C3154" t="str">
            <v>Beban Tambahan Penghasilan berdasarkan Kelangkaan Profesi ASN</v>
          </cell>
          <cell r="D3154">
            <v>45087000</v>
          </cell>
          <cell r="E3154">
            <v>215032925</v>
          </cell>
          <cell r="F3154">
            <v>0</v>
          </cell>
          <cell r="G3154">
            <v>0</v>
          </cell>
          <cell r="H3154">
            <v>0</v>
          </cell>
          <cell r="I3154">
            <v>0</v>
          </cell>
          <cell r="J3154">
            <v>215032925</v>
          </cell>
        </row>
        <row r="3155">
          <cell r="B3155" t="str">
            <v>8.1.01.02.05</v>
          </cell>
          <cell r="C3155" t="str">
            <v>Beban Tambahan Penghasilan berdasarkan Prestasi Kerja ASN</v>
          </cell>
          <cell r="D3155">
            <v>30232766829</v>
          </cell>
          <cell r="E3155">
            <v>29808242143</v>
          </cell>
          <cell r="F3155">
            <v>0</v>
          </cell>
          <cell r="G3155">
            <v>0</v>
          </cell>
          <cell r="H3155">
            <v>0</v>
          </cell>
          <cell r="I3155">
            <v>0</v>
          </cell>
          <cell r="J3155">
            <v>29808242143</v>
          </cell>
        </row>
        <row r="3156">
          <cell r="B3156" t="str">
            <v>8.1.01.02.06</v>
          </cell>
          <cell r="C3156" t="str">
            <v>Beban Tambahan Penghasilan berdasarkan Pertimbangan Objektif Lainnya ASN</v>
          </cell>
          <cell r="F3156">
            <v>0</v>
          </cell>
          <cell r="G3156">
            <v>0</v>
          </cell>
          <cell r="H3156">
            <v>0</v>
          </cell>
          <cell r="I3156">
            <v>0</v>
          </cell>
          <cell r="J3156">
            <v>0</v>
          </cell>
        </row>
        <row r="3157">
          <cell r="B3157" t="str">
            <v>8.1.01.03</v>
          </cell>
          <cell r="C3157" t="str">
            <v>Beban Tambahan Penghasilan berdasarkan Pertimbangan Objektif Lainnya ASN</v>
          </cell>
          <cell r="D3157">
            <v>176207163686</v>
          </cell>
          <cell r="E3157">
            <v>191251502605.20001</v>
          </cell>
          <cell r="J3157">
            <v>258894411994</v>
          </cell>
        </row>
        <row r="3158">
          <cell r="B3158" t="str">
            <v>8.1.01.03.01</v>
          </cell>
          <cell r="C3158" t="str">
            <v>Beban Insentif bagi ASN atas Pemungutan Pajak Daerah</v>
          </cell>
          <cell r="F3158">
            <v>0</v>
          </cell>
          <cell r="G3158">
            <v>0</v>
          </cell>
          <cell r="H3158">
            <v>0</v>
          </cell>
          <cell r="I3158">
            <v>0</v>
          </cell>
          <cell r="J3158">
            <v>0</v>
          </cell>
        </row>
        <row r="3159">
          <cell r="B3159" t="str">
            <v>8.1.01.03.02</v>
          </cell>
          <cell r="C3159" t="str">
            <v>Beban Insentif bagi ASN atas Pemungutan Retribusi Daerah</v>
          </cell>
          <cell r="D3159">
            <v>106709400</v>
          </cell>
          <cell r="E3159">
            <v>0</v>
          </cell>
          <cell r="F3159">
            <v>0</v>
          </cell>
          <cell r="G3159">
            <v>0</v>
          </cell>
          <cell r="H3159">
            <v>0</v>
          </cell>
          <cell r="I3159">
            <v>0</v>
          </cell>
          <cell r="J3159">
            <v>0</v>
          </cell>
        </row>
        <row r="3160">
          <cell r="B3160" t="str">
            <v>8.1.01.03.03</v>
          </cell>
          <cell r="C3160" t="str">
            <v>Beban Tunjangan Profesi Guru (TPG) PNSD</v>
          </cell>
          <cell r="D3160">
            <v>141280556800</v>
          </cell>
          <cell r="E3160">
            <v>169336265900</v>
          </cell>
          <cell r="F3160">
            <v>0</v>
          </cell>
          <cell r="G3160">
            <v>0</v>
          </cell>
          <cell r="H3160">
            <v>0</v>
          </cell>
          <cell r="I3160">
            <v>0</v>
          </cell>
          <cell r="J3160">
            <v>169336265900</v>
          </cell>
        </row>
        <row r="3161">
          <cell r="B3161" t="str">
            <v>8.1.01.03.04</v>
          </cell>
          <cell r="C3161" t="str">
            <v>Beban Tunjangan Khusus Guru (TKG) PNSD</v>
          </cell>
          <cell r="D3161">
            <v>4497526800</v>
          </cell>
          <cell r="E3161">
            <v>8687932700</v>
          </cell>
          <cell r="F3161">
            <v>0</v>
          </cell>
          <cell r="G3161">
            <v>0</v>
          </cell>
          <cell r="H3161">
            <v>0</v>
          </cell>
          <cell r="I3161">
            <v>0</v>
          </cell>
          <cell r="J3161">
            <v>8687932700</v>
          </cell>
        </row>
        <row r="3162">
          <cell r="B3162" t="str">
            <v>8.1.01.03.05</v>
          </cell>
          <cell r="C3162" t="str">
            <v>Beban Tambahan Penghasilan (Tamsil) Guru PNSD</v>
          </cell>
          <cell r="D3162">
            <v>2049000000</v>
          </cell>
          <cell r="E3162">
            <v>1002000000</v>
          </cell>
          <cell r="F3162">
            <v>0</v>
          </cell>
          <cell r="G3162">
            <v>0</v>
          </cell>
          <cell r="H3162">
            <v>0</v>
          </cell>
          <cell r="I3162">
            <v>0</v>
          </cell>
          <cell r="J3162">
            <v>1002000000</v>
          </cell>
        </row>
        <row r="3163">
          <cell r="B3163" t="str">
            <v>8.1.01.03.06</v>
          </cell>
          <cell r="C3163" t="str">
            <v>Beban Jasa Pelayanan Kesehatan bagi ASN</v>
          </cell>
          <cell r="D3163">
            <v>11915110286</v>
          </cell>
          <cell r="E3163">
            <v>12225304005.200001</v>
          </cell>
          <cell r="F3163">
            <v>67642909388.800003</v>
          </cell>
          <cell r="G3163">
            <v>0</v>
          </cell>
          <cell r="H3163">
            <v>0</v>
          </cell>
          <cell r="I3163">
            <v>0</v>
          </cell>
          <cell r="J3163">
            <v>79868213394</v>
          </cell>
        </row>
        <row r="3164">
          <cell r="B3164" t="str">
            <v>8.1.01.03.07</v>
          </cell>
          <cell r="C3164" t="str">
            <v>Beban Honorarium</v>
          </cell>
          <cell r="D3164">
            <v>5950312000</v>
          </cell>
          <cell r="E3164">
            <v>0</v>
          </cell>
          <cell r="F3164">
            <v>0</v>
          </cell>
          <cell r="G3164">
            <v>0</v>
          </cell>
          <cell r="H3164">
            <v>0</v>
          </cell>
          <cell r="I3164">
            <v>0</v>
          </cell>
          <cell r="J3164">
            <v>0</v>
          </cell>
        </row>
        <row r="3165">
          <cell r="B3165" t="str">
            <v>8.1.01.03.08</v>
          </cell>
          <cell r="C3165" t="str">
            <v>Beban Jasa Pengelolaan BMD</v>
          </cell>
          <cell r="D3165">
            <v>17820000</v>
          </cell>
          <cell r="F3165">
            <v>0</v>
          </cell>
          <cell r="G3165">
            <v>0</v>
          </cell>
          <cell r="H3165">
            <v>0</v>
          </cell>
          <cell r="I3165">
            <v>0</v>
          </cell>
          <cell r="J3165">
            <v>0</v>
          </cell>
        </row>
        <row r="3166">
          <cell r="B3166" t="str">
            <v>8.1.01.03.09</v>
          </cell>
          <cell r="C3166" t="str">
            <v>Beban Tunjangan Profesi Guru (TPG) PPPK</v>
          </cell>
          <cell r="D3166">
            <v>10068878400</v>
          </cell>
          <cell r="F3166">
            <v>0</v>
          </cell>
          <cell r="G3166">
            <v>0</v>
          </cell>
          <cell r="H3166">
            <v>0</v>
          </cell>
          <cell r="I3166">
            <v>0</v>
          </cell>
          <cell r="J3166">
            <v>0</v>
          </cell>
        </row>
        <row r="3167">
          <cell r="B3167" t="str">
            <v>8.1.01.03.10</v>
          </cell>
          <cell r="C3167" t="str">
            <v>Beban Tunjangan Khusus Guru (TKG) PPPK</v>
          </cell>
          <cell r="F3167">
            <v>0</v>
          </cell>
          <cell r="G3167">
            <v>0</v>
          </cell>
          <cell r="H3167">
            <v>0</v>
          </cell>
          <cell r="I3167">
            <v>0</v>
          </cell>
          <cell r="J3167">
            <v>0</v>
          </cell>
        </row>
        <row r="3168">
          <cell r="B3168" t="str">
            <v>8.1.01.03.11</v>
          </cell>
          <cell r="C3168" t="str">
            <v>Beban Tambahan Penghasilan (Tamsil) Guru PPPK</v>
          </cell>
          <cell r="D3168">
            <v>321250000</v>
          </cell>
          <cell r="F3168">
            <v>0</v>
          </cell>
          <cell r="G3168">
            <v>0</v>
          </cell>
          <cell r="H3168">
            <v>0</v>
          </cell>
          <cell r="I3168">
            <v>0</v>
          </cell>
          <cell r="J3168">
            <v>0</v>
          </cell>
        </row>
        <row r="3169">
          <cell r="B3169" t="str">
            <v>8.1.01.03.12</v>
          </cell>
          <cell r="C3169" t="str">
            <v>Beban Tunjangan Khusus bagi Penyelenggara Pelayanan Terpadu Satu Pintu (PTSP) Daerah</v>
          </cell>
          <cell r="F3169">
            <v>0</v>
          </cell>
          <cell r="G3169">
            <v>0</v>
          </cell>
          <cell r="H3169">
            <v>0</v>
          </cell>
          <cell r="I3169">
            <v>0</v>
          </cell>
          <cell r="J3169">
            <v>0</v>
          </cell>
        </row>
        <row r="3170">
          <cell r="B3170" t="str">
            <v>8.1.01.04</v>
          </cell>
          <cell r="C3170" t="str">
            <v>Beban Gaji dan Tunjangan DPRD</v>
          </cell>
          <cell r="D3170">
            <v>20764023279</v>
          </cell>
          <cell r="E3170">
            <v>21546930724</v>
          </cell>
          <cell r="J3170">
            <v>21546930724</v>
          </cell>
        </row>
        <row r="3171">
          <cell r="B3171" t="str">
            <v>8.1.01.04.01</v>
          </cell>
          <cell r="C3171" t="str">
            <v>Beban Uang Representasi DPRD</v>
          </cell>
          <cell r="D3171">
            <v>1002330000</v>
          </cell>
          <cell r="E3171">
            <v>1004010000</v>
          </cell>
          <cell r="F3171">
            <v>0</v>
          </cell>
          <cell r="G3171">
            <v>0</v>
          </cell>
          <cell r="H3171">
            <v>0</v>
          </cell>
          <cell r="I3171">
            <v>0</v>
          </cell>
          <cell r="J3171">
            <v>1004010000</v>
          </cell>
        </row>
        <row r="3172">
          <cell r="B3172" t="str">
            <v>8.1.01.04.02</v>
          </cell>
          <cell r="C3172" t="str">
            <v>Beban Tunjangan Keluarga DPRD</v>
          </cell>
          <cell r="D3172">
            <v>102220020</v>
          </cell>
          <cell r="E3172">
            <v>96579000</v>
          </cell>
          <cell r="F3172">
            <v>0</v>
          </cell>
          <cell r="G3172">
            <v>0</v>
          </cell>
          <cell r="H3172">
            <v>0</v>
          </cell>
          <cell r="I3172">
            <v>0</v>
          </cell>
          <cell r="J3172">
            <v>96579000</v>
          </cell>
        </row>
        <row r="3173">
          <cell r="B3173" t="str">
            <v>8.1.01.04.03</v>
          </cell>
          <cell r="C3173" t="str">
            <v>Beban Tunjangan Beras DPRD</v>
          </cell>
          <cell r="D3173">
            <v>76882680</v>
          </cell>
          <cell r="E3173">
            <v>79626960</v>
          </cell>
          <cell r="F3173">
            <v>0</v>
          </cell>
          <cell r="G3173">
            <v>0</v>
          </cell>
          <cell r="H3173">
            <v>0</v>
          </cell>
          <cell r="I3173">
            <v>0</v>
          </cell>
          <cell r="J3173">
            <v>79626960</v>
          </cell>
        </row>
        <row r="3174">
          <cell r="B3174" t="str">
            <v>8.1.01.04.04</v>
          </cell>
          <cell r="C3174" t="str">
            <v>Beban Uang Paket DPRD</v>
          </cell>
          <cell r="D3174">
            <v>100264500</v>
          </cell>
          <cell r="E3174">
            <v>100401000</v>
          </cell>
          <cell r="F3174">
            <v>0</v>
          </cell>
          <cell r="G3174">
            <v>0</v>
          </cell>
          <cell r="H3174">
            <v>0</v>
          </cell>
          <cell r="I3174">
            <v>0</v>
          </cell>
          <cell r="J3174">
            <v>100401000</v>
          </cell>
        </row>
        <row r="3175">
          <cell r="B3175" t="str">
            <v>8.1.01.04.05</v>
          </cell>
          <cell r="C3175" t="str">
            <v>Beban Tunjangan Jabatan DPRD</v>
          </cell>
          <cell r="D3175">
            <v>1453378500</v>
          </cell>
          <cell r="E3175">
            <v>1455814500</v>
          </cell>
          <cell r="F3175">
            <v>0</v>
          </cell>
          <cell r="G3175">
            <v>0</v>
          </cell>
          <cell r="H3175">
            <v>0</v>
          </cell>
          <cell r="I3175">
            <v>0</v>
          </cell>
          <cell r="J3175">
            <v>1455814500</v>
          </cell>
        </row>
        <row r="3176">
          <cell r="B3176" t="str">
            <v>8.1.01.04.06</v>
          </cell>
          <cell r="C3176" t="str">
            <v>Beban Tunjangan Alat Kelengkapan DPRD</v>
          </cell>
          <cell r="D3176">
            <v>0</v>
          </cell>
          <cell r="E3176">
            <v>0</v>
          </cell>
          <cell r="F3176">
            <v>0</v>
          </cell>
          <cell r="G3176">
            <v>0</v>
          </cell>
          <cell r="H3176">
            <v>0</v>
          </cell>
          <cell r="I3176">
            <v>0</v>
          </cell>
          <cell r="J3176">
            <v>0</v>
          </cell>
        </row>
        <row r="3177">
          <cell r="B3177" t="str">
            <v>8.1.01.04.07</v>
          </cell>
          <cell r="C3177" t="str">
            <v>Beban Tunjangan Alat Kelengkapan Lainnya DPRD</v>
          </cell>
          <cell r="D3177">
            <v>113989575</v>
          </cell>
          <cell r="E3177">
            <v>136294200</v>
          </cell>
          <cell r="F3177">
            <v>0</v>
          </cell>
          <cell r="G3177">
            <v>0</v>
          </cell>
          <cell r="H3177">
            <v>0</v>
          </cell>
          <cell r="I3177">
            <v>0</v>
          </cell>
          <cell r="J3177">
            <v>136294200</v>
          </cell>
        </row>
        <row r="3178">
          <cell r="B3178" t="str">
            <v>8.1.01.04.08</v>
          </cell>
          <cell r="C3178" t="str">
            <v>Beban Tunjangan Komunikasi Intensif Pimpinan dan Anggota DPRD</v>
          </cell>
          <cell r="D3178">
            <v>5103000000</v>
          </cell>
          <cell r="E3178">
            <v>5433750000</v>
          </cell>
          <cell r="F3178">
            <v>0</v>
          </cell>
          <cell r="G3178">
            <v>0</v>
          </cell>
          <cell r="H3178">
            <v>0</v>
          </cell>
          <cell r="I3178">
            <v>0</v>
          </cell>
          <cell r="J3178">
            <v>5433750000</v>
          </cell>
        </row>
        <row r="3179">
          <cell r="B3179" t="str">
            <v>8.1.01.04.09</v>
          </cell>
          <cell r="C3179" t="str">
            <v>Beban Tunjangan Reses DPRD</v>
          </cell>
          <cell r="D3179">
            <v>1275750000</v>
          </cell>
          <cell r="E3179">
            <v>1275750000</v>
          </cell>
          <cell r="F3179">
            <v>0</v>
          </cell>
          <cell r="G3179">
            <v>0</v>
          </cell>
          <cell r="H3179">
            <v>0</v>
          </cell>
          <cell r="I3179">
            <v>0</v>
          </cell>
          <cell r="J3179">
            <v>1275750000</v>
          </cell>
        </row>
        <row r="3180">
          <cell r="B3180" t="str">
            <v>8.1.01.04.10</v>
          </cell>
          <cell r="C3180" t="str">
            <v>Beban Pembebanan PPh kepada Pimpinan dan Anggota DPRD</v>
          </cell>
          <cell r="D3180">
            <v>174685978</v>
          </cell>
          <cell r="E3180">
            <v>135131976</v>
          </cell>
          <cell r="F3180">
            <v>0</v>
          </cell>
          <cell r="G3180">
            <v>0</v>
          </cell>
          <cell r="H3180">
            <v>0</v>
          </cell>
          <cell r="I3180">
            <v>0</v>
          </cell>
          <cell r="J3180">
            <v>135131976</v>
          </cell>
        </row>
        <row r="3181">
          <cell r="B3181" t="str">
            <v>8.1.01.04.11</v>
          </cell>
          <cell r="C3181" t="str">
            <v>Beban Pembulatan Gaji DPRD</v>
          </cell>
          <cell r="F3181">
            <v>0</v>
          </cell>
          <cell r="G3181">
            <v>0</v>
          </cell>
          <cell r="H3181">
            <v>0</v>
          </cell>
          <cell r="I3181">
            <v>0</v>
          </cell>
          <cell r="J3181">
            <v>0</v>
          </cell>
        </row>
        <row r="3182">
          <cell r="B3182" t="str">
            <v>8.1.01.04.12</v>
          </cell>
          <cell r="C3182" t="str">
            <v>Beban Tunjangan Kesejahteraan Pimpinan dan Anggota DPRD</v>
          </cell>
          <cell r="D3182">
            <v>6048557026</v>
          </cell>
          <cell r="E3182">
            <v>5941573088</v>
          </cell>
          <cell r="F3182">
            <v>0</v>
          </cell>
          <cell r="G3182">
            <v>0</v>
          </cell>
          <cell r="H3182">
            <v>0</v>
          </cell>
          <cell r="I3182">
            <v>0</v>
          </cell>
          <cell r="J3182">
            <v>5941573088</v>
          </cell>
        </row>
        <row r="3183">
          <cell r="B3183" t="str">
            <v>8.1.01.04.13</v>
          </cell>
          <cell r="C3183" t="str">
            <v>Beban Tunjangan Transportasi DPRD</v>
          </cell>
          <cell r="D3183">
            <v>4900000000</v>
          </cell>
          <cell r="E3183">
            <v>5888000000</v>
          </cell>
          <cell r="F3183">
            <v>0</v>
          </cell>
          <cell r="G3183">
            <v>0</v>
          </cell>
          <cell r="H3183">
            <v>0</v>
          </cell>
          <cell r="I3183">
            <v>0</v>
          </cell>
          <cell r="J3183">
            <v>5888000000</v>
          </cell>
        </row>
        <row r="3184">
          <cell r="B3184" t="str">
            <v>8.1.01.04.14</v>
          </cell>
          <cell r="C3184" t="str">
            <v>Beban Uang Jasa Pengabdian DPRD</v>
          </cell>
          <cell r="D3184">
            <v>412965000</v>
          </cell>
          <cell r="E3184">
            <v>0</v>
          </cell>
          <cell r="F3184">
            <v>0</v>
          </cell>
          <cell r="G3184">
            <v>0</v>
          </cell>
          <cell r="H3184">
            <v>0</v>
          </cell>
          <cell r="I3184">
            <v>0</v>
          </cell>
          <cell r="J3184">
            <v>0</v>
          </cell>
        </row>
        <row r="3185">
          <cell r="B3185" t="str">
            <v>8.1.01.05</v>
          </cell>
          <cell r="C3185" t="str">
            <v>Beban Gaji dan Tunjangan KDH/WKDH</v>
          </cell>
          <cell r="D3185">
            <v>163186170</v>
          </cell>
          <cell r="E3185">
            <v>173575038</v>
          </cell>
          <cell r="J3185">
            <v>173575038</v>
          </cell>
        </row>
        <row r="3186">
          <cell r="B3186" t="str">
            <v>8.1.01.05.01</v>
          </cell>
          <cell r="C3186" t="str">
            <v>Beban Gaji Pokok KDH/WKDH</v>
          </cell>
          <cell r="D3186">
            <v>54600000</v>
          </cell>
          <cell r="E3186">
            <v>54600000</v>
          </cell>
          <cell r="F3186">
            <v>0</v>
          </cell>
          <cell r="G3186">
            <v>0</v>
          </cell>
          <cell r="H3186">
            <v>0</v>
          </cell>
          <cell r="I3186">
            <v>0</v>
          </cell>
          <cell r="J3186">
            <v>54600000</v>
          </cell>
        </row>
        <row r="3187">
          <cell r="B3187" t="str">
            <v>8.1.01.05.02</v>
          </cell>
          <cell r="C3187" t="str">
            <v>Beban Tunjangan Keluarga KDH/WKDH</v>
          </cell>
          <cell r="D3187">
            <v>3612000</v>
          </cell>
          <cell r="E3187">
            <v>6780000</v>
          </cell>
          <cell r="F3187">
            <v>0</v>
          </cell>
          <cell r="G3187">
            <v>0</v>
          </cell>
          <cell r="H3187">
            <v>0</v>
          </cell>
          <cell r="I3187">
            <v>0</v>
          </cell>
          <cell r="J3187">
            <v>6780000</v>
          </cell>
        </row>
        <row r="3188">
          <cell r="B3188" t="str">
            <v>8.1.01.05.03</v>
          </cell>
          <cell r="C3188" t="str">
            <v>Beban Tunjangan Jabatan KDH/WKDH</v>
          </cell>
          <cell r="D3188">
            <v>98280000</v>
          </cell>
          <cell r="E3188">
            <v>98280000</v>
          </cell>
          <cell r="F3188">
            <v>0</v>
          </cell>
          <cell r="G3188">
            <v>0</v>
          </cell>
          <cell r="H3188">
            <v>0</v>
          </cell>
          <cell r="I3188">
            <v>0</v>
          </cell>
          <cell r="J3188">
            <v>98280000</v>
          </cell>
        </row>
        <row r="3189">
          <cell r="B3189" t="str">
            <v>8.1.01.05.04</v>
          </cell>
          <cell r="C3189" t="str">
            <v>Beban Tunjangan Beras KDH/WKDH</v>
          </cell>
          <cell r="D3189">
            <v>5069400</v>
          </cell>
          <cell r="E3189">
            <v>7459260</v>
          </cell>
          <cell r="F3189">
            <v>0</v>
          </cell>
          <cell r="G3189">
            <v>0</v>
          </cell>
          <cell r="H3189">
            <v>0</v>
          </cell>
          <cell r="I3189">
            <v>0</v>
          </cell>
          <cell r="J3189">
            <v>7459260</v>
          </cell>
        </row>
        <row r="3190">
          <cell r="B3190" t="str">
            <v>8.1.01.05.05</v>
          </cell>
          <cell r="C3190" t="str">
            <v>Beban Tunjangan PPh/Tunjangan Khusus KDH/WKDH</v>
          </cell>
          <cell r="D3190">
            <v>654010</v>
          </cell>
          <cell r="E3190">
            <v>524678</v>
          </cell>
          <cell r="F3190">
            <v>0</v>
          </cell>
          <cell r="G3190">
            <v>0</v>
          </cell>
          <cell r="H3190">
            <v>0</v>
          </cell>
          <cell r="I3190">
            <v>0</v>
          </cell>
          <cell r="J3190">
            <v>524678</v>
          </cell>
        </row>
        <row r="3191">
          <cell r="B3191" t="str">
            <v>8.1.01.05.06</v>
          </cell>
          <cell r="C3191" t="str">
            <v>Beban Pembulatan Gaji KDH/WKDH</v>
          </cell>
          <cell r="D3191">
            <v>1640</v>
          </cell>
          <cell r="E3191">
            <v>1180</v>
          </cell>
          <cell r="F3191">
            <v>0</v>
          </cell>
          <cell r="G3191">
            <v>0</v>
          </cell>
          <cell r="H3191">
            <v>0</v>
          </cell>
          <cell r="I3191">
            <v>0</v>
          </cell>
          <cell r="J3191">
            <v>1180</v>
          </cell>
        </row>
        <row r="3192">
          <cell r="B3192" t="str">
            <v>8.1.01.05.07</v>
          </cell>
          <cell r="C3192" t="str">
            <v>Beban Iuran Jaminan Kesehatan KDH/WKDH</v>
          </cell>
          <cell r="D3192">
            <v>894240</v>
          </cell>
          <cell r="E3192">
            <v>5480640</v>
          </cell>
          <cell r="F3192">
            <v>0</v>
          </cell>
          <cell r="G3192">
            <v>0</v>
          </cell>
          <cell r="H3192">
            <v>0</v>
          </cell>
          <cell r="I3192">
            <v>0</v>
          </cell>
          <cell r="J3192">
            <v>5480640</v>
          </cell>
        </row>
        <row r="3193">
          <cell r="B3193" t="str">
            <v>8.1.01.05.08</v>
          </cell>
          <cell r="C3193" t="str">
            <v>Beban Iuran Jaminan Kecelakaan Kerja KDH/WKDH</v>
          </cell>
          <cell r="D3193">
            <v>18720</v>
          </cell>
          <cell r="E3193">
            <v>112320</v>
          </cell>
          <cell r="F3193">
            <v>0</v>
          </cell>
          <cell r="G3193">
            <v>0</v>
          </cell>
          <cell r="H3193">
            <v>0</v>
          </cell>
          <cell r="I3193">
            <v>0</v>
          </cell>
          <cell r="J3193">
            <v>112320</v>
          </cell>
        </row>
        <row r="3194">
          <cell r="B3194" t="str">
            <v>8.1.01.05.09</v>
          </cell>
          <cell r="C3194" t="str">
            <v>Beban Iuran Jaminan Kematian KDH/WKDH</v>
          </cell>
          <cell r="D3194">
            <v>56160</v>
          </cell>
          <cell r="E3194">
            <v>336960</v>
          </cell>
          <cell r="F3194">
            <v>0</v>
          </cell>
          <cell r="G3194">
            <v>0</v>
          </cell>
          <cell r="H3194">
            <v>0</v>
          </cell>
          <cell r="I3194">
            <v>0</v>
          </cell>
          <cell r="J3194">
            <v>336960</v>
          </cell>
        </row>
        <row r="3195">
          <cell r="B3195" t="str">
            <v>8.1.01.05.10</v>
          </cell>
          <cell r="C3195" t="str">
            <v>Beban Insentif bagi KDH/WKDH atas Pemungutan Pajak Daerah</v>
          </cell>
          <cell r="F3195">
            <v>0</v>
          </cell>
          <cell r="G3195">
            <v>0</v>
          </cell>
          <cell r="H3195">
            <v>0</v>
          </cell>
          <cell r="I3195">
            <v>0</v>
          </cell>
          <cell r="J3195">
            <v>0</v>
          </cell>
        </row>
        <row r="3196">
          <cell r="B3196" t="str">
            <v>8.1.01.05.11</v>
          </cell>
          <cell r="C3196" t="str">
            <v>Beban Insentif bagi KDH/WKDH atas Pemungutan Retribusi Daerah</v>
          </cell>
          <cell r="F3196">
            <v>0</v>
          </cell>
          <cell r="G3196">
            <v>0</v>
          </cell>
          <cell r="H3196">
            <v>0</v>
          </cell>
          <cell r="I3196">
            <v>0</v>
          </cell>
          <cell r="J3196">
            <v>0</v>
          </cell>
        </row>
        <row r="3197">
          <cell r="B3197" t="str">
            <v>8.1.01.05.12</v>
          </cell>
          <cell r="C3197" t="str">
            <v>Beban Jasa Pengelolaan BMD bagi KDH</v>
          </cell>
          <cell r="F3197">
            <v>0</v>
          </cell>
          <cell r="G3197">
            <v>0</v>
          </cell>
          <cell r="H3197">
            <v>0</v>
          </cell>
          <cell r="I3197">
            <v>0</v>
          </cell>
          <cell r="J3197">
            <v>0</v>
          </cell>
        </row>
        <row r="3198">
          <cell r="B3198" t="str">
            <v>8.1.01.06</v>
          </cell>
          <cell r="C3198" t="str">
            <v>Beban Penerimaan Lainnya Pimpinan DPRD serta KDH/WKDH</v>
          </cell>
          <cell r="D3198">
            <v>710000000</v>
          </cell>
          <cell r="E3198">
            <v>752000000</v>
          </cell>
          <cell r="J3198">
            <v>752000000</v>
          </cell>
        </row>
        <row r="3199">
          <cell r="B3199" t="str">
            <v>8.1.01.06.01</v>
          </cell>
          <cell r="C3199" t="str">
            <v>Beban Dana Operasional Pimpinan DPRD</v>
          </cell>
          <cell r="D3199">
            <v>210000000</v>
          </cell>
          <cell r="E3199">
            <v>252000000</v>
          </cell>
          <cell r="F3199">
            <v>0</v>
          </cell>
          <cell r="G3199">
            <v>0</v>
          </cell>
          <cell r="H3199">
            <v>0</v>
          </cell>
          <cell r="I3199">
            <v>0</v>
          </cell>
          <cell r="J3199">
            <v>252000000</v>
          </cell>
        </row>
        <row r="3200">
          <cell r="B3200" t="str">
            <v>8.1.01.06.02</v>
          </cell>
          <cell r="C3200" t="str">
            <v>Beban Dana Operasional KDH/WKDH</v>
          </cell>
          <cell r="D3200">
            <v>500000000</v>
          </cell>
          <cell r="E3200">
            <v>500000000</v>
          </cell>
          <cell r="F3200">
            <v>0</v>
          </cell>
          <cell r="G3200">
            <v>0</v>
          </cell>
          <cell r="H3200">
            <v>0</v>
          </cell>
          <cell r="I3200">
            <v>0</v>
          </cell>
          <cell r="J3200">
            <v>500000000</v>
          </cell>
        </row>
        <row r="3201">
          <cell r="B3201" t="str">
            <v>8.1.01.07</v>
          </cell>
          <cell r="C3201" t="str">
            <v>Beban Gaji dan Tunjangan MRP</v>
          </cell>
          <cell r="D3201">
            <v>0</v>
          </cell>
          <cell r="E3201">
            <v>0</v>
          </cell>
          <cell r="J3201">
            <v>0</v>
          </cell>
        </row>
        <row r="3202">
          <cell r="B3202" t="str">
            <v>8.1.01.07.01</v>
          </cell>
          <cell r="C3202" t="str">
            <v>Beban Uang Representasi MRP</v>
          </cell>
          <cell r="F3202">
            <v>0</v>
          </cell>
          <cell r="G3202">
            <v>0</v>
          </cell>
          <cell r="H3202">
            <v>0</v>
          </cell>
          <cell r="I3202">
            <v>0</v>
          </cell>
          <cell r="J3202">
            <v>0</v>
          </cell>
        </row>
        <row r="3203">
          <cell r="B3203" t="str">
            <v>8.1.01.07.02</v>
          </cell>
          <cell r="C3203" t="str">
            <v>Beban Tunjangan Keluarga MRP</v>
          </cell>
          <cell r="F3203">
            <v>0</v>
          </cell>
          <cell r="G3203">
            <v>0</v>
          </cell>
          <cell r="H3203">
            <v>0</v>
          </cell>
          <cell r="I3203">
            <v>0</v>
          </cell>
          <cell r="J3203">
            <v>0</v>
          </cell>
        </row>
        <row r="3204">
          <cell r="B3204" t="str">
            <v>8.1.01.07.03</v>
          </cell>
          <cell r="C3204" t="str">
            <v>Beban Tunjangan Beras MRP</v>
          </cell>
          <cell r="F3204">
            <v>0</v>
          </cell>
          <cell r="G3204">
            <v>0</v>
          </cell>
          <cell r="H3204">
            <v>0</v>
          </cell>
          <cell r="I3204">
            <v>0</v>
          </cell>
          <cell r="J3204">
            <v>0</v>
          </cell>
        </row>
        <row r="3205">
          <cell r="B3205" t="str">
            <v>8.1.01.07.04</v>
          </cell>
          <cell r="C3205" t="str">
            <v>Beban Uang Paket MRP</v>
          </cell>
          <cell r="F3205">
            <v>0</v>
          </cell>
          <cell r="G3205">
            <v>0</v>
          </cell>
          <cell r="H3205">
            <v>0</v>
          </cell>
          <cell r="I3205">
            <v>0</v>
          </cell>
          <cell r="J3205">
            <v>0</v>
          </cell>
        </row>
        <row r="3206">
          <cell r="B3206" t="str">
            <v>8.1.01.07.05</v>
          </cell>
          <cell r="C3206" t="str">
            <v>Beban Tunjangan Jabatan MRP</v>
          </cell>
          <cell r="F3206">
            <v>0</v>
          </cell>
          <cell r="G3206">
            <v>0</v>
          </cell>
          <cell r="H3206">
            <v>0</v>
          </cell>
          <cell r="I3206">
            <v>0</v>
          </cell>
          <cell r="J3206">
            <v>0</v>
          </cell>
        </row>
        <row r="3207">
          <cell r="B3207" t="str">
            <v>8.1.01.07.06</v>
          </cell>
          <cell r="C3207" t="str">
            <v>Beban Tunjangan Kelompok Kerja MRP</v>
          </cell>
          <cell r="F3207">
            <v>0</v>
          </cell>
          <cell r="G3207">
            <v>0</v>
          </cell>
          <cell r="H3207">
            <v>0</v>
          </cell>
          <cell r="I3207">
            <v>0</v>
          </cell>
          <cell r="J3207">
            <v>0</v>
          </cell>
        </row>
        <row r="3208">
          <cell r="B3208" t="str">
            <v>8.1.01.07.07</v>
          </cell>
          <cell r="C3208" t="str">
            <v>Beban Uang Penghargaan MRP</v>
          </cell>
          <cell r="F3208">
            <v>0</v>
          </cell>
          <cell r="G3208">
            <v>0</v>
          </cell>
          <cell r="H3208">
            <v>0</v>
          </cell>
          <cell r="I3208">
            <v>0</v>
          </cell>
          <cell r="J3208">
            <v>0</v>
          </cell>
        </row>
        <row r="3209">
          <cell r="B3209" t="str">
            <v>8.1.01.07.08</v>
          </cell>
          <cell r="C3209" t="str">
            <v>Beban Tunjangan Komunikasi Intensif MRP</v>
          </cell>
          <cell r="F3209">
            <v>0</v>
          </cell>
          <cell r="G3209">
            <v>0</v>
          </cell>
          <cell r="H3209">
            <v>0</v>
          </cell>
          <cell r="I3209">
            <v>0</v>
          </cell>
          <cell r="J3209">
            <v>0</v>
          </cell>
        </row>
        <row r="3210">
          <cell r="B3210" t="str">
            <v>8.1.01.07.09</v>
          </cell>
          <cell r="C3210" t="str">
            <v>Beban Tunjangan Transportasi MRP</v>
          </cell>
          <cell r="F3210">
            <v>0</v>
          </cell>
          <cell r="G3210">
            <v>0</v>
          </cell>
          <cell r="H3210">
            <v>0</v>
          </cell>
          <cell r="I3210">
            <v>0</v>
          </cell>
          <cell r="J3210">
            <v>0</v>
          </cell>
        </row>
        <row r="3211">
          <cell r="B3211" t="str">
            <v>8.1.01.07.10</v>
          </cell>
          <cell r="C3211" t="str">
            <v>Beban Pembebanan PPh kepada Pimpinan dan Anggota MRP</v>
          </cell>
          <cell r="F3211">
            <v>0</v>
          </cell>
          <cell r="G3211">
            <v>0</v>
          </cell>
          <cell r="H3211">
            <v>0</v>
          </cell>
          <cell r="I3211">
            <v>0</v>
          </cell>
          <cell r="J3211">
            <v>0</v>
          </cell>
        </row>
        <row r="3212">
          <cell r="B3212" t="str">
            <v>8.1.01.07.11</v>
          </cell>
          <cell r="C3212" t="str">
            <v>Beban Pembulatan Gaji MRP</v>
          </cell>
          <cell r="F3212">
            <v>0</v>
          </cell>
          <cell r="G3212">
            <v>0</v>
          </cell>
          <cell r="H3212">
            <v>0</v>
          </cell>
          <cell r="I3212">
            <v>0</v>
          </cell>
          <cell r="J3212">
            <v>0</v>
          </cell>
        </row>
        <row r="3213">
          <cell r="B3213" t="str">
            <v>8.1.01.07.12</v>
          </cell>
          <cell r="C3213" t="str">
            <v>Beban Tunjangan Kesejahteraan Pimpinan dan Anggota MRP</v>
          </cell>
          <cell r="F3213">
            <v>0</v>
          </cell>
          <cell r="G3213">
            <v>0</v>
          </cell>
          <cell r="H3213">
            <v>0</v>
          </cell>
          <cell r="I3213">
            <v>0</v>
          </cell>
          <cell r="J3213">
            <v>0</v>
          </cell>
        </row>
        <row r="3214">
          <cell r="B3214" t="str">
            <v>8.1.01.08</v>
          </cell>
          <cell r="C3214" t="str">
            <v>Beban Gaji dan Tunjangan Perangkat Lembaga Wali Nanggroe</v>
          </cell>
          <cell r="D3214">
            <v>0</v>
          </cell>
          <cell r="E3214">
            <v>0</v>
          </cell>
          <cell r="J3214">
            <v>0</v>
          </cell>
        </row>
        <row r="3215">
          <cell r="B3215" t="str">
            <v>8.1.01.08.01</v>
          </cell>
          <cell r="C3215" t="str">
            <v>Beban Gaji dan Tunjangan Wali Nanggroe</v>
          </cell>
          <cell r="F3215">
            <v>0</v>
          </cell>
          <cell r="G3215">
            <v>0</v>
          </cell>
          <cell r="H3215">
            <v>0</v>
          </cell>
          <cell r="I3215">
            <v>0</v>
          </cell>
          <cell r="J3215">
            <v>0</v>
          </cell>
        </row>
        <row r="3216">
          <cell r="B3216" t="str">
            <v>8.1.01.08.02</v>
          </cell>
          <cell r="C3216" t="str">
            <v>Beban Gaji dan Tunjangan Waliyul Ahdi</v>
          </cell>
          <cell r="F3216">
            <v>0</v>
          </cell>
          <cell r="G3216">
            <v>0</v>
          </cell>
          <cell r="H3216">
            <v>0</v>
          </cell>
          <cell r="I3216">
            <v>0</v>
          </cell>
          <cell r="J3216">
            <v>0</v>
          </cell>
        </row>
        <row r="3217">
          <cell r="B3217" t="str">
            <v>8.1.01.08.03</v>
          </cell>
          <cell r="C3217" t="str">
            <v>Beban Gaji dan Tunjangan Majelis Tinggi</v>
          </cell>
          <cell r="F3217">
            <v>0</v>
          </cell>
          <cell r="G3217">
            <v>0</v>
          </cell>
          <cell r="H3217">
            <v>0</v>
          </cell>
          <cell r="I3217">
            <v>0</v>
          </cell>
          <cell r="J3217">
            <v>0</v>
          </cell>
        </row>
        <row r="3218">
          <cell r="B3218" t="str">
            <v>8.1.01.08.04</v>
          </cell>
          <cell r="C3218" t="str">
            <v>Beban Gaji dan Tunjangan Majelis Fungsional</v>
          </cell>
          <cell r="F3218">
            <v>0</v>
          </cell>
          <cell r="G3218">
            <v>0</v>
          </cell>
          <cell r="H3218">
            <v>0</v>
          </cell>
          <cell r="I3218">
            <v>0</v>
          </cell>
          <cell r="J3218">
            <v>0</v>
          </cell>
        </row>
        <row r="3219">
          <cell r="B3219" t="str">
            <v>8.1.01.88</v>
          </cell>
          <cell r="C3219" t="str">
            <v>Beban Pegawai BOS</v>
          </cell>
          <cell r="D3219">
            <v>0</v>
          </cell>
          <cell r="E3219">
            <v>0</v>
          </cell>
          <cell r="J3219">
            <v>0</v>
          </cell>
        </row>
        <row r="3220">
          <cell r="B3220" t="str">
            <v>8.1.01.88.88</v>
          </cell>
          <cell r="C3220" t="str">
            <v>Beban Pegawai BOS</v>
          </cell>
          <cell r="F3220">
            <v>0</v>
          </cell>
          <cell r="G3220">
            <v>0</v>
          </cell>
          <cell r="H3220">
            <v>0</v>
          </cell>
          <cell r="I3220">
            <v>0</v>
          </cell>
          <cell r="J3220">
            <v>0</v>
          </cell>
        </row>
        <row r="3221">
          <cell r="B3221" t="str">
            <v>8.1.01.89</v>
          </cell>
          <cell r="C3221" t="str">
            <v>Beban Pegawai BOSP</v>
          </cell>
          <cell r="D3221">
            <v>0</v>
          </cell>
          <cell r="E3221">
            <v>0</v>
          </cell>
          <cell r="J3221">
            <v>0</v>
          </cell>
        </row>
        <row r="3222">
          <cell r="B3222" t="str">
            <v>8.1.01.89.01</v>
          </cell>
          <cell r="C3222" t="str">
            <v>Beban Pegawai BOSP-BOS</v>
          </cell>
          <cell r="F3222">
            <v>0</v>
          </cell>
          <cell r="G3222">
            <v>0</v>
          </cell>
          <cell r="H3222">
            <v>0</v>
          </cell>
          <cell r="I3222">
            <v>0</v>
          </cell>
          <cell r="J3222">
            <v>0</v>
          </cell>
        </row>
        <row r="3223">
          <cell r="B3223" t="str">
            <v>8.1.01.89.02</v>
          </cell>
          <cell r="C3223" t="str">
            <v>Beban Pegawai BOSP-BOP PAUD</v>
          </cell>
          <cell r="F3223">
            <v>0</v>
          </cell>
          <cell r="G3223">
            <v>0</v>
          </cell>
          <cell r="H3223">
            <v>0</v>
          </cell>
          <cell r="I3223">
            <v>0</v>
          </cell>
          <cell r="J3223">
            <v>0</v>
          </cell>
        </row>
        <row r="3224">
          <cell r="B3224" t="str">
            <v>8.1.01.89.03</v>
          </cell>
          <cell r="C3224" t="str">
            <v>Beban Pegawai BOSP-BOP Kesetaraan</v>
          </cell>
          <cell r="F3224">
            <v>0</v>
          </cell>
          <cell r="G3224">
            <v>0</v>
          </cell>
          <cell r="H3224">
            <v>0</v>
          </cell>
          <cell r="I3224">
            <v>0</v>
          </cell>
          <cell r="J3224">
            <v>0</v>
          </cell>
        </row>
        <row r="3225">
          <cell r="B3225" t="str">
            <v>8.1.01.99</v>
          </cell>
          <cell r="C3225" t="str">
            <v>Beban Pegawai BLUD</v>
          </cell>
          <cell r="D3225">
            <v>58871257150.099998</v>
          </cell>
          <cell r="E3225">
            <v>67642909388.800003</v>
          </cell>
          <cell r="J3225">
            <v>0</v>
          </cell>
        </row>
        <row r="3226">
          <cell r="B3226" t="str">
            <v>8.1.01.99.99</v>
          </cell>
          <cell r="C3226" t="str">
            <v>Beban Pegawai BLUD</v>
          </cell>
          <cell r="D3226">
            <v>58871257150.099998</v>
          </cell>
          <cell r="E3226">
            <v>67642909388.800003</v>
          </cell>
          <cell r="F3226">
            <v>0</v>
          </cell>
          <cell r="G3226">
            <v>67642909388.800003</v>
          </cell>
          <cell r="H3226">
            <v>0</v>
          </cell>
          <cell r="I3226">
            <v>0</v>
          </cell>
          <cell r="J3226">
            <v>0</v>
          </cell>
        </row>
        <row r="3228">
          <cell r="B3228" t="str">
            <v>8.1.02</v>
          </cell>
          <cell r="C3228" t="str">
            <v>Beban Barang dan Jasa</v>
          </cell>
          <cell r="D3228">
            <v>598861003141.15002</v>
          </cell>
          <cell r="E3228">
            <v>497520585927.33008</v>
          </cell>
          <cell r="J3228">
            <v>493931571192.64001</v>
          </cell>
        </row>
        <row r="3229">
          <cell r="B3229" t="str">
            <v>8.1.02.01</v>
          </cell>
          <cell r="C3229" t="str">
            <v>Beban Barang</v>
          </cell>
          <cell r="D3229">
            <v>226283919825.80002</v>
          </cell>
          <cell r="E3229">
            <v>165385823144.85001</v>
          </cell>
          <cell r="J3229">
            <v>260336378034.38</v>
          </cell>
        </row>
        <row r="3230">
          <cell r="B3230" t="str">
            <v>8.1.02.01.01</v>
          </cell>
          <cell r="C3230" t="str">
            <v>Beban Barang Pakai Habis</v>
          </cell>
          <cell r="D3230">
            <v>225509865595.80002</v>
          </cell>
          <cell r="E3230">
            <v>164660761396.85001</v>
          </cell>
          <cell r="F3230">
            <v>94003656293.350006</v>
          </cell>
          <cell r="G3230">
            <v>1318310584.8099999</v>
          </cell>
          <cell r="H3230">
            <v>0</v>
          </cell>
          <cell r="I3230">
            <v>0</v>
          </cell>
          <cell r="J3230">
            <v>257346107105.39001</v>
          </cell>
        </row>
        <row r="3231">
          <cell r="B3231" t="str">
            <v>8.1.02.01.02</v>
          </cell>
          <cell r="C3231" t="str">
            <v>Beban Barang Tak Habis Pakai</v>
          </cell>
          <cell r="E3231">
            <v>378000</v>
          </cell>
          <cell r="F3231">
            <v>0</v>
          </cell>
          <cell r="G3231">
            <v>42000</v>
          </cell>
          <cell r="H3231">
            <v>0</v>
          </cell>
          <cell r="I3231">
            <v>0</v>
          </cell>
          <cell r="J3231">
            <v>336000</v>
          </cell>
        </row>
        <row r="3232">
          <cell r="B3232" t="str">
            <v>8.1.02.01.03</v>
          </cell>
          <cell r="C3232" t="str">
            <v>Beban Barang Bekas Dipakai</v>
          </cell>
          <cell r="F3232">
            <v>0</v>
          </cell>
          <cell r="G3232">
            <v>0</v>
          </cell>
          <cell r="H3232">
            <v>0</v>
          </cell>
          <cell r="I3232">
            <v>0</v>
          </cell>
          <cell r="J3232">
            <v>0</v>
          </cell>
        </row>
        <row r="3233">
          <cell r="B3233" t="str">
            <v>8.1.02.01.04</v>
          </cell>
          <cell r="C3233" t="str">
            <v>Beban Aset Tetap yang Tidak Memenuhi Kriteria Kapitalisasi</v>
          </cell>
          <cell r="D3233">
            <v>774054230</v>
          </cell>
          <cell r="E3233">
            <v>724683748</v>
          </cell>
          <cell r="F3233">
            <v>2316596612.9899998</v>
          </cell>
          <cell r="G3233">
            <v>51345432.000000007</v>
          </cell>
          <cell r="H3233">
            <v>0</v>
          </cell>
          <cell r="I3233">
            <v>0</v>
          </cell>
          <cell r="J3233">
            <v>2989934928.9899998</v>
          </cell>
        </row>
        <row r="3234">
          <cell r="B3234" t="str">
            <v>8.1.02.02</v>
          </cell>
          <cell r="C3234" t="str">
            <v>Beban Jasa</v>
          </cell>
          <cell r="D3234">
            <v>156161509731</v>
          </cell>
          <cell r="E3234">
            <v>153647517860.79999</v>
          </cell>
          <cell r="J3234">
            <v>189488863155.74997</v>
          </cell>
        </row>
        <row r="3235">
          <cell r="B3235" t="str">
            <v>8.1.02.02.01</v>
          </cell>
          <cell r="C3235" t="str">
            <v>Beban Jasa Kantor</v>
          </cell>
          <cell r="D3235">
            <v>84901534553</v>
          </cell>
          <cell r="E3235">
            <v>78334056922.800003</v>
          </cell>
          <cell r="F3235">
            <v>26376139073.09</v>
          </cell>
          <cell r="G3235">
            <v>559678964.09000003</v>
          </cell>
          <cell r="H3235">
            <v>0</v>
          </cell>
          <cell r="I3235">
            <v>0</v>
          </cell>
          <cell r="J3235">
            <v>104150517031.8</v>
          </cell>
        </row>
        <row r="3236">
          <cell r="B3236" t="str">
            <v>8.1.02.02.02</v>
          </cell>
          <cell r="C3236" t="str">
            <v>Beban Iuran Jaminan/Asuransi</v>
          </cell>
          <cell r="D3236">
            <v>44897490102</v>
          </cell>
          <cell r="E3236">
            <v>53468314028</v>
          </cell>
          <cell r="F3236">
            <v>525445735</v>
          </cell>
          <cell r="G3236">
            <v>0</v>
          </cell>
          <cell r="H3236">
            <v>0</v>
          </cell>
          <cell r="I3236">
            <v>0</v>
          </cell>
          <cell r="J3236">
            <v>53993759763</v>
          </cell>
        </row>
        <row r="3237">
          <cell r="B3237" t="str">
            <v>8.1.02.02.03</v>
          </cell>
          <cell r="C3237" t="str">
            <v>Beban Sewa Tanah</v>
          </cell>
          <cell r="F3237">
            <v>0</v>
          </cell>
          <cell r="G3237">
            <v>0</v>
          </cell>
          <cell r="H3237">
            <v>0</v>
          </cell>
          <cell r="I3237">
            <v>0</v>
          </cell>
          <cell r="J3237">
            <v>0</v>
          </cell>
        </row>
        <row r="3238">
          <cell r="B3238" t="str">
            <v>8.1.02.02.04</v>
          </cell>
          <cell r="C3238" t="str">
            <v>Beban Sewa Peralatan dan Mesin</v>
          </cell>
          <cell r="D3238">
            <v>3227410100</v>
          </cell>
          <cell r="E3238">
            <v>2958855900</v>
          </cell>
          <cell r="F3238">
            <v>118974825</v>
          </cell>
          <cell r="G3238">
            <v>167154824.38</v>
          </cell>
          <cell r="H3238">
            <v>0</v>
          </cell>
          <cell r="I3238">
            <v>0</v>
          </cell>
          <cell r="J3238">
            <v>2910675900.6199999</v>
          </cell>
        </row>
        <row r="3239">
          <cell r="B3239" t="str">
            <v>8.1.02.02.05</v>
          </cell>
          <cell r="C3239" t="str">
            <v>Beban Sewa Gedung dan Bangunan</v>
          </cell>
          <cell r="D3239">
            <v>864852549</v>
          </cell>
          <cell r="E3239">
            <v>668266000</v>
          </cell>
          <cell r="F3239">
            <v>2890800</v>
          </cell>
          <cell r="G3239">
            <v>84106666.670000002</v>
          </cell>
          <cell r="H3239">
            <v>0</v>
          </cell>
          <cell r="I3239">
            <v>0</v>
          </cell>
          <cell r="J3239">
            <v>587050133.33000004</v>
          </cell>
        </row>
        <row r="3240">
          <cell r="B3240" t="str">
            <v>8.1.02.02.06</v>
          </cell>
          <cell r="C3240" t="str">
            <v>Beban Sewa Jalan, Jaringan dan Irigasi</v>
          </cell>
          <cell r="F3240">
            <v>0</v>
          </cell>
          <cell r="G3240">
            <v>0</v>
          </cell>
          <cell r="H3240">
            <v>0</v>
          </cell>
          <cell r="I3240">
            <v>0</v>
          </cell>
          <cell r="J3240">
            <v>0</v>
          </cell>
        </row>
        <row r="3241">
          <cell r="B3241" t="str">
            <v>8.1.02.02.07</v>
          </cell>
          <cell r="C3241" t="str">
            <v>Beban Sewa Aset Tetap Lainnya</v>
          </cell>
          <cell r="D3241">
            <v>30000000</v>
          </cell>
          <cell r="E3241">
            <v>0</v>
          </cell>
          <cell r="F3241">
            <v>0</v>
          </cell>
          <cell r="G3241">
            <v>0</v>
          </cell>
          <cell r="H3241">
            <v>0</v>
          </cell>
          <cell r="I3241">
            <v>0</v>
          </cell>
          <cell r="J3241">
            <v>0</v>
          </cell>
        </row>
        <row r="3242">
          <cell r="B3242" t="str">
            <v>8.1.02.02.08</v>
          </cell>
          <cell r="C3242" t="str">
            <v>Beban Sewa Aset Tidak Berwujud</v>
          </cell>
          <cell r="F3242">
            <v>0</v>
          </cell>
          <cell r="G3242">
            <v>0</v>
          </cell>
          <cell r="H3242">
            <v>0</v>
          </cell>
          <cell r="I3242">
            <v>0</v>
          </cell>
          <cell r="J3242">
            <v>0</v>
          </cell>
        </row>
        <row r="3243">
          <cell r="B3243" t="str">
            <v>8.1.02.02.09</v>
          </cell>
          <cell r="C3243" t="str">
            <v>Beban Jasa Konsultansi Konstruksi</v>
          </cell>
          <cell r="D3243">
            <v>6945074200</v>
          </cell>
          <cell r="E3243">
            <v>5870371397</v>
          </cell>
          <cell r="F3243">
            <v>0</v>
          </cell>
          <cell r="G3243">
            <v>0</v>
          </cell>
          <cell r="H3243">
            <v>0</v>
          </cell>
          <cell r="I3243">
            <v>0</v>
          </cell>
          <cell r="J3243">
            <v>5870371397</v>
          </cell>
        </row>
        <row r="3244">
          <cell r="B3244" t="str">
            <v>8.1.02.02.10</v>
          </cell>
          <cell r="C3244" t="str">
            <v>Beban Jasa Konsultansi Non Konstruksi</v>
          </cell>
          <cell r="D3244">
            <v>253000000</v>
          </cell>
          <cell r="E3244">
            <v>0</v>
          </cell>
          <cell r="F3244">
            <v>0</v>
          </cell>
          <cell r="G3244">
            <v>0</v>
          </cell>
          <cell r="H3244">
            <v>0</v>
          </cell>
          <cell r="I3244">
            <v>0</v>
          </cell>
          <cell r="J3244">
            <v>0</v>
          </cell>
        </row>
        <row r="3245">
          <cell r="B3245" t="str">
            <v>8.1.02.02.11</v>
          </cell>
          <cell r="C3245" t="str">
            <v>Beban Jasa Ketersediaan Layanan (Availibility Payment)</v>
          </cell>
          <cell r="D3245">
            <v>334600000</v>
          </cell>
          <cell r="E3245">
            <v>374600000</v>
          </cell>
          <cell r="F3245">
            <v>0</v>
          </cell>
          <cell r="G3245">
            <v>0</v>
          </cell>
          <cell r="H3245">
            <v>0</v>
          </cell>
          <cell r="I3245">
            <v>0</v>
          </cell>
          <cell r="J3245">
            <v>374600000</v>
          </cell>
        </row>
        <row r="3246">
          <cell r="B3246" t="str">
            <v>8.1.02.02.12</v>
          </cell>
          <cell r="C3246" t="str">
            <v>Beban Beasiswa Pendidikan PNS</v>
          </cell>
          <cell r="D3246">
            <v>1630608400</v>
          </cell>
          <cell r="E3246">
            <v>52500000</v>
          </cell>
          <cell r="F3246">
            <v>480658221</v>
          </cell>
          <cell r="G3246">
            <v>0</v>
          </cell>
          <cell r="H3246">
            <v>0</v>
          </cell>
          <cell r="I3246">
            <v>0</v>
          </cell>
          <cell r="J3246">
            <v>533158221</v>
          </cell>
        </row>
        <row r="3247">
          <cell r="B3247" t="str">
            <v>8.1.02.02.13</v>
          </cell>
          <cell r="C3247" t="str">
            <v>Beban Kursus/Pelatihan, Sosialisasi, Bimbingan Teknis serta Pendidikan dan Pelatihan</v>
          </cell>
          <cell r="D3247">
            <v>12891468827</v>
          </cell>
          <cell r="E3247">
            <v>11808241350</v>
          </cell>
          <cell r="F3247">
            <v>9148614596</v>
          </cell>
          <cell r="G3247">
            <v>437500</v>
          </cell>
          <cell r="H3247">
            <v>0</v>
          </cell>
          <cell r="I3247">
            <v>0</v>
          </cell>
          <cell r="J3247">
            <v>20956418446</v>
          </cell>
        </row>
        <row r="3248">
          <cell r="B3248" t="str">
            <v>8.1.02.02.14</v>
          </cell>
          <cell r="C3248" t="str">
            <v>Beban Jasa Insentif Pemungutan Pajak Daerah bagi Pegawai Non ASN</v>
          </cell>
          <cell r="D3248">
            <v>185471000</v>
          </cell>
          <cell r="E3248">
            <v>112312263</v>
          </cell>
          <cell r="F3248">
            <v>0</v>
          </cell>
          <cell r="G3248">
            <v>0</v>
          </cell>
          <cell r="H3248">
            <v>0</v>
          </cell>
          <cell r="I3248">
            <v>0</v>
          </cell>
          <cell r="J3248">
            <v>112312263</v>
          </cell>
        </row>
        <row r="3249">
          <cell r="B3249" t="str">
            <v>8.1.02.02.15</v>
          </cell>
          <cell r="C3249" t="str">
            <v>Beban Jasa Insentif bagi Pegawai Non ASN atas Pemungutan Retribusi</v>
          </cell>
          <cell r="F3249">
            <v>0</v>
          </cell>
          <cell r="G3249">
            <v>0</v>
          </cell>
          <cell r="H3249">
            <v>0</v>
          </cell>
          <cell r="I3249">
            <v>0</v>
          </cell>
          <cell r="J3249">
            <v>0</v>
          </cell>
        </row>
        <row r="3250">
          <cell r="B3250" t="str">
            <v>8.1.02.02.16</v>
          </cell>
          <cell r="C3250" t="str">
            <v>Beban Gaji dan Tunjangan Perangkat Lembaga Wali Nanggroe</v>
          </cell>
          <cell r="F3250">
            <v>0</v>
          </cell>
          <cell r="G3250">
            <v>0</v>
          </cell>
          <cell r="H3250">
            <v>0</v>
          </cell>
          <cell r="I3250">
            <v>0</v>
          </cell>
          <cell r="J3250">
            <v>0</v>
          </cell>
        </row>
        <row r="3251">
          <cell r="B3251" t="str">
            <v>8.1.02.02.17</v>
          </cell>
          <cell r="C3251" t="str">
            <v>Beban Jasa Kerja Sama Pemungutan Pajak Daerah</v>
          </cell>
          <cell r="F3251">
            <v>0</v>
          </cell>
          <cell r="G3251">
            <v>0</v>
          </cell>
          <cell r="H3251">
            <v>0</v>
          </cell>
          <cell r="I3251">
            <v>0</v>
          </cell>
          <cell r="J3251">
            <v>0</v>
          </cell>
        </row>
        <row r="3252">
          <cell r="B3252" t="str">
            <v>8.1.02.02.18</v>
          </cell>
          <cell r="C3252" t="str">
            <v>Beban Jasa Kerja Sama Pemungutan Retribusi Daerah</v>
          </cell>
          <cell r="F3252">
            <v>0</v>
          </cell>
          <cell r="G3252">
            <v>0</v>
          </cell>
          <cell r="H3252">
            <v>0</v>
          </cell>
          <cell r="I3252">
            <v>0</v>
          </cell>
          <cell r="J3252">
            <v>0</v>
          </cell>
        </row>
        <row r="3253">
          <cell r="B3253" t="str">
            <v>8.1.02.02.19</v>
          </cell>
          <cell r="C3253" t="str">
            <v>Beban Jasa Pelayanan Kesehatan bagi ASN</v>
          </cell>
          <cell r="F3253">
            <v>0</v>
          </cell>
          <cell r="G3253">
            <v>0</v>
          </cell>
          <cell r="H3253">
            <v>0</v>
          </cell>
          <cell r="I3253">
            <v>0</v>
          </cell>
          <cell r="J3253">
            <v>0</v>
          </cell>
        </row>
        <row r="3254">
          <cell r="B3254" t="str">
            <v>8.1.02.03</v>
          </cell>
          <cell r="C3254" t="str">
            <v>Beban Pemeliharaan</v>
          </cell>
          <cell r="D3254">
            <v>3293867774</v>
          </cell>
          <cell r="E3254">
            <v>4519955537</v>
          </cell>
          <cell r="J3254">
            <v>7862074220.9899998</v>
          </cell>
        </row>
        <row r="3255">
          <cell r="B3255" t="str">
            <v>8.1.02.03.01</v>
          </cell>
          <cell r="C3255" t="str">
            <v>Beban Pemeliharaan Tanah</v>
          </cell>
          <cell r="D3255">
            <v>154500000</v>
          </cell>
          <cell r="E3255">
            <v>0</v>
          </cell>
          <cell r="F3255">
            <v>0</v>
          </cell>
          <cell r="G3255">
            <v>0</v>
          </cell>
          <cell r="H3255">
            <v>0</v>
          </cell>
          <cell r="I3255">
            <v>0</v>
          </cell>
          <cell r="J3255">
            <v>0</v>
          </cell>
        </row>
        <row r="3256">
          <cell r="B3256" t="str">
            <v>8.1.02.03.02</v>
          </cell>
          <cell r="C3256" t="str">
            <v>Beban Pemeliharaan Peralatan dan Mesin</v>
          </cell>
          <cell r="D3256">
            <v>1291970764</v>
          </cell>
          <cell r="E3256">
            <v>1261558125</v>
          </cell>
          <cell r="F3256">
            <v>770537136</v>
          </cell>
          <cell r="G3256">
            <v>13850340.870000001</v>
          </cell>
          <cell r="H3256">
            <v>0</v>
          </cell>
          <cell r="I3256">
            <v>0</v>
          </cell>
          <cell r="J3256">
            <v>2018244920.1300001</v>
          </cell>
        </row>
        <row r="3257">
          <cell r="B3257" t="str">
            <v>8.1.02.03.03</v>
          </cell>
          <cell r="C3257" t="str">
            <v>Beban Pemeliharaan Gedung dan Bangunan</v>
          </cell>
          <cell r="D3257">
            <v>1485279010</v>
          </cell>
          <cell r="E3257">
            <v>3061983412</v>
          </cell>
          <cell r="F3257">
            <v>4080354305</v>
          </cell>
          <cell r="G3257">
            <v>1499823416.1400001</v>
          </cell>
          <cell r="H3257">
            <v>0</v>
          </cell>
          <cell r="I3257">
            <v>0</v>
          </cell>
          <cell r="J3257">
            <v>5642514300.8599997</v>
          </cell>
        </row>
        <row r="3258">
          <cell r="B3258" t="str">
            <v>8.1.02.03.04</v>
          </cell>
          <cell r="C3258" t="str">
            <v>Beban Pemeliharaan Jalan, Jaringan, dan Irigasi</v>
          </cell>
          <cell r="D3258">
            <v>198368000</v>
          </cell>
          <cell r="E3258">
            <v>196414000</v>
          </cell>
          <cell r="F3258">
            <v>5000000</v>
          </cell>
          <cell r="G3258">
            <v>0</v>
          </cell>
          <cell r="H3258">
            <v>0</v>
          </cell>
          <cell r="I3258">
            <v>0</v>
          </cell>
          <cell r="J3258">
            <v>201414000</v>
          </cell>
        </row>
        <row r="3259">
          <cell r="B3259" t="str">
            <v>8.1.02.03.05</v>
          </cell>
          <cell r="C3259" t="str">
            <v>Beban Pemeliharaan Aset Tetap Lainnya</v>
          </cell>
          <cell r="D3259">
            <v>159750000</v>
          </cell>
          <cell r="E3259">
            <v>0</v>
          </cell>
          <cell r="F3259">
            <v>0</v>
          </cell>
          <cell r="G3259">
            <v>99000</v>
          </cell>
          <cell r="H3259">
            <v>0</v>
          </cell>
          <cell r="I3259">
            <v>0</v>
          </cell>
          <cell r="J3259">
            <v>-99000</v>
          </cell>
        </row>
        <row r="3260">
          <cell r="B3260" t="str">
            <v>8.1.02.03.06</v>
          </cell>
          <cell r="C3260" t="str">
            <v>Beban Pemeliharaan Aset Tidak Berwujud</v>
          </cell>
          <cell r="D3260">
            <v>4000000</v>
          </cell>
          <cell r="E3260">
            <v>0</v>
          </cell>
          <cell r="F3260">
            <v>0</v>
          </cell>
          <cell r="G3260">
            <v>0</v>
          </cell>
          <cell r="H3260">
            <v>0</v>
          </cell>
          <cell r="I3260">
            <v>0</v>
          </cell>
          <cell r="J3260">
            <v>0</v>
          </cell>
        </row>
        <row r="3261">
          <cell r="B3261" t="str">
            <v>8.1.02.04</v>
          </cell>
          <cell r="C3261" t="str">
            <v>Beban Perjalanan Dinas</v>
          </cell>
          <cell r="D3261">
            <v>43981294905</v>
          </cell>
          <cell r="E3261">
            <v>27068004776</v>
          </cell>
          <cell r="J3261">
            <v>28228766463.52</v>
          </cell>
        </row>
        <row r="3262">
          <cell r="B3262" t="str">
            <v>8.1.02.04.01</v>
          </cell>
          <cell r="C3262" t="str">
            <v>Beban Perjalanan Dinas Dalam Daerah</v>
          </cell>
          <cell r="D3262">
            <v>43981294905</v>
          </cell>
          <cell r="E3262">
            <v>27068004776</v>
          </cell>
          <cell r="F3262">
            <v>2076552664</v>
          </cell>
          <cell r="G3262">
            <v>915790976.48000002</v>
          </cell>
          <cell r="H3262">
            <v>0</v>
          </cell>
          <cell r="I3262">
            <v>0</v>
          </cell>
          <cell r="J3262">
            <v>28228766463.52</v>
          </cell>
        </row>
        <row r="3263">
          <cell r="B3263" t="str">
            <v>8.1.02.04.02</v>
          </cell>
          <cell r="C3263" t="str">
            <v>Beban Perjalanan Dinas Luar Negeri</v>
          </cell>
          <cell r="F3263">
            <v>0</v>
          </cell>
          <cell r="G3263">
            <v>0</v>
          </cell>
          <cell r="H3263">
            <v>0</v>
          </cell>
          <cell r="I3263">
            <v>0</v>
          </cell>
          <cell r="J3263">
            <v>0</v>
          </cell>
        </row>
        <row r="3264">
          <cell r="B3264" t="str">
            <v>8.1.02.05</v>
          </cell>
          <cell r="C3264" t="str">
            <v>Beban Uang dan/atau Jasa untuk Diberikan kepada Pihak Ketiga/Pihak Lain/Masyarakat</v>
          </cell>
          <cell r="D3264">
            <v>27036668332</v>
          </cell>
          <cell r="E3264">
            <v>8048041325</v>
          </cell>
          <cell r="J3264">
            <v>8015489318</v>
          </cell>
        </row>
        <row r="3265">
          <cell r="B3265" t="str">
            <v>8.1.02.05.01</v>
          </cell>
          <cell r="C3265" t="str">
            <v>Beban Uang yang Diberikan kepada Pihak Ketiga/Pihak Lain/Masyarakat</v>
          </cell>
          <cell r="D3265">
            <v>22080677500</v>
          </cell>
          <cell r="E3265">
            <v>2289795860</v>
          </cell>
          <cell r="F3265">
            <v>0</v>
          </cell>
          <cell r="G3265">
            <v>41050596</v>
          </cell>
          <cell r="H3265">
            <v>0</v>
          </cell>
          <cell r="I3265">
            <v>0</v>
          </cell>
          <cell r="J3265">
            <v>2248745264</v>
          </cell>
        </row>
        <row r="3266">
          <cell r="B3266" t="str">
            <v>8.1.02.05.02</v>
          </cell>
          <cell r="C3266" t="str">
            <v>Beban Jasa yang Diberikan kepada Pihak Ketiga/Pihak Lain/Masyarakat</v>
          </cell>
          <cell r="D3266">
            <v>4955990832</v>
          </cell>
          <cell r="E3266">
            <v>5758245465</v>
          </cell>
          <cell r="F3266">
            <v>42244766</v>
          </cell>
          <cell r="G3266">
            <v>33746177</v>
          </cell>
          <cell r="H3266">
            <v>0</v>
          </cell>
          <cell r="I3266">
            <v>0</v>
          </cell>
          <cell r="J3266">
            <v>5766744054</v>
          </cell>
        </row>
        <row r="3267">
          <cell r="B3267" t="str">
            <v>8.1.02.06</v>
          </cell>
          <cell r="C3267" t="str">
            <v>Beban Penunjang Otonomi Khusus*)</v>
          </cell>
          <cell r="D3267">
            <v>0</v>
          </cell>
          <cell r="E3267">
            <v>0</v>
          </cell>
          <cell r="J3267">
            <v>0</v>
          </cell>
        </row>
        <row r="3268">
          <cell r="B3268" t="str">
            <v>8.1.02.06.01</v>
          </cell>
          <cell r="C3268" t="str">
            <v>Beban Penunjang Otonomi Khusus*)</v>
          </cell>
          <cell r="F3268">
            <v>0</v>
          </cell>
          <cell r="G3268">
            <v>0</v>
          </cell>
          <cell r="H3268">
            <v>0</v>
          </cell>
          <cell r="I3268">
            <v>0</v>
          </cell>
          <cell r="J3268">
            <v>0</v>
          </cell>
        </row>
        <row r="3269">
          <cell r="B3269" t="str">
            <v>8.1.02.88</v>
          </cell>
          <cell r="C3269" t="str">
            <v>Beban Barang dan Jasa BOS</v>
          </cell>
          <cell r="D3269">
            <v>58506661122.419998</v>
          </cell>
          <cell r="E3269">
            <v>0</v>
          </cell>
          <cell r="J3269">
            <v>0</v>
          </cell>
        </row>
        <row r="3270">
          <cell r="B3270" t="str">
            <v>8.1.02.88.88</v>
          </cell>
          <cell r="C3270" t="str">
            <v>Beban Barang dan Jasa BOS</v>
          </cell>
          <cell r="D3270">
            <v>58506661122.419998</v>
          </cell>
          <cell r="F3270">
            <v>0</v>
          </cell>
          <cell r="G3270">
            <v>0</v>
          </cell>
          <cell r="H3270">
            <v>0</v>
          </cell>
          <cell r="I3270">
            <v>0</v>
          </cell>
          <cell r="J3270">
            <v>0</v>
          </cell>
        </row>
        <row r="3271">
          <cell r="B3271" t="str">
            <v>8.1.02.89</v>
          </cell>
          <cell r="C3271" t="str">
            <v>Beban Barang dan Jasa BOSP</v>
          </cell>
          <cell r="D3271">
            <v>800472738.85000002</v>
          </cell>
          <cell r="E3271">
            <v>54832066192.330002</v>
          </cell>
          <cell r="J3271">
            <v>7.62939453125E-6</v>
          </cell>
        </row>
        <row r="3272">
          <cell r="B3272" t="str">
            <v>8.1.02.89.01</v>
          </cell>
          <cell r="C3272" t="str">
            <v>Beban Barang dan Jasa BOSP-BOS</v>
          </cell>
          <cell r="E3272">
            <v>54146659761.330002</v>
          </cell>
          <cell r="F3272">
            <v>0</v>
          </cell>
          <cell r="G3272">
            <v>54146659761.329994</v>
          </cell>
          <cell r="H3272">
            <v>0</v>
          </cell>
          <cell r="I3272">
            <v>0</v>
          </cell>
          <cell r="J3272">
            <v>7.62939453125E-6</v>
          </cell>
        </row>
        <row r="3273">
          <cell r="B3273" t="str">
            <v>8.1.02.89.02</v>
          </cell>
          <cell r="C3273" t="str">
            <v>Beban Barang dan Jasa BOSP-BOP PAUD</v>
          </cell>
          <cell r="D3273">
            <v>687142738.85000002</v>
          </cell>
          <cell r="E3273">
            <v>600976431</v>
          </cell>
          <cell r="F3273">
            <v>29954122.989999998</v>
          </cell>
          <cell r="G3273">
            <v>630930553.99000001</v>
          </cell>
          <cell r="H3273">
            <v>0</v>
          </cell>
          <cell r="I3273">
            <v>0</v>
          </cell>
          <cell r="J3273">
            <v>0</v>
          </cell>
        </row>
        <row r="3274">
          <cell r="B3274" t="str">
            <v>8.1.02.89.03</v>
          </cell>
          <cell r="C3274" t="str">
            <v>Beban Barang dan Jasa BOSP-BOP Kesetaraan</v>
          </cell>
          <cell r="D3274">
            <v>113330000</v>
          </cell>
          <cell r="E3274">
            <v>84430000</v>
          </cell>
          <cell r="F3274">
            <v>35622800</v>
          </cell>
          <cell r="G3274">
            <v>120052800</v>
          </cell>
          <cell r="H3274">
            <v>0</v>
          </cell>
          <cell r="I3274">
            <v>0</v>
          </cell>
          <cell r="J3274">
            <v>0</v>
          </cell>
        </row>
        <row r="3275">
          <cell r="B3275" t="str">
            <v>8.1.02.90</v>
          </cell>
          <cell r="C3275" t="str">
            <v>Beban Barang dan Jasa BOK Puskesmas</v>
          </cell>
          <cell r="D3275">
            <v>0</v>
          </cell>
          <cell r="E3275">
            <v>0</v>
          </cell>
          <cell r="J3275">
            <v>0</v>
          </cell>
        </row>
        <row r="3276">
          <cell r="B3276" t="str">
            <v>8.1.02.90.01</v>
          </cell>
          <cell r="C3276" t="str">
            <v>Beban Barang dan Jasa BOK Puskesmas</v>
          </cell>
          <cell r="F3276">
            <v>0</v>
          </cell>
          <cell r="G3276">
            <v>0</v>
          </cell>
          <cell r="H3276">
            <v>0</v>
          </cell>
          <cell r="I3276">
            <v>0</v>
          </cell>
          <cell r="J3276">
            <v>0</v>
          </cell>
        </row>
        <row r="3277">
          <cell r="B3277" t="str">
            <v>8.1.02.99</v>
          </cell>
          <cell r="C3277" t="str">
            <v>Beban Barang dan Jasa BLUD</v>
          </cell>
          <cell r="D3277">
            <v>82796608712.080002</v>
          </cell>
          <cell r="E3277">
            <v>84019177091.350006</v>
          </cell>
          <cell r="J3277">
            <v>0</v>
          </cell>
        </row>
        <row r="3278">
          <cell r="B3278" t="str">
            <v>8.1.02.99.99</v>
          </cell>
          <cell r="C3278" t="str">
            <v>Beban Barang dan Jasa BLUD</v>
          </cell>
          <cell r="D3278">
            <v>82796608712.080002</v>
          </cell>
          <cell r="E3278">
            <v>84019177091.350006</v>
          </cell>
          <cell r="F3278">
            <v>0</v>
          </cell>
          <cell r="G3278">
            <v>84019177091.350006</v>
          </cell>
          <cell r="H3278">
            <v>0</v>
          </cell>
          <cell r="I3278">
            <v>0</v>
          </cell>
          <cell r="J3278">
            <v>0</v>
          </cell>
        </row>
        <row r="3280">
          <cell r="B3280" t="str">
            <v>8.1.03</v>
          </cell>
          <cell r="C3280" t="str">
            <v>Beban Bunga</v>
          </cell>
          <cell r="D3280">
            <v>0</v>
          </cell>
          <cell r="E3280">
            <v>0</v>
          </cell>
          <cell r="J3280">
            <v>0</v>
          </cell>
        </row>
        <row r="3281">
          <cell r="B3281" t="str">
            <v>8.1.03.01</v>
          </cell>
          <cell r="C3281" t="str">
            <v>Beban Bunga Utang kepada Pemerintah Pusat</v>
          </cell>
          <cell r="D3281">
            <v>0</v>
          </cell>
          <cell r="E3281">
            <v>0</v>
          </cell>
          <cell r="J3281">
            <v>0</v>
          </cell>
        </row>
        <row r="3282">
          <cell r="B3282" t="str">
            <v>8.1.03.01.01</v>
          </cell>
          <cell r="C3282" t="str">
            <v>Beban Bunga Utang kepada Pemerintah Pusat atas Penerusan Pinjaman Dalam Negeri-Jangka Menengah</v>
          </cell>
          <cell r="F3282">
            <v>0</v>
          </cell>
          <cell r="G3282">
            <v>0</v>
          </cell>
          <cell r="H3282">
            <v>0</v>
          </cell>
          <cell r="I3282">
            <v>0</v>
          </cell>
          <cell r="J3282">
            <v>0</v>
          </cell>
        </row>
        <row r="3283">
          <cell r="B3283" t="str">
            <v>8.1.03.01.02</v>
          </cell>
          <cell r="C3283" t="str">
            <v>Beban Bunga Utang kepada Pemerintah Pusat atas Penerusan Pinjaman Dalam Negeri-Jangka Panjang</v>
          </cell>
          <cell r="F3283">
            <v>0</v>
          </cell>
          <cell r="G3283">
            <v>0</v>
          </cell>
          <cell r="H3283">
            <v>0</v>
          </cell>
          <cell r="I3283">
            <v>0</v>
          </cell>
          <cell r="J3283">
            <v>0</v>
          </cell>
        </row>
        <row r="3284">
          <cell r="B3284" t="str">
            <v>8.1.03.01.03</v>
          </cell>
          <cell r="C3284" t="str">
            <v>Beban Bunga Utang kepada Pemerintah Pusat atas Penerusan Pinjaman Luar Negeri-Jangka Menengah</v>
          </cell>
          <cell r="F3284">
            <v>0</v>
          </cell>
          <cell r="G3284">
            <v>0</v>
          </cell>
          <cell r="H3284">
            <v>0</v>
          </cell>
          <cell r="I3284">
            <v>0</v>
          </cell>
          <cell r="J3284">
            <v>0</v>
          </cell>
        </row>
        <row r="3285">
          <cell r="B3285" t="str">
            <v>8.1.03.01.04</v>
          </cell>
          <cell r="C3285" t="str">
            <v>Beban Bunga Utang kepada Pemerintah Pusat atas Penerusan Pinjaman Luar Negeri-Jangka Panjang</v>
          </cell>
          <cell r="F3285">
            <v>0</v>
          </cell>
          <cell r="G3285">
            <v>0</v>
          </cell>
          <cell r="H3285">
            <v>0</v>
          </cell>
          <cell r="I3285">
            <v>0</v>
          </cell>
          <cell r="J3285">
            <v>0</v>
          </cell>
        </row>
        <row r="3286">
          <cell r="B3286" t="str">
            <v>8.1.03.01.05</v>
          </cell>
          <cell r="C3286" t="str">
            <v>Beban Bunga Utang kepada Pemerintah Pusat atas Pinjaman Sumber Lainnya sesuai Ketentuan Peraturan Perundang-Undangan-Jangka Menengah</v>
          </cell>
          <cell r="F3286">
            <v>0</v>
          </cell>
          <cell r="G3286">
            <v>0</v>
          </cell>
          <cell r="H3286">
            <v>0</v>
          </cell>
          <cell r="I3286">
            <v>0</v>
          </cell>
          <cell r="J3286">
            <v>0</v>
          </cell>
        </row>
        <row r="3287">
          <cell r="B3287" t="str">
            <v>8.1.03.01.06</v>
          </cell>
          <cell r="C3287" t="str">
            <v>Beban Bunga Utang Pinjaman Sumber Lainnya sesuai Ketentuan Peraturan Perundang-Undangan-Jangka Panjang</v>
          </cell>
          <cell r="F3287">
            <v>0</v>
          </cell>
          <cell r="G3287">
            <v>0</v>
          </cell>
          <cell r="H3287">
            <v>0</v>
          </cell>
          <cell r="I3287">
            <v>0</v>
          </cell>
          <cell r="J3287">
            <v>0</v>
          </cell>
        </row>
        <row r="3288">
          <cell r="B3288" t="str">
            <v>8.1.03.02</v>
          </cell>
          <cell r="C3288" t="str">
            <v>Beban Bunga Utang atas Pinjaman kepada Pemerintah Daerah Lain</v>
          </cell>
          <cell r="D3288">
            <v>0</v>
          </cell>
          <cell r="E3288">
            <v>0</v>
          </cell>
          <cell r="J3288">
            <v>0</v>
          </cell>
        </row>
        <row r="3289">
          <cell r="B3289" t="str">
            <v>8.1.03.02.01</v>
          </cell>
          <cell r="C3289" t="str">
            <v>Beban Bunga Utang atas Pinjaman kepada Pemerintah Daerah Lain-Jangka Pendek</v>
          </cell>
          <cell r="F3289">
            <v>0</v>
          </cell>
          <cell r="G3289">
            <v>0</v>
          </cell>
          <cell r="H3289">
            <v>0</v>
          </cell>
          <cell r="I3289">
            <v>0</v>
          </cell>
          <cell r="J3289">
            <v>0</v>
          </cell>
        </row>
        <row r="3290">
          <cell r="B3290" t="str">
            <v>8.1.03.03</v>
          </cell>
          <cell r="C3290" t="str">
            <v>Beban Bunga Utang Pinjaman kepada Lembaga Keuangan Bank (LKB)</v>
          </cell>
          <cell r="D3290">
            <v>0</v>
          </cell>
          <cell r="E3290">
            <v>0</v>
          </cell>
          <cell r="J3290">
            <v>0</v>
          </cell>
        </row>
        <row r="3291">
          <cell r="B3291" t="str">
            <v>8.1.03.03.01</v>
          </cell>
          <cell r="C3291" t="str">
            <v>Beban Bunga Utang atas Pinjaman kepada Lembaga Keuangan Bank (LKB)-BUMN-Jangka Pendek</v>
          </cell>
          <cell r="F3291">
            <v>0</v>
          </cell>
          <cell r="G3291">
            <v>0</v>
          </cell>
          <cell r="H3291">
            <v>0</v>
          </cell>
          <cell r="I3291">
            <v>0</v>
          </cell>
          <cell r="J3291">
            <v>0</v>
          </cell>
        </row>
        <row r="3292">
          <cell r="B3292" t="str">
            <v>8.1.03.03.02</v>
          </cell>
          <cell r="C3292" t="str">
            <v>Beban Bunga Utang atas Pinjaman kepada Pinjaman kepada Lembaga Keuangan Bank (LKB)-BUMN-Jangka Menengah</v>
          </cell>
          <cell r="F3292">
            <v>0</v>
          </cell>
          <cell r="G3292">
            <v>0</v>
          </cell>
          <cell r="H3292">
            <v>0</v>
          </cell>
          <cell r="I3292">
            <v>0</v>
          </cell>
          <cell r="J3292">
            <v>0</v>
          </cell>
        </row>
        <row r="3293">
          <cell r="B3293" t="str">
            <v>8.1.03.03.03</v>
          </cell>
          <cell r="C3293" t="str">
            <v>Beban Bunga Utang atas Pinjaman kepada Lembaga Keuangan Bank (LKB)-BUMN-Jangka Panjang</v>
          </cell>
          <cell r="F3293">
            <v>0</v>
          </cell>
          <cell r="G3293">
            <v>0</v>
          </cell>
          <cell r="H3293">
            <v>0</v>
          </cell>
          <cell r="I3293">
            <v>0</v>
          </cell>
          <cell r="J3293">
            <v>0</v>
          </cell>
        </row>
        <row r="3294">
          <cell r="B3294" t="str">
            <v>8.1.03.03.04</v>
          </cell>
          <cell r="C3294" t="str">
            <v>Beban Bunga Utang atas Pinjaman kepada Lembaga Keuangan Bank (LKB)-BUMD-Jangka Pendek</v>
          </cell>
          <cell r="F3294">
            <v>0</v>
          </cell>
          <cell r="G3294">
            <v>0</v>
          </cell>
          <cell r="H3294">
            <v>0</v>
          </cell>
          <cell r="I3294">
            <v>0</v>
          </cell>
          <cell r="J3294">
            <v>0</v>
          </cell>
        </row>
        <row r="3295">
          <cell r="B3295" t="str">
            <v>8.1.03.03.05</v>
          </cell>
          <cell r="C3295" t="str">
            <v>Beban Bunga Utang atas Pinjaman kepada Lembaga Keuangan Bank (LKB)-BUMD-Jangka Menengah</v>
          </cell>
          <cell r="F3295">
            <v>0</v>
          </cell>
          <cell r="G3295">
            <v>0</v>
          </cell>
          <cell r="H3295">
            <v>0</v>
          </cell>
          <cell r="I3295">
            <v>0</v>
          </cell>
          <cell r="J3295">
            <v>0</v>
          </cell>
        </row>
        <row r="3296">
          <cell r="B3296" t="str">
            <v>8.1.03.03.06</v>
          </cell>
          <cell r="C3296" t="str">
            <v>Beban Bunga Utang atas Pinjaman kepada Lembaga Keuangan Bank (LKB)-BUMD-Jangka Panjang</v>
          </cell>
          <cell r="F3296">
            <v>0</v>
          </cell>
          <cell r="G3296">
            <v>0</v>
          </cell>
          <cell r="H3296">
            <v>0</v>
          </cell>
          <cell r="I3296">
            <v>0</v>
          </cell>
          <cell r="J3296">
            <v>0</v>
          </cell>
        </row>
        <row r="3297">
          <cell r="B3297" t="str">
            <v>8.1.03.03.07</v>
          </cell>
          <cell r="C3297" t="str">
            <v>Beban Bunga Utang atas Pinjaman kepada Lembaga Keuangan Bank (LKB)-Swasta-Jangka Pendek</v>
          </cell>
          <cell r="F3297">
            <v>0</v>
          </cell>
          <cell r="G3297">
            <v>0</v>
          </cell>
          <cell r="H3297">
            <v>0</v>
          </cell>
          <cell r="I3297">
            <v>0</v>
          </cell>
          <cell r="J3297">
            <v>0</v>
          </cell>
        </row>
        <row r="3298">
          <cell r="B3298" t="str">
            <v>8.1.03.03.08</v>
          </cell>
          <cell r="C3298" t="str">
            <v>Beban Bunga Utang atas Pinjaman kepada Lembaga Keuangan Bank (LKB)-Swasta-Jangka Menengah</v>
          </cell>
          <cell r="F3298">
            <v>0</v>
          </cell>
          <cell r="G3298">
            <v>0</v>
          </cell>
          <cell r="H3298">
            <v>0</v>
          </cell>
          <cell r="I3298">
            <v>0</v>
          </cell>
          <cell r="J3298">
            <v>0</v>
          </cell>
        </row>
        <row r="3299">
          <cell r="B3299" t="str">
            <v>8.1.03.03.09</v>
          </cell>
          <cell r="C3299" t="str">
            <v>Beban Bunga Utang atas Pinjaman kepada Lembaga Keuangan Bank (LKB)-Swasta-Jangka Panjang</v>
          </cell>
          <cell r="F3299">
            <v>0</v>
          </cell>
          <cell r="G3299">
            <v>0</v>
          </cell>
          <cell r="H3299">
            <v>0</v>
          </cell>
          <cell r="I3299">
            <v>0</v>
          </cell>
          <cell r="J3299">
            <v>0</v>
          </cell>
        </row>
        <row r="3300">
          <cell r="B3300" t="str">
            <v>8.1.03.04</v>
          </cell>
          <cell r="C3300" t="str">
            <v>Beban Bunga Utang atas Pinjaman kepada Lembaga Keuangan Bukan Bank (LKBB)</v>
          </cell>
          <cell r="D3300">
            <v>0</v>
          </cell>
          <cell r="E3300">
            <v>0</v>
          </cell>
          <cell r="J3300">
            <v>0</v>
          </cell>
        </row>
        <row r="3301">
          <cell r="B3301" t="str">
            <v>8.1.03.04.01</v>
          </cell>
          <cell r="C3301" t="str">
            <v>Beban Bunga Utang atas Pinjaman kepada Lembaga Keuangan Bukan Bank (LKBB)-BUMN-Jangka Pendek</v>
          </cell>
          <cell r="F3301">
            <v>0</v>
          </cell>
          <cell r="G3301">
            <v>0</v>
          </cell>
          <cell r="H3301">
            <v>0</v>
          </cell>
          <cell r="I3301">
            <v>0</v>
          </cell>
          <cell r="J3301">
            <v>0</v>
          </cell>
        </row>
        <row r="3302">
          <cell r="B3302" t="str">
            <v>8.1.03.04.02</v>
          </cell>
          <cell r="C3302" t="str">
            <v>Beban Bunga Utang atas Pinjaman kepada Lembaga Keuangan Bukan Bank (LKBB)-BUMN-Jangka Menengah</v>
          </cell>
          <cell r="F3302">
            <v>0</v>
          </cell>
          <cell r="G3302">
            <v>0</v>
          </cell>
          <cell r="H3302">
            <v>0</v>
          </cell>
          <cell r="I3302">
            <v>0</v>
          </cell>
          <cell r="J3302">
            <v>0</v>
          </cell>
        </row>
        <row r="3303">
          <cell r="B3303" t="str">
            <v>8.1.03.04.03</v>
          </cell>
          <cell r="C3303" t="str">
            <v>Beban Bunga Utang atas Pinjaman kepada Lembaga Keuangan Bukan Bank (LKBB)-BUMN-Jangka Panjang</v>
          </cell>
          <cell r="F3303">
            <v>0</v>
          </cell>
          <cell r="G3303">
            <v>0</v>
          </cell>
          <cell r="H3303">
            <v>0</v>
          </cell>
          <cell r="I3303">
            <v>0</v>
          </cell>
          <cell r="J3303">
            <v>0</v>
          </cell>
        </row>
        <row r="3304">
          <cell r="B3304" t="str">
            <v>8.1.03.04.04</v>
          </cell>
          <cell r="C3304" t="str">
            <v>Beban Bunga Utang atas Pinjaman kepada Lembaga Keuangan Bukan Bank (LKBB)-BUMD-Jangka Pendek</v>
          </cell>
          <cell r="F3304">
            <v>0</v>
          </cell>
          <cell r="G3304">
            <v>0</v>
          </cell>
          <cell r="H3304">
            <v>0</v>
          </cell>
          <cell r="I3304">
            <v>0</v>
          </cell>
          <cell r="J3304">
            <v>0</v>
          </cell>
        </row>
        <row r="3305">
          <cell r="B3305" t="str">
            <v>8.1.03.04.05</v>
          </cell>
          <cell r="C3305" t="str">
            <v>Beban Bunga Utang atas Pinjaman kepada Lembaga Keuangan Bukan Bank (LKBB)-BUMD-Jangka Menengah</v>
          </cell>
          <cell r="F3305">
            <v>0</v>
          </cell>
          <cell r="G3305">
            <v>0</v>
          </cell>
          <cell r="H3305">
            <v>0</v>
          </cell>
          <cell r="I3305">
            <v>0</v>
          </cell>
          <cell r="J3305">
            <v>0</v>
          </cell>
        </row>
        <row r="3306">
          <cell r="B3306" t="str">
            <v>8.1.03.04.06</v>
          </cell>
          <cell r="C3306" t="str">
            <v>Beban Bunga Utang atas Pinjaman kepada Lembaga Keuangan Bukan Bank (LKBB)-BUMD-Jangka Panjang</v>
          </cell>
          <cell r="F3306">
            <v>0</v>
          </cell>
          <cell r="G3306">
            <v>0</v>
          </cell>
          <cell r="H3306">
            <v>0</v>
          </cell>
          <cell r="I3306">
            <v>0</v>
          </cell>
          <cell r="J3306">
            <v>0</v>
          </cell>
        </row>
        <row r="3307">
          <cell r="B3307" t="str">
            <v>8.1.03.04.07</v>
          </cell>
          <cell r="C3307" t="str">
            <v>Beban Bunga Utang atas Pinjaman kepada Lembaga Keuangan Bukan Bank (LKBB)-Swasta-Jangka Pendek</v>
          </cell>
          <cell r="F3307">
            <v>0</v>
          </cell>
          <cell r="G3307">
            <v>0</v>
          </cell>
          <cell r="H3307">
            <v>0</v>
          </cell>
          <cell r="I3307">
            <v>0</v>
          </cell>
          <cell r="J3307">
            <v>0</v>
          </cell>
        </row>
        <row r="3308">
          <cell r="B3308" t="str">
            <v>8.1.03.04.08</v>
          </cell>
          <cell r="C3308" t="str">
            <v>Beban Bunga Utang atas Pinjaman kepada Lembaga Keuangan Bukan Bank (LKBB)-Swasta-Jangka Menengah</v>
          </cell>
          <cell r="F3308">
            <v>0</v>
          </cell>
          <cell r="G3308">
            <v>0</v>
          </cell>
          <cell r="H3308">
            <v>0</v>
          </cell>
          <cell r="I3308">
            <v>0</v>
          </cell>
          <cell r="J3308">
            <v>0</v>
          </cell>
        </row>
        <row r="3309">
          <cell r="B3309" t="str">
            <v>8.1.03.04.09</v>
          </cell>
          <cell r="C3309" t="str">
            <v>Beban Bunga Utang atas Pinjaman kepada Lembaga Keuangan Bukan Bank (LKBB)-Swasta-Jangka Panjang</v>
          </cell>
          <cell r="F3309">
            <v>0</v>
          </cell>
          <cell r="G3309">
            <v>0</v>
          </cell>
          <cell r="H3309">
            <v>0</v>
          </cell>
          <cell r="I3309">
            <v>0</v>
          </cell>
          <cell r="J3309">
            <v>0</v>
          </cell>
        </row>
        <row r="3310">
          <cell r="B3310" t="str">
            <v>8.1.03.05</v>
          </cell>
          <cell r="C3310" t="str">
            <v>Beban Bunga Utang Kepada Masyarakat</v>
          </cell>
          <cell r="D3310">
            <v>0</v>
          </cell>
          <cell r="E3310">
            <v>0</v>
          </cell>
          <cell r="J3310">
            <v>0</v>
          </cell>
        </row>
        <row r="3311">
          <cell r="B3311" t="str">
            <v>8.1.03.05.01</v>
          </cell>
          <cell r="C3311" t="str">
            <v>Beban Bunga Utang kepada Masyarakat atas Obligasi</v>
          </cell>
          <cell r="F3311">
            <v>0</v>
          </cell>
          <cell r="G3311">
            <v>0</v>
          </cell>
          <cell r="H3311">
            <v>0</v>
          </cell>
          <cell r="I3311">
            <v>0</v>
          </cell>
          <cell r="J3311">
            <v>0</v>
          </cell>
        </row>
        <row r="3312">
          <cell r="B3312" t="str">
            <v>8.1.03.06</v>
          </cell>
          <cell r="C3312" t="str">
            <v>Beban Bunga Utang Pinjaman melalui BLUD</v>
          </cell>
          <cell r="D3312">
            <v>0</v>
          </cell>
          <cell r="E3312">
            <v>0</v>
          </cell>
          <cell r="J3312">
            <v>0</v>
          </cell>
        </row>
        <row r="3313">
          <cell r="B3313" t="str">
            <v>8.1.03.06.01</v>
          </cell>
          <cell r="C3313" t="str">
            <v>Beban Bunga Utang Pinjaman melalui BLUD-Jangka Pendek</v>
          </cell>
          <cell r="F3313">
            <v>0</v>
          </cell>
          <cell r="G3313">
            <v>0</v>
          </cell>
          <cell r="H3313">
            <v>0</v>
          </cell>
          <cell r="I3313">
            <v>0</v>
          </cell>
          <cell r="J3313">
            <v>0</v>
          </cell>
        </row>
        <row r="3314">
          <cell r="B3314" t="str">
            <v>8.1.03.06.02</v>
          </cell>
          <cell r="C3314" t="str">
            <v>Beban Bunga Utang Pinjaman melalui BLUD-Jangka Menengah</v>
          </cell>
          <cell r="F3314">
            <v>0</v>
          </cell>
          <cell r="G3314">
            <v>0</v>
          </cell>
          <cell r="H3314">
            <v>0</v>
          </cell>
          <cell r="I3314">
            <v>0</v>
          </cell>
          <cell r="J3314">
            <v>0</v>
          </cell>
        </row>
        <row r="3315">
          <cell r="B3315" t="str">
            <v>8.1.03.06.03</v>
          </cell>
          <cell r="C3315" t="str">
            <v>Beban Bunga Utang Pinjaman melalui BLUD-Jangka Panjang</v>
          </cell>
          <cell r="F3315">
            <v>0</v>
          </cell>
          <cell r="G3315">
            <v>0</v>
          </cell>
          <cell r="H3315">
            <v>0</v>
          </cell>
          <cell r="I3315">
            <v>0</v>
          </cell>
          <cell r="J3315">
            <v>0</v>
          </cell>
        </row>
        <row r="3316">
          <cell r="B3316" t="str">
            <v>8.1.03.07</v>
          </cell>
          <cell r="C3316" t="str">
            <v>Beban Bunga Pembiayaan Utang Daerah-Pinjaman Daerah</v>
          </cell>
          <cell r="D3316">
            <v>0</v>
          </cell>
          <cell r="E3316">
            <v>0</v>
          </cell>
          <cell r="J3316">
            <v>0</v>
          </cell>
        </row>
        <row r="3317">
          <cell r="B3317" t="str">
            <v>8.1.03.07.01</v>
          </cell>
          <cell r="C3317" t="str">
            <v>Beban Bunga Pinjaman Daerah dari Pemerintah</v>
          </cell>
          <cell r="F3317">
            <v>0</v>
          </cell>
          <cell r="G3317">
            <v>0</v>
          </cell>
          <cell r="H3317">
            <v>0</v>
          </cell>
          <cell r="I3317">
            <v>0</v>
          </cell>
          <cell r="J3317">
            <v>0</v>
          </cell>
        </row>
        <row r="3318">
          <cell r="B3318" t="str">
            <v>8.1.03.07.02</v>
          </cell>
          <cell r="C3318" t="str">
            <v>Beban Bunga Pinjaman Daerah dari Pemerintah Daerah Lain</v>
          </cell>
          <cell r="F3318">
            <v>0</v>
          </cell>
          <cell r="G3318">
            <v>0</v>
          </cell>
          <cell r="H3318">
            <v>0</v>
          </cell>
          <cell r="I3318">
            <v>0</v>
          </cell>
          <cell r="J3318">
            <v>0</v>
          </cell>
        </row>
        <row r="3319">
          <cell r="B3319" t="str">
            <v>8.1.03.07.03</v>
          </cell>
          <cell r="C3319" t="str">
            <v>Beban Bunga Pinjaman Daerah dari Lembaga Keuangan Bank (LKB)</v>
          </cell>
          <cell r="F3319">
            <v>0</v>
          </cell>
          <cell r="G3319">
            <v>0</v>
          </cell>
          <cell r="H3319">
            <v>0</v>
          </cell>
          <cell r="I3319">
            <v>0</v>
          </cell>
          <cell r="J3319">
            <v>0</v>
          </cell>
        </row>
        <row r="3320">
          <cell r="B3320" t="str">
            <v>8.1.03.07.04</v>
          </cell>
          <cell r="C3320" t="str">
            <v>Beban Bunga Pinjaman Daerah dari Lembaga Keuangan Bukan Bank (LKBB)</v>
          </cell>
          <cell r="F3320">
            <v>0</v>
          </cell>
          <cell r="G3320">
            <v>0</v>
          </cell>
          <cell r="H3320">
            <v>0</v>
          </cell>
          <cell r="I3320">
            <v>0</v>
          </cell>
          <cell r="J3320">
            <v>0</v>
          </cell>
        </row>
        <row r="3321">
          <cell r="B3321" t="str">
            <v>8.1.03.08</v>
          </cell>
          <cell r="C3321" t="str">
            <v>Beban Bunga Pembiayaan Utang Daerah-Obligasi Daerah</v>
          </cell>
          <cell r="D3321">
            <v>0</v>
          </cell>
          <cell r="E3321">
            <v>0</v>
          </cell>
          <cell r="J3321">
            <v>0</v>
          </cell>
        </row>
        <row r="3322">
          <cell r="B3322" t="str">
            <v>8.1.03.08.01</v>
          </cell>
          <cell r="C3322" t="str">
            <v>Beban Bunga Obligasi Daerah</v>
          </cell>
          <cell r="F3322">
            <v>0</v>
          </cell>
          <cell r="G3322">
            <v>0</v>
          </cell>
          <cell r="H3322">
            <v>0</v>
          </cell>
          <cell r="I3322">
            <v>0</v>
          </cell>
          <cell r="J3322">
            <v>0</v>
          </cell>
        </row>
        <row r="3324">
          <cell r="B3324" t="str">
            <v>8.1.04</v>
          </cell>
          <cell r="C3324" t="str">
            <v>Beban Subsidi</v>
          </cell>
          <cell r="D3324">
            <v>0</v>
          </cell>
          <cell r="E3324">
            <v>0</v>
          </cell>
          <cell r="J3324">
            <v>0</v>
          </cell>
        </row>
        <row r="3325">
          <cell r="B3325" t="str">
            <v>8.1.04.01</v>
          </cell>
          <cell r="C3325" t="str">
            <v>Beban Subsidi kepada BUMN</v>
          </cell>
          <cell r="D3325">
            <v>0</v>
          </cell>
          <cell r="E3325">
            <v>0</v>
          </cell>
          <cell r="J3325">
            <v>0</v>
          </cell>
        </row>
        <row r="3326">
          <cell r="B3326" t="str">
            <v>8.1.04.01.01</v>
          </cell>
          <cell r="C3326" t="str">
            <v>Beban Subsidi kepada BUMN</v>
          </cell>
          <cell r="F3326">
            <v>0</v>
          </cell>
          <cell r="G3326">
            <v>0</v>
          </cell>
          <cell r="H3326">
            <v>0</v>
          </cell>
          <cell r="I3326">
            <v>0</v>
          </cell>
          <cell r="J3326">
            <v>0</v>
          </cell>
        </row>
        <row r="3327">
          <cell r="B3327" t="str">
            <v>8.1.04.02</v>
          </cell>
          <cell r="C3327" t="str">
            <v>Beban Subsidi kepada BUMD</v>
          </cell>
          <cell r="D3327">
            <v>0</v>
          </cell>
          <cell r="E3327">
            <v>0</v>
          </cell>
          <cell r="J3327">
            <v>0</v>
          </cell>
        </row>
        <row r="3328">
          <cell r="B3328" t="str">
            <v>8.1.04.02.01</v>
          </cell>
          <cell r="C3328" t="str">
            <v>Beban Subsidi kepada BUMD</v>
          </cell>
          <cell r="F3328">
            <v>0</v>
          </cell>
          <cell r="G3328">
            <v>0</v>
          </cell>
          <cell r="H3328">
            <v>0</v>
          </cell>
          <cell r="I3328">
            <v>0</v>
          </cell>
          <cell r="J3328">
            <v>0</v>
          </cell>
        </row>
        <row r="3329">
          <cell r="B3329" t="str">
            <v>8.1.04.03</v>
          </cell>
          <cell r="C3329" t="str">
            <v>Beban Subsidi kepada Badan Usaha Milik Swasta</v>
          </cell>
          <cell r="D3329">
            <v>0</v>
          </cell>
          <cell r="E3329">
            <v>0</v>
          </cell>
          <cell r="J3329">
            <v>0</v>
          </cell>
        </row>
        <row r="3330">
          <cell r="B3330" t="str">
            <v>8.1.04.03.01</v>
          </cell>
          <cell r="C3330" t="str">
            <v>Beban Subsidi kepada Badan Usaha Milik Swasta</v>
          </cell>
          <cell r="F3330">
            <v>0</v>
          </cell>
          <cell r="G3330">
            <v>0</v>
          </cell>
          <cell r="H3330">
            <v>0</v>
          </cell>
          <cell r="I3330">
            <v>0</v>
          </cell>
          <cell r="J3330">
            <v>0</v>
          </cell>
        </row>
        <row r="3331">
          <cell r="B3331" t="str">
            <v>8.1.04.04</v>
          </cell>
          <cell r="C3331" t="str">
            <v>Beban Subsidi kepada Koperasi</v>
          </cell>
          <cell r="D3331">
            <v>0</v>
          </cell>
          <cell r="E3331">
            <v>0</v>
          </cell>
          <cell r="J3331">
            <v>0</v>
          </cell>
        </row>
        <row r="3332">
          <cell r="B3332" t="str">
            <v>8.1.04.04.01</v>
          </cell>
          <cell r="C3332" t="str">
            <v>Beban Subsidi kepada Koperasi</v>
          </cell>
          <cell r="F3332">
            <v>0</v>
          </cell>
          <cell r="G3332">
            <v>0</v>
          </cell>
          <cell r="H3332">
            <v>0</v>
          </cell>
          <cell r="I3332">
            <v>0</v>
          </cell>
          <cell r="J3332">
            <v>0</v>
          </cell>
        </row>
        <row r="3334">
          <cell r="B3334" t="str">
            <v>8.1.05</v>
          </cell>
          <cell r="C3334" t="str">
            <v>Beban Hibah</v>
          </cell>
          <cell r="D3334">
            <v>63197226557</v>
          </cell>
          <cell r="E3334">
            <v>30118644715</v>
          </cell>
          <cell r="J3334">
            <v>30053377455</v>
          </cell>
        </row>
        <row r="3335">
          <cell r="B3335" t="str">
            <v>8.1.05.01</v>
          </cell>
          <cell r="C3335" t="str">
            <v>Beban Hibah kepada Pemerintah Pusat</v>
          </cell>
          <cell r="D3335">
            <v>23346748764</v>
          </cell>
          <cell r="E3335">
            <v>100000000</v>
          </cell>
          <cell r="J3335">
            <v>100000000</v>
          </cell>
        </row>
        <row r="3336">
          <cell r="B3336" t="str">
            <v>8.1.05.01.01</v>
          </cell>
          <cell r="C3336" t="str">
            <v>Beban Hibah Uang kepada Pemerintah Pusat</v>
          </cell>
          <cell r="D3336">
            <v>23346748764</v>
          </cell>
          <cell r="E3336">
            <v>100000000</v>
          </cell>
          <cell r="F3336">
            <v>0</v>
          </cell>
          <cell r="G3336">
            <v>0</v>
          </cell>
          <cell r="H3336">
            <v>0</v>
          </cell>
          <cell r="I3336">
            <v>0</v>
          </cell>
          <cell r="J3336">
            <v>100000000</v>
          </cell>
        </row>
        <row r="3337">
          <cell r="B3337" t="str">
            <v>8.1.05.01.02</v>
          </cell>
          <cell r="C3337" t="str">
            <v>Beban Hibah Barang kepada Pemerintah Pusat</v>
          </cell>
          <cell r="F3337">
            <v>0</v>
          </cell>
          <cell r="G3337">
            <v>0</v>
          </cell>
          <cell r="H3337">
            <v>0</v>
          </cell>
          <cell r="I3337">
            <v>0</v>
          </cell>
          <cell r="J3337">
            <v>0</v>
          </cell>
        </row>
        <row r="3338">
          <cell r="B3338" t="str">
            <v>8.1.05.01.03</v>
          </cell>
          <cell r="C3338" t="str">
            <v>Beban Hibah Jasa kepada Pemerintah Pusat</v>
          </cell>
          <cell r="F3338">
            <v>0</v>
          </cell>
          <cell r="G3338">
            <v>0</v>
          </cell>
          <cell r="H3338">
            <v>0</v>
          </cell>
          <cell r="I3338">
            <v>0</v>
          </cell>
          <cell r="J3338">
            <v>0</v>
          </cell>
        </row>
        <row r="3339">
          <cell r="B3339" t="str">
            <v>8.1.05.02</v>
          </cell>
          <cell r="C3339" t="str">
            <v>Beban Hibah kepada Pemerintah Daerah Lainnya</v>
          </cell>
          <cell r="D3339">
            <v>0</v>
          </cell>
          <cell r="E3339">
            <v>0</v>
          </cell>
          <cell r="J3339">
            <v>0</v>
          </cell>
        </row>
        <row r="3340">
          <cell r="B3340" t="str">
            <v>8.1.05.02.01</v>
          </cell>
          <cell r="C3340" t="str">
            <v>Beban Hibah Uang kepada Pemerintah Daerah Lainnya</v>
          </cell>
          <cell r="F3340">
            <v>0</v>
          </cell>
          <cell r="G3340">
            <v>0</v>
          </cell>
          <cell r="H3340">
            <v>0</v>
          </cell>
          <cell r="I3340">
            <v>0</v>
          </cell>
          <cell r="J3340">
            <v>0</v>
          </cell>
        </row>
        <row r="3341">
          <cell r="B3341" t="str">
            <v>8.1.05.02.02</v>
          </cell>
          <cell r="C3341" t="str">
            <v>Beban Hibah Barang kepada Pemerintah Daerah Lainnya</v>
          </cell>
          <cell r="F3341">
            <v>0</v>
          </cell>
          <cell r="G3341">
            <v>0</v>
          </cell>
          <cell r="H3341">
            <v>0</v>
          </cell>
          <cell r="I3341">
            <v>0</v>
          </cell>
          <cell r="J3341">
            <v>0</v>
          </cell>
        </row>
        <row r="3342">
          <cell r="B3342" t="str">
            <v>8.1.05.02.03</v>
          </cell>
          <cell r="C3342" t="str">
            <v>Beban Hibah Jasa kepada Pemerintah Daerah Lainnya</v>
          </cell>
          <cell r="F3342">
            <v>0</v>
          </cell>
          <cell r="G3342">
            <v>0</v>
          </cell>
          <cell r="H3342">
            <v>0</v>
          </cell>
          <cell r="I3342">
            <v>0</v>
          </cell>
          <cell r="J3342">
            <v>0</v>
          </cell>
        </row>
        <row r="3343">
          <cell r="B3343" t="str">
            <v>8.1.05.03</v>
          </cell>
          <cell r="C3343" t="str">
            <v>Beban Hibah kepada BUMN</v>
          </cell>
          <cell r="D3343">
            <v>0</v>
          </cell>
          <cell r="E3343">
            <v>0</v>
          </cell>
          <cell r="J3343">
            <v>0</v>
          </cell>
        </row>
        <row r="3344">
          <cell r="B3344" t="str">
            <v>8.1.05.03.01</v>
          </cell>
          <cell r="C3344" t="str">
            <v>Beban Hibah Uang kepada BUMN</v>
          </cell>
          <cell r="F3344">
            <v>0</v>
          </cell>
          <cell r="G3344">
            <v>0</v>
          </cell>
          <cell r="H3344">
            <v>0</v>
          </cell>
          <cell r="I3344">
            <v>0</v>
          </cell>
          <cell r="J3344">
            <v>0</v>
          </cell>
        </row>
        <row r="3345">
          <cell r="B3345" t="str">
            <v>8.1.05.03.02</v>
          </cell>
          <cell r="C3345" t="str">
            <v>Beban Hibah Barang kepada BUMN</v>
          </cell>
          <cell r="F3345">
            <v>0</v>
          </cell>
          <cell r="G3345">
            <v>0</v>
          </cell>
          <cell r="H3345">
            <v>0</v>
          </cell>
          <cell r="I3345">
            <v>0</v>
          </cell>
          <cell r="J3345">
            <v>0</v>
          </cell>
        </row>
        <row r="3346">
          <cell r="B3346" t="str">
            <v>8.1.05.03.03</v>
          </cell>
          <cell r="C3346" t="str">
            <v>Beban Hibah Jasa kepada BUMN</v>
          </cell>
          <cell r="F3346">
            <v>0</v>
          </cell>
          <cell r="G3346">
            <v>0</v>
          </cell>
          <cell r="H3346">
            <v>0</v>
          </cell>
          <cell r="I3346">
            <v>0</v>
          </cell>
          <cell r="J3346">
            <v>0</v>
          </cell>
        </row>
        <row r="3347">
          <cell r="B3347" t="str">
            <v>8.1.05.04</v>
          </cell>
          <cell r="C3347" t="str">
            <v>Beban Hibah Uang kepada BUMD</v>
          </cell>
          <cell r="D3347">
            <v>0</v>
          </cell>
          <cell r="E3347">
            <v>0</v>
          </cell>
          <cell r="J3347">
            <v>0</v>
          </cell>
        </row>
        <row r="3348">
          <cell r="B3348" t="str">
            <v>8.1.05.04.01</v>
          </cell>
          <cell r="C3348" t="str">
            <v>Beban Hibah Uang kepada BUMD</v>
          </cell>
          <cell r="F3348">
            <v>0</v>
          </cell>
          <cell r="G3348">
            <v>0</v>
          </cell>
          <cell r="H3348">
            <v>0</v>
          </cell>
          <cell r="I3348">
            <v>0</v>
          </cell>
          <cell r="J3348">
            <v>0</v>
          </cell>
        </row>
        <row r="3349">
          <cell r="B3349" t="str">
            <v>8.1.05.04.02</v>
          </cell>
          <cell r="C3349" t="str">
            <v>Beban Hibah Barang kepada BUMD</v>
          </cell>
          <cell r="F3349">
            <v>0</v>
          </cell>
          <cell r="G3349">
            <v>0</v>
          </cell>
          <cell r="H3349">
            <v>0</v>
          </cell>
          <cell r="I3349">
            <v>0</v>
          </cell>
          <cell r="J3349">
            <v>0</v>
          </cell>
        </row>
        <row r="3350">
          <cell r="B3350" t="str">
            <v>8.1.05.04.03</v>
          </cell>
          <cell r="C3350" t="str">
            <v>Beban Hibah Jasa kepada BUMD</v>
          </cell>
          <cell r="F3350">
            <v>0</v>
          </cell>
          <cell r="G3350">
            <v>0</v>
          </cell>
          <cell r="H3350">
            <v>0</v>
          </cell>
          <cell r="I3350">
            <v>0</v>
          </cell>
          <cell r="J3350">
            <v>0</v>
          </cell>
        </row>
        <row r="3351">
          <cell r="B3351" t="str">
            <v>8.1.05.05</v>
          </cell>
          <cell r="C3351" t="str">
            <v>Beban Hibah kepada Badan, Lembaga, Organisasi Kemasyarakatan yang Berbadan Hukum Indonesia</v>
          </cell>
          <cell r="D3351">
            <v>17224800000</v>
          </cell>
          <cell r="E3351">
            <v>8727639565</v>
          </cell>
          <cell r="J3351">
            <v>8615695035</v>
          </cell>
        </row>
        <row r="3352">
          <cell r="B3352" t="str">
            <v>8.1.05.05.01</v>
          </cell>
          <cell r="C3352" t="str">
            <v>Beban Hibah kepada Badan dan Lembaga yang Bersifat Nirlaba, Sukarela dan Sosial yang Dibentuk Berdasarkan Peraturan Perundang-Undangan</v>
          </cell>
          <cell r="D3352">
            <v>11552500000</v>
          </cell>
          <cell r="E3352">
            <v>790000000</v>
          </cell>
          <cell r="F3352">
            <v>0</v>
          </cell>
          <cell r="G3352">
            <v>0</v>
          </cell>
          <cell r="H3352">
            <v>0</v>
          </cell>
          <cell r="I3352">
            <v>0</v>
          </cell>
          <cell r="J3352">
            <v>790000000</v>
          </cell>
        </row>
        <row r="3353">
          <cell r="B3353" t="str">
            <v>8.1.05.05.02</v>
          </cell>
          <cell r="C3353" t="str">
            <v>Beban Hibah kepada Badan dan Lembaga Nirlaba, Sukarela dan Sosial yang Telah Memiliki Surat Keterangan Terdaftar</v>
          </cell>
          <cell r="D3353">
            <v>5022300000</v>
          </cell>
          <cell r="E3353">
            <v>7117639565</v>
          </cell>
          <cell r="F3353">
            <v>0</v>
          </cell>
          <cell r="G3353">
            <v>111944530</v>
          </cell>
          <cell r="H3353">
            <v>0</v>
          </cell>
          <cell r="I3353">
            <v>0</v>
          </cell>
          <cell r="J3353">
            <v>7005695035</v>
          </cell>
        </row>
        <row r="3354">
          <cell r="B3354" t="str">
            <v>8.1.05.05.03</v>
          </cell>
          <cell r="C3354" t="str">
            <v>Beban Hibah kepada Badan dan Lembaga Nirlaba, Sukarela Bersifat Sosial Kemasyarakatan</v>
          </cell>
          <cell r="D3354">
            <v>550000000</v>
          </cell>
          <cell r="E3354">
            <v>720000000</v>
          </cell>
          <cell r="F3354">
            <v>0</v>
          </cell>
          <cell r="G3354">
            <v>0</v>
          </cell>
          <cell r="H3354">
            <v>0</v>
          </cell>
          <cell r="I3354">
            <v>0</v>
          </cell>
          <cell r="J3354">
            <v>720000000</v>
          </cell>
        </row>
        <row r="3355">
          <cell r="B3355" t="str">
            <v>8.1.05.05.04</v>
          </cell>
          <cell r="C3355" t="str">
            <v>Beban Hibah kepada Koperasi</v>
          </cell>
          <cell r="D3355">
            <v>100000000</v>
          </cell>
          <cell r="E3355">
            <v>100000000</v>
          </cell>
          <cell r="F3355">
            <v>0</v>
          </cell>
          <cell r="G3355">
            <v>0</v>
          </cell>
          <cell r="H3355">
            <v>0</v>
          </cell>
          <cell r="I3355">
            <v>0</v>
          </cell>
          <cell r="J3355">
            <v>100000000</v>
          </cell>
        </row>
        <row r="3356">
          <cell r="B3356" t="str">
            <v>8.1.05.05.05</v>
          </cell>
          <cell r="C3356" t="str">
            <v>Beban Hibah kepada Usaha Mikro dan Usaha Kecil</v>
          </cell>
          <cell r="F3356">
            <v>0</v>
          </cell>
          <cell r="G3356">
            <v>0</v>
          </cell>
          <cell r="H3356">
            <v>0</v>
          </cell>
          <cell r="I3356">
            <v>0</v>
          </cell>
          <cell r="J3356">
            <v>0</v>
          </cell>
        </row>
        <row r="3357">
          <cell r="B3357" t="str">
            <v>8.1.05.05.06</v>
          </cell>
          <cell r="C3357" t="str">
            <v>Beban Hibah kepada Organisasi Kemasyarakatan yang Berbadan Hukum Indonesia</v>
          </cell>
          <cell r="F3357">
            <v>0</v>
          </cell>
          <cell r="G3357">
            <v>0</v>
          </cell>
          <cell r="H3357">
            <v>0</v>
          </cell>
          <cell r="I3357">
            <v>0</v>
          </cell>
          <cell r="J3357">
            <v>0</v>
          </cell>
        </row>
        <row r="3358">
          <cell r="B3358" t="str">
            <v>8.1.05.06</v>
          </cell>
          <cell r="C3358" t="str">
            <v>Beban Hibah Dana BOS</v>
          </cell>
          <cell r="D3358">
            <v>0</v>
          </cell>
          <cell r="E3358">
            <v>0</v>
          </cell>
          <cell r="J3358">
            <v>0</v>
          </cell>
        </row>
        <row r="3359">
          <cell r="B3359" t="str">
            <v>8.1.05.06.01</v>
          </cell>
          <cell r="C3359" t="str">
            <v>Beban Hibah Uang Dana BOS yang Diterima oleh Satdikdas Negeri</v>
          </cell>
          <cell r="F3359">
            <v>0</v>
          </cell>
          <cell r="G3359">
            <v>0</v>
          </cell>
          <cell r="H3359">
            <v>0</v>
          </cell>
          <cell r="I3359">
            <v>0</v>
          </cell>
          <cell r="J3359">
            <v>0</v>
          </cell>
        </row>
        <row r="3360">
          <cell r="B3360" t="str">
            <v>8.1.05.06.02</v>
          </cell>
          <cell r="C3360" t="str">
            <v>Beban Hibah Uang Dana BOS yang Diterima oleh Satdikdas Swasta</v>
          </cell>
          <cell r="F3360">
            <v>0</v>
          </cell>
          <cell r="G3360">
            <v>0</v>
          </cell>
          <cell r="H3360">
            <v>0</v>
          </cell>
          <cell r="I3360">
            <v>0</v>
          </cell>
          <cell r="J3360">
            <v>0</v>
          </cell>
        </row>
        <row r="3361">
          <cell r="B3361" t="str">
            <v>8.1.05.06.03</v>
          </cell>
          <cell r="C3361" t="str">
            <v>Beban Hibah Uang Dana BOS yang Diterima oleh Satdikmen Swasta</v>
          </cell>
          <cell r="F3361">
            <v>0</v>
          </cell>
          <cell r="G3361">
            <v>0</v>
          </cell>
          <cell r="H3361">
            <v>0</v>
          </cell>
          <cell r="I3361">
            <v>0</v>
          </cell>
          <cell r="J3361">
            <v>0</v>
          </cell>
        </row>
        <row r="3362">
          <cell r="B3362" t="str">
            <v>8.1.05.06.04</v>
          </cell>
          <cell r="C3362" t="str">
            <v>Beban Hibah Uang Dana BOS yang Diterima oleh Satdiksus Swasta</v>
          </cell>
          <cell r="F3362">
            <v>0</v>
          </cell>
          <cell r="G3362">
            <v>0</v>
          </cell>
          <cell r="H3362">
            <v>0</v>
          </cell>
          <cell r="I3362">
            <v>0</v>
          </cell>
          <cell r="J3362">
            <v>0</v>
          </cell>
        </row>
        <row r="3363">
          <cell r="B3363" t="str">
            <v>8.1.05.07</v>
          </cell>
          <cell r="C3363" t="str">
            <v>Beban Hibah Bantuan Keuangan Kepada Partai Politik</v>
          </cell>
          <cell r="D3363">
            <v>794052000</v>
          </cell>
          <cell r="E3363">
            <v>877637000</v>
          </cell>
          <cell r="J3363">
            <v>877637000</v>
          </cell>
        </row>
        <row r="3364">
          <cell r="B3364" t="str">
            <v>8.1.05.07.01</v>
          </cell>
          <cell r="C3364" t="str">
            <v>Beban Hibah Bantuan Keuangan Kepada Partai Politik</v>
          </cell>
          <cell r="D3364">
            <v>794052000</v>
          </cell>
          <cell r="E3364">
            <v>877637000</v>
          </cell>
          <cell r="F3364">
            <v>0</v>
          </cell>
          <cell r="G3364">
            <v>0</v>
          </cell>
          <cell r="H3364">
            <v>0</v>
          </cell>
          <cell r="I3364">
            <v>0</v>
          </cell>
          <cell r="J3364">
            <v>877637000</v>
          </cell>
        </row>
        <row r="3365">
          <cell r="B3365" t="str">
            <v>8.1.05.08</v>
          </cell>
          <cell r="C3365" t="str">
            <v>Beban Hibah Dana BOSP</v>
          </cell>
          <cell r="D3365">
            <v>21831625793</v>
          </cell>
          <cell r="E3365">
            <v>20413368150</v>
          </cell>
          <cell r="J3365">
            <v>20460045420</v>
          </cell>
        </row>
        <row r="3366">
          <cell r="B3366" t="str">
            <v>8.1.05.08.01</v>
          </cell>
          <cell r="C3366" t="str">
            <v>Beban Hibah Dana BOSP-BOS</v>
          </cell>
          <cell r="D3366">
            <v>2902666650</v>
          </cell>
          <cell r="E3366">
            <v>2374751300</v>
          </cell>
          <cell r="F3366">
            <v>0</v>
          </cell>
          <cell r="G3366">
            <v>0</v>
          </cell>
          <cell r="H3366">
            <v>0</v>
          </cell>
          <cell r="I3366">
            <v>0</v>
          </cell>
          <cell r="J3366">
            <v>2374751300</v>
          </cell>
        </row>
        <row r="3367">
          <cell r="B3367" t="str">
            <v>8.1.05.08.02</v>
          </cell>
          <cell r="C3367" t="str">
            <v>Beban Hibah Dana BOSP-BOP PAUD</v>
          </cell>
          <cell r="D3367">
            <v>16180211343</v>
          </cell>
          <cell r="E3367">
            <v>15060891000</v>
          </cell>
          <cell r="F3367">
            <v>0</v>
          </cell>
          <cell r="G3367">
            <v>14506230</v>
          </cell>
          <cell r="H3367">
            <v>0</v>
          </cell>
          <cell r="I3367">
            <v>0</v>
          </cell>
          <cell r="J3367">
            <v>15046384770</v>
          </cell>
        </row>
        <row r="3368">
          <cell r="B3368" t="str">
            <v>8.1.05.08.03</v>
          </cell>
          <cell r="C3368" t="str">
            <v>Beban Hibah Dana BOSP-BOP Kesetaraan</v>
          </cell>
          <cell r="D3368">
            <v>2748747800</v>
          </cell>
          <cell r="E3368">
            <v>2977725850</v>
          </cell>
          <cell r="F3368">
            <v>61183500</v>
          </cell>
          <cell r="G3368">
            <v>0</v>
          </cell>
          <cell r="H3368">
            <v>0</v>
          </cell>
          <cell r="I3368">
            <v>0</v>
          </cell>
          <cell r="J3368">
            <v>3038909350</v>
          </cell>
        </row>
        <row r="3369">
          <cell r="B3369" t="str">
            <v>8.1.05.09</v>
          </cell>
          <cell r="C3369" t="str">
            <v>Beban Hibah kepada BUMDesa</v>
          </cell>
          <cell r="D3369">
            <v>0</v>
          </cell>
          <cell r="E3369">
            <v>0</v>
          </cell>
          <cell r="J3369">
            <v>0</v>
          </cell>
        </row>
        <row r="3370">
          <cell r="B3370" t="str">
            <v>8.1.05.09.01</v>
          </cell>
          <cell r="C3370" t="str">
            <v>Beban Hibah Uang kepada BUMDesa</v>
          </cell>
          <cell r="F3370">
            <v>0</v>
          </cell>
          <cell r="G3370">
            <v>0</v>
          </cell>
          <cell r="H3370">
            <v>0</v>
          </cell>
          <cell r="I3370">
            <v>0</v>
          </cell>
          <cell r="J3370">
            <v>0</v>
          </cell>
        </row>
        <row r="3371">
          <cell r="B3371" t="str">
            <v>8.1.05.09.02</v>
          </cell>
          <cell r="C3371" t="str">
            <v>Beban Hibah Barang kepada BUMDesa</v>
          </cell>
          <cell r="F3371">
            <v>0</v>
          </cell>
          <cell r="G3371">
            <v>0</v>
          </cell>
          <cell r="H3371">
            <v>0</v>
          </cell>
          <cell r="I3371">
            <v>0</v>
          </cell>
          <cell r="J3371">
            <v>0</v>
          </cell>
        </row>
        <row r="3372">
          <cell r="B3372" t="str">
            <v>8.1.05.09.03</v>
          </cell>
          <cell r="C3372" t="str">
            <v>Beban Hibah Jasa kepada BUMDesa</v>
          </cell>
          <cell r="F3372">
            <v>0</v>
          </cell>
          <cell r="G3372">
            <v>0</v>
          </cell>
          <cell r="H3372">
            <v>0</v>
          </cell>
          <cell r="I3372">
            <v>0</v>
          </cell>
          <cell r="J3372">
            <v>0</v>
          </cell>
        </row>
        <row r="3373">
          <cell r="B3373" t="str">
            <v>8.1.05.10</v>
          </cell>
          <cell r="C3373" t="str">
            <v>Beban Hibah kepada Koperasi</v>
          </cell>
          <cell r="D3373">
            <v>0</v>
          </cell>
          <cell r="E3373">
            <v>0</v>
          </cell>
          <cell r="J3373">
            <v>0</v>
          </cell>
        </row>
        <row r="3374">
          <cell r="B3374" t="str">
            <v>8.1.05.10.01</v>
          </cell>
          <cell r="C3374" t="str">
            <v>Beban Hibah Uang kepada Koperasi</v>
          </cell>
          <cell r="F3374">
            <v>0</v>
          </cell>
          <cell r="G3374">
            <v>0</v>
          </cell>
          <cell r="H3374">
            <v>0</v>
          </cell>
          <cell r="I3374">
            <v>0</v>
          </cell>
          <cell r="J3374">
            <v>0</v>
          </cell>
        </row>
        <row r="3375">
          <cell r="B3375" t="str">
            <v>8.1.05.10.02</v>
          </cell>
          <cell r="C3375" t="str">
            <v>Beban Hibah Barang kepada Koperasi</v>
          </cell>
          <cell r="F3375">
            <v>0</v>
          </cell>
          <cell r="G3375">
            <v>0</v>
          </cell>
          <cell r="H3375">
            <v>0</v>
          </cell>
          <cell r="I3375">
            <v>0</v>
          </cell>
          <cell r="J3375">
            <v>0</v>
          </cell>
        </row>
        <row r="3376">
          <cell r="B3376" t="str">
            <v>8.1.05.10.03</v>
          </cell>
          <cell r="C3376" t="str">
            <v>Beban Hibah Jasa kepada Koperasi</v>
          </cell>
          <cell r="F3376">
            <v>0</v>
          </cell>
          <cell r="G3376">
            <v>0</v>
          </cell>
          <cell r="H3376">
            <v>0</v>
          </cell>
          <cell r="I3376">
            <v>0</v>
          </cell>
          <cell r="J3376">
            <v>0</v>
          </cell>
        </row>
        <row r="3378">
          <cell r="B3378" t="str">
            <v>8.1.06</v>
          </cell>
          <cell r="C3378" t="str">
            <v>Beban Bantuan Sosial</v>
          </cell>
          <cell r="D3378">
            <v>1386600000</v>
          </cell>
          <cell r="E3378">
            <v>451000000</v>
          </cell>
          <cell r="J3378">
            <v>1684000000</v>
          </cell>
        </row>
        <row r="3379">
          <cell r="B3379" t="str">
            <v>8.1.06.01</v>
          </cell>
          <cell r="C3379" t="str">
            <v>Beban Bantuan Sosial Uang kepada Individu</v>
          </cell>
          <cell r="D3379">
            <v>1176600000</v>
          </cell>
          <cell r="E3379">
            <v>0</v>
          </cell>
          <cell r="J3379">
            <v>1233000000</v>
          </cell>
        </row>
        <row r="3380">
          <cell r="B3380" t="str">
            <v>8.1.06.01.01</v>
          </cell>
          <cell r="C3380" t="str">
            <v>Beban Bantuan Sosial Uang yang Direncanakan kepada Individu</v>
          </cell>
          <cell r="D3380">
            <v>1176600000</v>
          </cell>
          <cell r="F3380">
            <v>1233000000</v>
          </cell>
          <cell r="G3380">
            <v>0</v>
          </cell>
          <cell r="H3380">
            <v>0</v>
          </cell>
          <cell r="I3380">
            <v>0</v>
          </cell>
          <cell r="J3380">
            <v>1233000000</v>
          </cell>
        </row>
        <row r="3381">
          <cell r="B3381" t="str">
            <v>8.1.06.01.02</v>
          </cell>
          <cell r="C3381" t="str">
            <v>Beban Bantuan Sosial Barang yang Direncanakan kepada Individu</v>
          </cell>
          <cell r="F3381">
            <v>0</v>
          </cell>
          <cell r="G3381">
            <v>0</v>
          </cell>
          <cell r="H3381">
            <v>0</v>
          </cell>
          <cell r="I3381">
            <v>0</v>
          </cell>
          <cell r="J3381">
            <v>0</v>
          </cell>
        </row>
        <row r="3382">
          <cell r="B3382" t="str">
            <v>8.1.06.02</v>
          </cell>
          <cell r="C3382" t="str">
            <v>Beban Bantuan Sosial Uang kepada Keluarga</v>
          </cell>
          <cell r="D3382">
            <v>0</v>
          </cell>
          <cell r="E3382">
            <v>0</v>
          </cell>
          <cell r="J3382">
            <v>0</v>
          </cell>
        </row>
        <row r="3383">
          <cell r="B3383" t="str">
            <v>8.1.06.02.01</v>
          </cell>
          <cell r="C3383" t="str">
            <v>Beban Bantuan Sosial Uang yang Direncanakan kepada Keluarga</v>
          </cell>
          <cell r="F3383">
            <v>0</v>
          </cell>
          <cell r="G3383">
            <v>0</v>
          </cell>
          <cell r="H3383">
            <v>0</v>
          </cell>
          <cell r="I3383">
            <v>0</v>
          </cell>
          <cell r="J3383">
            <v>0</v>
          </cell>
        </row>
        <row r="3384">
          <cell r="B3384" t="str">
            <v>8.1.06.02.02</v>
          </cell>
          <cell r="C3384" t="str">
            <v>Beban Bantuan Sosial Barang yang Direncanakan kepada Keluarga</v>
          </cell>
          <cell r="F3384">
            <v>0</v>
          </cell>
          <cell r="G3384">
            <v>0</v>
          </cell>
          <cell r="H3384">
            <v>0</v>
          </cell>
          <cell r="I3384">
            <v>0</v>
          </cell>
          <cell r="J3384">
            <v>0</v>
          </cell>
        </row>
        <row r="3385">
          <cell r="B3385" t="str">
            <v>8.1.06.03</v>
          </cell>
          <cell r="C3385" t="str">
            <v>Beban Bantuan Sosial Uang kepada Kelompok Masyarakat</v>
          </cell>
          <cell r="D3385">
            <v>0</v>
          </cell>
          <cell r="E3385">
            <v>396000000</v>
          </cell>
          <cell r="J3385">
            <v>396000000</v>
          </cell>
        </row>
        <row r="3386">
          <cell r="B3386" t="str">
            <v>8.1.06.03.01</v>
          </cell>
          <cell r="C3386" t="str">
            <v>Beban Bantuan Sosial Uang yang Direncanakan kepada Kelompok Masyarakat</v>
          </cell>
          <cell r="E3386">
            <v>396000000</v>
          </cell>
          <cell r="F3386">
            <v>0</v>
          </cell>
          <cell r="G3386">
            <v>0</v>
          </cell>
          <cell r="H3386">
            <v>0</v>
          </cell>
          <cell r="I3386">
            <v>0</v>
          </cell>
          <cell r="J3386">
            <v>396000000</v>
          </cell>
        </row>
        <row r="3387">
          <cell r="B3387" t="str">
            <v>8.1.06.03.02</v>
          </cell>
          <cell r="C3387" t="str">
            <v>Beban Bantuan Sosial Barang kepada Kelompok Masyarakat</v>
          </cell>
          <cell r="F3387">
            <v>0</v>
          </cell>
          <cell r="G3387">
            <v>0</v>
          </cell>
          <cell r="H3387">
            <v>0</v>
          </cell>
          <cell r="I3387">
            <v>0</v>
          </cell>
          <cell r="J3387">
            <v>0</v>
          </cell>
        </row>
        <row r="3388">
          <cell r="B3388" t="str">
            <v>8.1.06.04</v>
          </cell>
          <cell r="C3388" t="str">
            <v>Beban Bantuan Sosial Uang kepada Lembaga Non Pemerintahan (Bidang Pendidikan, Keagamaan dan Bidang Lainnya)</v>
          </cell>
          <cell r="D3388">
            <v>210000000</v>
          </cell>
          <cell r="E3388">
            <v>55000000</v>
          </cell>
          <cell r="J3388">
            <v>55000000</v>
          </cell>
        </row>
        <row r="3389">
          <cell r="B3389" t="str">
            <v>8.1.06.04.01</v>
          </cell>
          <cell r="C3389" t="str">
            <v>Beban Bantuan Sosial Uang yang Direncanakan kepada Lembaga Non Pemerintahan (Bidang Pendidikan, Keagamaan dan Bidang Lainnya)</v>
          </cell>
          <cell r="D3389">
            <v>210000000</v>
          </cell>
          <cell r="E3389">
            <v>55000000</v>
          </cell>
          <cell r="F3389">
            <v>0</v>
          </cell>
          <cell r="G3389">
            <v>0</v>
          </cell>
          <cell r="H3389">
            <v>0</v>
          </cell>
          <cell r="I3389">
            <v>0</v>
          </cell>
          <cell r="J3389">
            <v>55000000</v>
          </cell>
        </row>
        <row r="3390">
          <cell r="B3390" t="str">
            <v>8.1.06.04.02</v>
          </cell>
          <cell r="C3390" t="str">
            <v>Beban Bantuan Sosial Barang yang Direncanakan kepada Lembaga Non Pemerintahan (Bidang Pendidikan, Keagamaan dan Bidang Lainnya)</v>
          </cell>
          <cell r="F3390">
            <v>0</v>
          </cell>
          <cell r="G3390">
            <v>0</v>
          </cell>
          <cell r="H3390">
            <v>0</v>
          </cell>
          <cell r="I3390">
            <v>0</v>
          </cell>
          <cell r="J3390">
            <v>0</v>
          </cell>
        </row>
        <row r="3392">
          <cell r="B3392" t="str">
            <v>8.1.07</v>
          </cell>
          <cell r="C3392" t="str">
            <v>Beban Penyisihan Piutang</v>
          </cell>
          <cell r="D3392">
            <v>5564395155.5599995</v>
          </cell>
          <cell r="E3392">
            <v>4514662236.9799995</v>
          </cell>
          <cell r="J3392">
            <v>4435661290.21</v>
          </cell>
        </row>
        <row r="3393">
          <cell r="B3393" t="str">
            <v>8.1.07.01</v>
          </cell>
          <cell r="C3393" t="str">
            <v>Beban Penyisihan Piutang Pajak Daerah</v>
          </cell>
          <cell r="D3393">
            <v>5213892488.0599995</v>
          </cell>
          <cell r="E3393">
            <v>3853353978.48</v>
          </cell>
          <cell r="J3393">
            <v>3846190031.71</v>
          </cell>
        </row>
        <row r="3394">
          <cell r="B3394" t="str">
            <v>8.1.07.01.01</v>
          </cell>
          <cell r="C3394" t="str">
            <v>Beban Penyisihan Piutang Pajak Kendaraan Bermotor (PKB)</v>
          </cell>
          <cell r="F3394">
            <v>0</v>
          </cell>
          <cell r="G3394">
            <v>0</v>
          </cell>
          <cell r="H3394">
            <v>0</v>
          </cell>
          <cell r="I3394">
            <v>0</v>
          </cell>
          <cell r="J3394">
            <v>0</v>
          </cell>
        </row>
        <row r="3395">
          <cell r="B3395" t="str">
            <v>8.1.07.01.02</v>
          </cell>
          <cell r="C3395" t="str">
            <v>Beban Penyisihan Piutang Bea Balik Nama Kendaraan Bermotor</v>
          </cell>
          <cell r="F3395">
            <v>0</v>
          </cell>
          <cell r="G3395">
            <v>0</v>
          </cell>
          <cell r="H3395">
            <v>0</v>
          </cell>
          <cell r="I3395">
            <v>0</v>
          </cell>
          <cell r="J3395">
            <v>0</v>
          </cell>
        </row>
        <row r="3396">
          <cell r="B3396" t="str">
            <v>8.1.07.01.03</v>
          </cell>
          <cell r="C3396" t="str">
            <v>Beban Penyisihan Piutang Pajak Bahan Bakar Kendaraan Bermotor (PBBKB)</v>
          </cell>
          <cell r="F3396">
            <v>0</v>
          </cell>
          <cell r="G3396">
            <v>0</v>
          </cell>
          <cell r="H3396">
            <v>0</v>
          </cell>
          <cell r="I3396">
            <v>0</v>
          </cell>
          <cell r="J3396">
            <v>0</v>
          </cell>
        </row>
        <row r="3397">
          <cell r="B3397" t="str">
            <v>8.1.07.01.04</v>
          </cell>
          <cell r="C3397" t="str">
            <v>Beban Penyisihan Piutang Pajak Air Permukaan</v>
          </cell>
          <cell r="F3397">
            <v>0</v>
          </cell>
          <cell r="G3397">
            <v>0</v>
          </cell>
          <cell r="H3397">
            <v>0</v>
          </cell>
          <cell r="I3397">
            <v>0</v>
          </cell>
          <cell r="J3397">
            <v>0</v>
          </cell>
        </row>
        <row r="3398">
          <cell r="B3398" t="str">
            <v>8.1.07.01.05</v>
          </cell>
          <cell r="C3398" t="str">
            <v>Beban Penyisihan Piutang Pajak Rokok</v>
          </cell>
          <cell r="F3398">
            <v>0</v>
          </cell>
          <cell r="G3398">
            <v>0</v>
          </cell>
          <cell r="H3398">
            <v>0</v>
          </cell>
          <cell r="I3398">
            <v>0</v>
          </cell>
          <cell r="J3398">
            <v>0</v>
          </cell>
        </row>
        <row r="3399">
          <cell r="B3399" t="str">
            <v>8.1.07.01.06</v>
          </cell>
          <cell r="C3399" t="str">
            <v>Beban Penyisihan Piutang Pajak Hotel</v>
          </cell>
          <cell r="D3399">
            <v>538211.18000000005</v>
          </cell>
          <cell r="F3399">
            <v>0</v>
          </cell>
          <cell r="G3399">
            <v>0</v>
          </cell>
          <cell r="H3399">
            <v>0</v>
          </cell>
          <cell r="I3399">
            <v>0</v>
          </cell>
          <cell r="J3399">
            <v>0</v>
          </cell>
        </row>
        <row r="3400">
          <cell r="B3400" t="str">
            <v>8.1.07.01.07</v>
          </cell>
          <cell r="C3400" t="str">
            <v>Beban Penyisihan Pajak Restoran</v>
          </cell>
          <cell r="D3400">
            <v>5051115.1399999997</v>
          </cell>
          <cell r="F3400">
            <v>0</v>
          </cell>
          <cell r="G3400">
            <v>0</v>
          </cell>
          <cell r="H3400">
            <v>0</v>
          </cell>
          <cell r="I3400">
            <v>0</v>
          </cell>
          <cell r="J3400">
            <v>0</v>
          </cell>
        </row>
        <row r="3401">
          <cell r="B3401" t="str">
            <v>8.1.07.01.08</v>
          </cell>
          <cell r="C3401" t="str">
            <v>Beban Penyisihan Pajak Hiburan</v>
          </cell>
          <cell r="D3401">
            <v>50000</v>
          </cell>
          <cell r="F3401">
            <v>0</v>
          </cell>
          <cell r="G3401">
            <v>0</v>
          </cell>
          <cell r="H3401">
            <v>0</v>
          </cell>
          <cell r="I3401">
            <v>0</v>
          </cell>
          <cell r="J3401">
            <v>0</v>
          </cell>
        </row>
        <row r="3402">
          <cell r="B3402" t="str">
            <v>8.1.07.01.09</v>
          </cell>
          <cell r="C3402" t="str">
            <v>Beban Penyisihan Pajak Reklame</v>
          </cell>
          <cell r="D3402">
            <v>7143933.79</v>
          </cell>
          <cell r="F3402">
            <v>0</v>
          </cell>
          <cell r="G3402">
            <v>0</v>
          </cell>
          <cell r="H3402">
            <v>0</v>
          </cell>
          <cell r="I3402">
            <v>0</v>
          </cell>
          <cell r="J3402">
            <v>0</v>
          </cell>
        </row>
        <row r="3403">
          <cell r="B3403" t="str">
            <v>8.1.07.01.10</v>
          </cell>
          <cell r="C3403" t="str">
            <v>Beban Penyisihan Pajak Penerangan Jalan</v>
          </cell>
          <cell r="F3403">
            <v>0</v>
          </cell>
          <cell r="G3403">
            <v>0</v>
          </cell>
          <cell r="H3403">
            <v>0</v>
          </cell>
          <cell r="I3403">
            <v>0</v>
          </cell>
          <cell r="J3403">
            <v>0</v>
          </cell>
        </row>
        <row r="3404">
          <cell r="B3404" t="str">
            <v>8.1.07.01.11</v>
          </cell>
          <cell r="C3404" t="str">
            <v>Beban Penyisihan Piutang Pajak Parkir</v>
          </cell>
          <cell r="F3404">
            <v>0</v>
          </cell>
          <cell r="G3404">
            <v>0</v>
          </cell>
          <cell r="H3404">
            <v>0</v>
          </cell>
          <cell r="I3404">
            <v>0</v>
          </cell>
          <cell r="J3404">
            <v>0</v>
          </cell>
        </row>
        <row r="3405">
          <cell r="B3405" t="str">
            <v>8.1.07.01.12</v>
          </cell>
          <cell r="C3405" t="str">
            <v>Beban Penyisihan Piutang Pajak Air Tanah</v>
          </cell>
          <cell r="D3405">
            <v>1470000</v>
          </cell>
          <cell r="F3405">
            <v>0</v>
          </cell>
          <cell r="G3405">
            <v>0</v>
          </cell>
          <cell r="H3405">
            <v>0</v>
          </cell>
          <cell r="I3405">
            <v>0</v>
          </cell>
          <cell r="J3405">
            <v>0</v>
          </cell>
        </row>
        <row r="3406">
          <cell r="B3406" t="str">
            <v>8.1.07.01.13</v>
          </cell>
          <cell r="C3406" t="str">
            <v>Beban Penyisihan Piutang Pajak Sarang Burung Walet</v>
          </cell>
          <cell r="F3406">
            <v>0</v>
          </cell>
          <cell r="G3406">
            <v>0</v>
          </cell>
          <cell r="H3406">
            <v>0</v>
          </cell>
          <cell r="I3406">
            <v>0</v>
          </cell>
          <cell r="J3406">
            <v>0</v>
          </cell>
        </row>
        <row r="3407">
          <cell r="B3407" t="str">
            <v>8.1.07.01.14</v>
          </cell>
          <cell r="C3407" t="str">
            <v>Beban Penyisihan Piutang Pajak Mineral Bukan Logam dan Batuan</v>
          </cell>
          <cell r="D3407">
            <v>12190.01</v>
          </cell>
          <cell r="E3407">
            <v>7163906.7999999998</v>
          </cell>
          <cell r="F3407">
            <v>0</v>
          </cell>
          <cell r="G3407">
            <v>0</v>
          </cell>
          <cell r="H3407">
            <v>0</v>
          </cell>
          <cell r="I3407">
            <v>0</v>
          </cell>
          <cell r="J3407">
            <v>7163906.7999999998</v>
          </cell>
        </row>
        <row r="3408">
          <cell r="B3408" t="str">
            <v>8.1.07.01.15</v>
          </cell>
          <cell r="C3408" t="str">
            <v>Beban Penyisihan Piutang Pajak Bumi dan Bangunan Pedesaan dan Perkotaan (PBBP2)</v>
          </cell>
          <cell r="D3408">
            <v>5199627037.9399996</v>
          </cell>
          <cell r="E3408">
            <v>3846190071.6799998</v>
          </cell>
          <cell r="F3408">
            <v>0</v>
          </cell>
          <cell r="G3408">
            <v>0</v>
          </cell>
          <cell r="H3408">
            <v>0</v>
          </cell>
          <cell r="I3408">
            <v>0</v>
          </cell>
          <cell r="J3408">
            <v>3846190071.6799998</v>
          </cell>
        </row>
        <row r="3409">
          <cell r="B3409" t="str">
            <v>8.1.07.01.16</v>
          </cell>
          <cell r="C3409" t="str">
            <v>Beban Penyisihan Piutang Bea Perolehan Hak Atas Tanah dan Bangunan (BPHTB)</v>
          </cell>
          <cell r="F3409">
            <v>0</v>
          </cell>
          <cell r="G3409">
            <v>0</v>
          </cell>
          <cell r="H3409">
            <v>0</v>
          </cell>
          <cell r="I3409">
            <v>0</v>
          </cell>
          <cell r="J3409">
            <v>0</v>
          </cell>
        </row>
        <row r="3410">
          <cell r="B3410" t="str">
            <v>8.1.07.01.17</v>
          </cell>
          <cell r="C3410" t="str">
            <v>Beban Penyisihan Piutang Pajak Alat Berat</v>
          </cell>
          <cell r="F3410">
            <v>0</v>
          </cell>
          <cell r="G3410">
            <v>0</v>
          </cell>
          <cell r="H3410">
            <v>0</v>
          </cell>
          <cell r="I3410">
            <v>0</v>
          </cell>
          <cell r="J3410">
            <v>0</v>
          </cell>
        </row>
        <row r="3411">
          <cell r="B3411" t="str">
            <v>8.1.07.01.18</v>
          </cell>
          <cell r="C3411" t="str">
            <v>Beban Penyisihan Piutang Opsen Pajak Mineral Bukan Logam dan Batuan (MBLB)</v>
          </cell>
          <cell r="F3411">
            <v>0</v>
          </cell>
          <cell r="G3411">
            <v>0</v>
          </cell>
          <cell r="H3411">
            <v>0</v>
          </cell>
          <cell r="I3411">
            <v>0</v>
          </cell>
          <cell r="J3411">
            <v>0</v>
          </cell>
        </row>
        <row r="3412">
          <cell r="B3412" t="str">
            <v>8.1.07.01.19</v>
          </cell>
          <cell r="C3412" t="str">
            <v>Beban Penyisihan Piutang Pajak Barang dan Jasa Tertentu (PBJT)</v>
          </cell>
          <cell r="F3412">
            <v>0</v>
          </cell>
          <cell r="G3412">
            <v>7163946.7699999996</v>
          </cell>
          <cell r="H3412">
            <v>0</v>
          </cell>
          <cell r="I3412">
            <v>0</v>
          </cell>
          <cell r="J3412">
            <v>-7163946.7699999996</v>
          </cell>
        </row>
        <row r="3413">
          <cell r="B3413" t="str">
            <v>8.1.07.01.20</v>
          </cell>
          <cell r="C3413" t="str">
            <v>Beban Penyisihan Piutang Opsen Pajak Kendaraan Bermotor (PKB)</v>
          </cell>
          <cell r="F3413">
            <v>0</v>
          </cell>
          <cell r="G3413">
            <v>0</v>
          </cell>
          <cell r="H3413">
            <v>0</v>
          </cell>
          <cell r="I3413">
            <v>0</v>
          </cell>
          <cell r="J3413">
            <v>0</v>
          </cell>
        </row>
        <row r="3414">
          <cell r="B3414" t="str">
            <v>8.1.07.01.21</v>
          </cell>
          <cell r="C3414" t="str">
            <v>Beban Penyisihan Piutang Opsen Bea Balik Nama Kendaraan Bermotor (BBNKB)</v>
          </cell>
          <cell r="F3414">
            <v>0</v>
          </cell>
          <cell r="G3414">
            <v>0</v>
          </cell>
          <cell r="H3414">
            <v>0</v>
          </cell>
          <cell r="I3414">
            <v>0</v>
          </cell>
          <cell r="J3414">
            <v>0</v>
          </cell>
        </row>
        <row r="3415">
          <cell r="B3415" t="str">
            <v>8.1.07.02</v>
          </cell>
          <cell r="C3415" t="str">
            <v>Beban Penyisihan Piutang Retribusi Daerah</v>
          </cell>
          <cell r="D3415">
            <v>277648122.5</v>
          </cell>
          <cell r="E3415">
            <v>661308258.5</v>
          </cell>
          <cell r="J3415">
            <v>589471258.5</v>
          </cell>
        </row>
        <row r="3416">
          <cell r="B3416" t="str">
            <v>8.1.07.02.01</v>
          </cell>
          <cell r="C3416" t="str">
            <v>Beban Penyisihan Piutang Retribusi Jasa Umum</v>
          </cell>
          <cell r="D3416">
            <v>277648122.5</v>
          </cell>
          <cell r="E3416">
            <v>368808258.5</v>
          </cell>
          <cell r="F3416">
            <v>0</v>
          </cell>
          <cell r="G3416">
            <v>71837000</v>
          </cell>
          <cell r="H3416">
            <v>0</v>
          </cell>
          <cell r="I3416">
            <v>0</v>
          </cell>
          <cell r="J3416">
            <v>296971258.5</v>
          </cell>
        </row>
        <row r="3417">
          <cell r="B3417" t="str">
            <v>8.1.07.02.02</v>
          </cell>
          <cell r="C3417" t="str">
            <v>Beban Penyisihan Piutang Retribusi Jasa Usaha</v>
          </cell>
          <cell r="E3417">
            <v>292500000</v>
          </cell>
          <cell r="F3417">
            <v>0</v>
          </cell>
          <cell r="G3417">
            <v>0</v>
          </cell>
          <cell r="H3417">
            <v>0</v>
          </cell>
          <cell r="I3417">
            <v>0</v>
          </cell>
          <cell r="J3417">
            <v>292500000</v>
          </cell>
        </row>
        <row r="3418">
          <cell r="B3418" t="str">
            <v>8.1.07.02.03</v>
          </cell>
          <cell r="C3418" t="str">
            <v>Beban Penyisihan Piutang Retribusi Perizinan Tertentu</v>
          </cell>
          <cell r="F3418">
            <v>0</v>
          </cell>
          <cell r="G3418">
            <v>0</v>
          </cell>
          <cell r="H3418">
            <v>0</v>
          </cell>
          <cell r="I3418">
            <v>0</v>
          </cell>
          <cell r="J3418">
            <v>0</v>
          </cell>
        </row>
        <row r="3419">
          <cell r="B3419" t="str">
            <v>8.1.07.03</v>
          </cell>
          <cell r="C3419" t="str">
            <v>Beban Penyisihan Piutang Hasil Pengelolaan Kekayaan Daerah yang Dipisahkan</v>
          </cell>
          <cell r="D3419">
            <v>0</v>
          </cell>
          <cell r="E3419">
            <v>0</v>
          </cell>
          <cell r="J3419">
            <v>0</v>
          </cell>
        </row>
        <row r="3420">
          <cell r="B3420" t="str">
            <v>8.1.07.03.01</v>
          </cell>
          <cell r="C3420" t="str">
            <v>Beban Penyisihan Piutang Bagian Laba yang Dibagikan kepada Pemerintah Daerah (Dividen) atas Penyertaan Modal pada BUMN</v>
          </cell>
          <cell r="F3420">
            <v>0</v>
          </cell>
          <cell r="G3420">
            <v>0</v>
          </cell>
          <cell r="H3420">
            <v>0</v>
          </cell>
          <cell r="I3420">
            <v>0</v>
          </cell>
          <cell r="J3420">
            <v>0</v>
          </cell>
        </row>
        <row r="3421">
          <cell r="B3421" t="str">
            <v>8.1.07.03.02</v>
          </cell>
          <cell r="C3421" t="str">
            <v>Beban Penyisihan Piutang Bagian Laba yang Dibagikan kepada Pemerintah Daerah (Dividen) atas Penyertaan Modal pada BUMD</v>
          </cell>
          <cell r="F3421">
            <v>0</v>
          </cell>
          <cell r="G3421">
            <v>0</v>
          </cell>
          <cell r="H3421">
            <v>0</v>
          </cell>
          <cell r="I3421">
            <v>0</v>
          </cell>
          <cell r="J3421">
            <v>0</v>
          </cell>
        </row>
        <row r="3422">
          <cell r="B3422" t="str">
            <v>8.1.07.03.03</v>
          </cell>
          <cell r="C3422" t="str">
            <v>Beban Penyisihan Piutang Bagian Laba yang Dibagikan kepada Pemerintah Daerah (Dividen) atas Penyertaan Modal pada Perusahaan Swasta</v>
          </cell>
          <cell r="F3422">
            <v>0</v>
          </cell>
          <cell r="G3422">
            <v>0</v>
          </cell>
          <cell r="H3422">
            <v>0</v>
          </cell>
          <cell r="I3422">
            <v>0</v>
          </cell>
          <cell r="J3422">
            <v>0</v>
          </cell>
        </row>
        <row r="3423">
          <cell r="B3423" t="str">
            <v>8.1.07.04</v>
          </cell>
          <cell r="C3423" t="str">
            <v>Beban Penyisihan Piutang Lain-Lain PAD yang Sah</v>
          </cell>
          <cell r="D3423">
            <v>72854545</v>
          </cell>
          <cell r="E3423">
            <v>0</v>
          </cell>
          <cell r="J3423">
            <v>0</v>
          </cell>
        </row>
        <row r="3424">
          <cell r="B3424" t="str">
            <v>8.1.07.04.01</v>
          </cell>
          <cell r="C3424" t="str">
            <v>Beban Penyisihan Piutang Hasil Penjualan BMD yang Tidak Dipisahkan,</v>
          </cell>
          <cell r="F3424">
            <v>0</v>
          </cell>
          <cell r="G3424">
            <v>0</v>
          </cell>
          <cell r="H3424">
            <v>0</v>
          </cell>
          <cell r="I3424">
            <v>0</v>
          </cell>
          <cell r="J3424">
            <v>0</v>
          </cell>
        </row>
        <row r="3425">
          <cell r="B3425" t="str">
            <v>8.1.07.04.02</v>
          </cell>
          <cell r="C3425" t="str">
            <v>Beban Penyisihan Piutang Hasil Selisih Lebih Tukar Menukar BMD yang Tidak Dipisahkan</v>
          </cell>
          <cell r="F3425">
            <v>0</v>
          </cell>
          <cell r="G3425">
            <v>0</v>
          </cell>
          <cell r="H3425">
            <v>0</v>
          </cell>
          <cell r="I3425">
            <v>0</v>
          </cell>
          <cell r="J3425">
            <v>0</v>
          </cell>
        </row>
        <row r="3426">
          <cell r="B3426" t="str">
            <v>8.1.07.04.03</v>
          </cell>
          <cell r="C3426" t="str">
            <v>Beban Penyisihan Piutang Hasil Pemanfaatan BMD yang Tidak Dipisahkan</v>
          </cell>
          <cell r="D3426">
            <v>67500000</v>
          </cell>
          <cell r="F3426">
            <v>0</v>
          </cell>
          <cell r="G3426">
            <v>0</v>
          </cell>
          <cell r="H3426">
            <v>0</v>
          </cell>
          <cell r="I3426">
            <v>0</v>
          </cell>
          <cell r="J3426">
            <v>0</v>
          </cell>
        </row>
        <row r="3427">
          <cell r="B3427" t="str">
            <v>8.1.07.04.04</v>
          </cell>
          <cell r="C3427" t="str">
            <v>Beban Penyisihan Piutang Hasil Kerja Sama Daerah</v>
          </cell>
          <cell r="F3427">
            <v>0</v>
          </cell>
          <cell r="G3427">
            <v>0</v>
          </cell>
          <cell r="H3427">
            <v>0</v>
          </cell>
          <cell r="I3427">
            <v>0</v>
          </cell>
          <cell r="J3427">
            <v>0</v>
          </cell>
        </row>
        <row r="3428">
          <cell r="B3428" t="str">
            <v>8.1.07.04.05</v>
          </cell>
          <cell r="C3428" t="str">
            <v>Beban Penyisihan Piutang Jasa Giro</v>
          </cell>
          <cell r="F3428">
            <v>0</v>
          </cell>
          <cell r="G3428">
            <v>0</v>
          </cell>
          <cell r="H3428">
            <v>0</v>
          </cell>
          <cell r="I3428">
            <v>0</v>
          </cell>
          <cell r="J3428">
            <v>0</v>
          </cell>
        </row>
        <row r="3429">
          <cell r="B3429" t="str">
            <v>8.1.07.04.06</v>
          </cell>
          <cell r="C3429" t="str">
            <v>Beban Penyisihan Piutang Hasil Pengelolaan Dana Bergulir</v>
          </cell>
          <cell r="F3429">
            <v>0</v>
          </cell>
          <cell r="G3429">
            <v>0</v>
          </cell>
          <cell r="H3429">
            <v>0</v>
          </cell>
          <cell r="I3429">
            <v>0</v>
          </cell>
          <cell r="J3429">
            <v>0</v>
          </cell>
        </row>
        <row r="3430">
          <cell r="B3430" t="str">
            <v>8.1.07.04.07</v>
          </cell>
          <cell r="C3430" t="str">
            <v>Beban Penyisihan Piutang Pendapatan Bunga</v>
          </cell>
          <cell r="F3430">
            <v>0</v>
          </cell>
          <cell r="G3430">
            <v>0</v>
          </cell>
          <cell r="H3430">
            <v>0</v>
          </cell>
          <cell r="I3430">
            <v>0</v>
          </cell>
          <cell r="J3430">
            <v>0</v>
          </cell>
        </row>
        <row r="3431">
          <cell r="B3431" t="str">
            <v>8.1.07.04.08</v>
          </cell>
          <cell r="C3431" t="str">
            <v>Beban Penyisihan Piutang Penerimaan atas Tuntutan Ganti Kerugian Keuangan Daerah</v>
          </cell>
          <cell r="F3431">
            <v>0</v>
          </cell>
          <cell r="G3431">
            <v>0</v>
          </cell>
          <cell r="H3431">
            <v>0</v>
          </cell>
          <cell r="I3431">
            <v>0</v>
          </cell>
          <cell r="J3431">
            <v>0</v>
          </cell>
        </row>
        <row r="3432">
          <cell r="B3432" t="str">
            <v>8.1.07.04.09</v>
          </cell>
          <cell r="C3432" t="str">
            <v>Beban Penyisihan Piutang Penerimaan Komisi, Potongan, atau Bentuk Lain</v>
          </cell>
          <cell r="F3432">
            <v>0</v>
          </cell>
          <cell r="G3432">
            <v>0</v>
          </cell>
          <cell r="H3432">
            <v>0</v>
          </cell>
          <cell r="I3432">
            <v>0</v>
          </cell>
          <cell r="J3432">
            <v>0</v>
          </cell>
        </row>
        <row r="3433">
          <cell r="B3433" t="str">
            <v>8.1.07.04.10</v>
          </cell>
          <cell r="C3433" t="str">
            <v>Beban Penyisihan Piutang Penerimaan Keuntungan dari Selisih Nilai Tukar Rupiah Terhadap Mata Uang Asing</v>
          </cell>
          <cell r="F3433">
            <v>0</v>
          </cell>
          <cell r="G3433">
            <v>0</v>
          </cell>
          <cell r="H3433">
            <v>0</v>
          </cell>
          <cell r="I3433">
            <v>0</v>
          </cell>
          <cell r="J3433">
            <v>0</v>
          </cell>
        </row>
        <row r="3434">
          <cell r="B3434" t="str">
            <v>8.1.07.04.11</v>
          </cell>
          <cell r="C3434" t="str">
            <v>Beban Penyisihan Piutang Pendapatan Denda atas Keterlambatan Pelaksanaan Pekerjaan</v>
          </cell>
          <cell r="F3434">
            <v>0</v>
          </cell>
          <cell r="G3434">
            <v>0</v>
          </cell>
          <cell r="H3434">
            <v>0</v>
          </cell>
          <cell r="I3434">
            <v>0</v>
          </cell>
          <cell r="J3434">
            <v>0</v>
          </cell>
        </row>
        <row r="3435">
          <cell r="B3435" t="str">
            <v>8.1.07.04.12</v>
          </cell>
          <cell r="C3435" t="str">
            <v>Beban Penyisihan Piutang Pendapatan Denda Pajak Daerah</v>
          </cell>
          <cell r="F3435">
            <v>0</v>
          </cell>
          <cell r="G3435">
            <v>0</v>
          </cell>
          <cell r="H3435">
            <v>0</v>
          </cell>
          <cell r="I3435">
            <v>0</v>
          </cell>
          <cell r="J3435">
            <v>0</v>
          </cell>
        </row>
        <row r="3436">
          <cell r="B3436" t="str">
            <v>8.1.07.04.13</v>
          </cell>
          <cell r="C3436" t="str">
            <v>Beban Penyisihan Piutang Pendapatan Denda Retribusi Daerah</v>
          </cell>
          <cell r="F3436">
            <v>0</v>
          </cell>
          <cell r="G3436">
            <v>0</v>
          </cell>
          <cell r="H3436">
            <v>0</v>
          </cell>
          <cell r="I3436">
            <v>0</v>
          </cell>
          <cell r="J3436">
            <v>0</v>
          </cell>
        </row>
        <row r="3437">
          <cell r="B3437" t="str">
            <v>8.1.07.04.14</v>
          </cell>
          <cell r="C3437" t="str">
            <v>Beban Penyisihan Piutang Pendapatan Hasil Eksekusi atas Jaminan</v>
          </cell>
          <cell r="F3437">
            <v>0</v>
          </cell>
          <cell r="G3437">
            <v>0</v>
          </cell>
          <cell r="H3437">
            <v>0</v>
          </cell>
          <cell r="I3437">
            <v>0</v>
          </cell>
          <cell r="J3437">
            <v>0</v>
          </cell>
        </row>
        <row r="3438">
          <cell r="B3438" t="str">
            <v>8.1.07.04.15</v>
          </cell>
          <cell r="C3438" t="str">
            <v>Beban Penyisihan Piutang Pendapatan dari Pengembalian</v>
          </cell>
          <cell r="F3438">
            <v>0</v>
          </cell>
          <cell r="G3438">
            <v>0</v>
          </cell>
          <cell r="H3438">
            <v>0</v>
          </cell>
          <cell r="I3438">
            <v>0</v>
          </cell>
          <cell r="J3438">
            <v>0</v>
          </cell>
        </row>
        <row r="3439">
          <cell r="B3439" t="str">
            <v>8.1.07.04.16</v>
          </cell>
          <cell r="C3439" t="str">
            <v>Beban Penyisihan Piutang Pendapatan BLUD</v>
          </cell>
          <cell r="D3439">
            <v>5354545</v>
          </cell>
          <cell r="F3439">
            <v>0</v>
          </cell>
          <cell r="G3439">
            <v>0</v>
          </cell>
          <cell r="H3439">
            <v>0</v>
          </cell>
          <cell r="I3439">
            <v>0</v>
          </cell>
          <cell r="J3439">
            <v>0</v>
          </cell>
        </row>
        <row r="3440">
          <cell r="B3440" t="str">
            <v>8.1.07.04.17</v>
          </cell>
          <cell r="C3440" t="str">
            <v>Beban Penyisihan Piutang Pendapatan Denda Pemanfaatan BMD yang Tidak Dipisahkan</v>
          </cell>
          <cell r="F3440">
            <v>0</v>
          </cell>
          <cell r="G3440">
            <v>0</v>
          </cell>
          <cell r="H3440">
            <v>0</v>
          </cell>
          <cell r="I3440">
            <v>0</v>
          </cell>
          <cell r="J3440">
            <v>0</v>
          </cell>
        </row>
        <row r="3441">
          <cell r="B3441" t="str">
            <v>8.1.07.04.18</v>
          </cell>
          <cell r="C3441" t="str">
            <v>Beban Penyisihan Piutang Pendapatan Dana Kapitasi Jaminan Kesehatan Nasional (JKN) pada Fasilitas Kesehatan Tingkat Pertama (FKTP)</v>
          </cell>
          <cell r="F3441">
            <v>0</v>
          </cell>
          <cell r="G3441">
            <v>0</v>
          </cell>
          <cell r="H3441">
            <v>0</v>
          </cell>
          <cell r="I3441">
            <v>0</v>
          </cell>
          <cell r="J3441">
            <v>0</v>
          </cell>
        </row>
        <row r="3442">
          <cell r="B3442" t="str">
            <v>8.1.07.04.19</v>
          </cell>
          <cell r="C3442" t="str">
            <v>Beban Penyisihan Piutang Pendapatan Hasil Pengelolaan Dana Bergulir</v>
          </cell>
          <cell r="F3442">
            <v>0</v>
          </cell>
          <cell r="G3442">
            <v>0</v>
          </cell>
          <cell r="H3442">
            <v>0</v>
          </cell>
          <cell r="I3442">
            <v>0</v>
          </cell>
          <cell r="J3442">
            <v>0</v>
          </cell>
        </row>
        <row r="3443">
          <cell r="B3443" t="str">
            <v>8.1.07.04.20</v>
          </cell>
          <cell r="C3443" t="str">
            <v>Beban Penyisihan Piutang Pendapatan Berdasarkan Putusan Pengadilan (Inkracht)</v>
          </cell>
          <cell r="F3443">
            <v>0</v>
          </cell>
          <cell r="G3443">
            <v>0</v>
          </cell>
          <cell r="H3443">
            <v>0</v>
          </cell>
          <cell r="I3443">
            <v>0</v>
          </cell>
          <cell r="J3443">
            <v>0</v>
          </cell>
        </row>
        <row r="3444">
          <cell r="B3444" t="str">
            <v>8.1.07.04.21</v>
          </cell>
          <cell r="C3444" t="str">
            <v>Beban Penyisihan Piutang Pendapatan Denda atas Pelanggaran Peraturan Daerah</v>
          </cell>
          <cell r="F3444">
            <v>0</v>
          </cell>
          <cell r="G3444">
            <v>0</v>
          </cell>
          <cell r="H3444">
            <v>0</v>
          </cell>
          <cell r="I3444">
            <v>0</v>
          </cell>
          <cell r="J3444">
            <v>0</v>
          </cell>
        </row>
        <row r="3445">
          <cell r="B3445" t="str">
            <v>8.1.07.04.22</v>
          </cell>
          <cell r="C3445" t="str">
            <v>Beban Penyisihan Piutang Pendapatan Zakat, Infaq, Shadaqah, dan Wakaf</v>
          </cell>
          <cell r="F3445">
            <v>0</v>
          </cell>
          <cell r="G3445">
            <v>0</v>
          </cell>
          <cell r="H3445">
            <v>0</v>
          </cell>
          <cell r="I3445">
            <v>0</v>
          </cell>
          <cell r="J3445">
            <v>0</v>
          </cell>
        </row>
        <row r="3446">
          <cell r="B3446" t="str">
            <v>8.1.07.04.23</v>
          </cell>
          <cell r="C3446" t="str">
            <v>Beban Penyisihan Piutang Pendapatan Hasil Pelaksanaan Perjanjian/Kontrak</v>
          </cell>
          <cell r="F3446">
            <v>0</v>
          </cell>
          <cell r="G3446">
            <v>0</v>
          </cell>
          <cell r="H3446">
            <v>0</v>
          </cell>
          <cell r="I3446">
            <v>0</v>
          </cell>
          <cell r="J3446">
            <v>0</v>
          </cell>
        </row>
        <row r="3447">
          <cell r="B3447" t="str">
            <v>8.1.07.04.24</v>
          </cell>
          <cell r="C3447" t="str">
            <v>Beban Penyisihan Piutang Pungutan bagi Wisatawan Asing</v>
          </cell>
          <cell r="F3447">
            <v>0</v>
          </cell>
          <cell r="G3447">
            <v>0</v>
          </cell>
          <cell r="H3447">
            <v>0</v>
          </cell>
          <cell r="I3447">
            <v>0</v>
          </cell>
          <cell r="J3447">
            <v>0</v>
          </cell>
        </row>
        <row r="3448">
          <cell r="B3448" t="str">
            <v>8.1.07.04.25</v>
          </cell>
          <cell r="C3448" t="str">
            <v>Beban Penyisihan Piutang Hasil Pengelolaan Dana Abadi Daerah</v>
          </cell>
          <cell r="F3448">
            <v>0</v>
          </cell>
          <cell r="G3448">
            <v>0</v>
          </cell>
          <cell r="H3448">
            <v>0</v>
          </cell>
          <cell r="I3448">
            <v>0</v>
          </cell>
          <cell r="J3448">
            <v>0</v>
          </cell>
        </row>
        <row r="3449">
          <cell r="B3449" t="str">
            <v>8.1.07.04.26</v>
          </cell>
          <cell r="C3449" t="str">
            <v>Beban Penyisihan Piutang Hasil Pengelolaan Dana Cadangan</v>
          </cell>
          <cell r="F3449">
            <v>0</v>
          </cell>
          <cell r="G3449">
            <v>0</v>
          </cell>
          <cell r="H3449">
            <v>0</v>
          </cell>
          <cell r="I3449">
            <v>0</v>
          </cell>
          <cell r="J3449">
            <v>0</v>
          </cell>
        </row>
        <row r="3450">
          <cell r="B3450" t="str">
            <v>8.1.07.04.27</v>
          </cell>
          <cell r="C3450" t="str">
            <v>Beban Penyisihan Piutang Pendapatan atas Sanksi Administrasi Pajak Daerah</v>
          </cell>
          <cell r="F3450">
            <v>0</v>
          </cell>
          <cell r="G3450">
            <v>0</v>
          </cell>
          <cell r="H3450">
            <v>0</v>
          </cell>
          <cell r="I3450">
            <v>0</v>
          </cell>
          <cell r="J3450">
            <v>0</v>
          </cell>
        </row>
        <row r="3451">
          <cell r="B3451" t="str">
            <v>8.1.07.04.28</v>
          </cell>
          <cell r="C3451" t="str">
            <v>Beban Penyisihan Piutang Pendapatan atas Sanksi Administrasi Retribusi Daerah</v>
          </cell>
          <cell r="F3451">
            <v>0</v>
          </cell>
          <cell r="G3451">
            <v>0</v>
          </cell>
          <cell r="H3451">
            <v>0</v>
          </cell>
          <cell r="I3451">
            <v>0</v>
          </cell>
          <cell r="J3451">
            <v>0</v>
          </cell>
        </row>
        <row r="3452">
          <cell r="B3452" t="str">
            <v>8.1.07.05</v>
          </cell>
          <cell r="C3452" t="str">
            <v>Beban Penyisihan Piutang Transfer Pemerintah Pusat</v>
          </cell>
          <cell r="D3452">
            <v>0</v>
          </cell>
          <cell r="E3452">
            <v>0</v>
          </cell>
          <cell r="J3452">
            <v>0</v>
          </cell>
        </row>
        <row r="3453">
          <cell r="B3453" t="str">
            <v>8.1.07.05.01</v>
          </cell>
          <cell r="C3453" t="str">
            <v>Beban Penyisihan Piutang Dana Perimbangan</v>
          </cell>
          <cell r="F3453">
            <v>0</v>
          </cell>
          <cell r="G3453">
            <v>0</v>
          </cell>
          <cell r="H3453">
            <v>0</v>
          </cell>
          <cell r="I3453">
            <v>0</v>
          </cell>
          <cell r="J3453">
            <v>0</v>
          </cell>
        </row>
        <row r="3454">
          <cell r="B3454" t="str">
            <v>8.1.07.05.02</v>
          </cell>
          <cell r="C3454" t="str">
            <v>Beban Penyisihan Piutang Dana Insentif Daerah</v>
          </cell>
          <cell r="F3454">
            <v>0</v>
          </cell>
          <cell r="G3454">
            <v>0</v>
          </cell>
          <cell r="H3454">
            <v>0</v>
          </cell>
          <cell r="I3454">
            <v>0</v>
          </cell>
          <cell r="J3454">
            <v>0</v>
          </cell>
        </row>
        <row r="3455">
          <cell r="B3455" t="str">
            <v>8.1.07.05.03</v>
          </cell>
          <cell r="C3455" t="str">
            <v>Beban Penyisihan Piutang Dana Otonomi Khusus dan Dana Tambahan Infrastruktur</v>
          </cell>
          <cell r="F3455">
            <v>0</v>
          </cell>
          <cell r="G3455">
            <v>0</v>
          </cell>
          <cell r="H3455">
            <v>0</v>
          </cell>
          <cell r="I3455">
            <v>0</v>
          </cell>
          <cell r="J3455">
            <v>0</v>
          </cell>
        </row>
        <row r="3456">
          <cell r="B3456" t="str">
            <v>8.1.07.05.04</v>
          </cell>
          <cell r="C3456" t="str">
            <v>Beban Penyisihan Piutang Dana Keistimewaan</v>
          </cell>
          <cell r="F3456">
            <v>0</v>
          </cell>
          <cell r="G3456">
            <v>0</v>
          </cell>
          <cell r="H3456">
            <v>0</v>
          </cell>
          <cell r="I3456">
            <v>0</v>
          </cell>
          <cell r="J3456">
            <v>0</v>
          </cell>
        </row>
        <row r="3457">
          <cell r="B3457" t="str">
            <v>8.1.07.05.05</v>
          </cell>
          <cell r="C3457" t="str">
            <v>Beban Penyisihan Piutang Dana Desa</v>
          </cell>
          <cell r="F3457">
            <v>0</v>
          </cell>
          <cell r="G3457">
            <v>0</v>
          </cell>
          <cell r="H3457">
            <v>0</v>
          </cell>
          <cell r="I3457">
            <v>0</v>
          </cell>
          <cell r="J3457">
            <v>0</v>
          </cell>
        </row>
        <row r="3458">
          <cell r="B3458" t="str">
            <v>8.1.07.05.06</v>
          </cell>
          <cell r="C3458" t="str">
            <v>Beban Penyisihan Piutang Insentif Fiskal</v>
          </cell>
          <cell r="F3458">
            <v>0</v>
          </cell>
          <cell r="G3458">
            <v>0</v>
          </cell>
          <cell r="H3458">
            <v>0</v>
          </cell>
          <cell r="I3458">
            <v>0</v>
          </cell>
          <cell r="J3458">
            <v>0</v>
          </cell>
        </row>
        <row r="3459">
          <cell r="B3459" t="str">
            <v>8.1.07.05.07</v>
          </cell>
          <cell r="C3459" t="str">
            <v>Beban Penyisihan Piutang Dana Bagi Hasil (DBH)</v>
          </cell>
          <cell r="F3459">
            <v>0</v>
          </cell>
          <cell r="G3459">
            <v>0</v>
          </cell>
          <cell r="H3459">
            <v>0</v>
          </cell>
          <cell r="I3459">
            <v>0</v>
          </cell>
          <cell r="J3459">
            <v>0</v>
          </cell>
        </row>
        <row r="3460">
          <cell r="B3460" t="str">
            <v>8.1.07.05.08</v>
          </cell>
          <cell r="C3460" t="str">
            <v>Beban Penyisihan Piutang Dana Alokasi Umum (DAU)</v>
          </cell>
          <cell r="F3460">
            <v>0</v>
          </cell>
          <cell r="G3460">
            <v>0</v>
          </cell>
          <cell r="H3460">
            <v>0</v>
          </cell>
          <cell r="I3460">
            <v>0</v>
          </cell>
          <cell r="J3460">
            <v>0</v>
          </cell>
        </row>
        <row r="3461">
          <cell r="B3461" t="str">
            <v>8.1.07.05.09</v>
          </cell>
          <cell r="C3461" t="str">
            <v>Beban Penyisihan Piutang Dana Alokasi Khusus (DAK)</v>
          </cell>
          <cell r="F3461">
            <v>0</v>
          </cell>
          <cell r="G3461">
            <v>0</v>
          </cell>
          <cell r="H3461">
            <v>0</v>
          </cell>
          <cell r="I3461">
            <v>0</v>
          </cell>
          <cell r="J3461">
            <v>0</v>
          </cell>
        </row>
        <row r="3462">
          <cell r="B3462" t="str">
            <v>8.1.07.06</v>
          </cell>
          <cell r="C3462" t="str">
            <v>Beban Penyisihan Piutang Transfer Antar Daerah</v>
          </cell>
          <cell r="D3462">
            <v>0</v>
          </cell>
          <cell r="E3462">
            <v>0</v>
          </cell>
          <cell r="J3462">
            <v>0</v>
          </cell>
        </row>
        <row r="3463">
          <cell r="B3463" t="str">
            <v>8.1.07.06.01</v>
          </cell>
          <cell r="C3463" t="str">
            <v>Beban Penyisihan Piutang Bagi Hasil</v>
          </cell>
          <cell r="F3463">
            <v>0</v>
          </cell>
          <cell r="G3463">
            <v>0</v>
          </cell>
          <cell r="H3463">
            <v>0</v>
          </cell>
          <cell r="I3463">
            <v>0</v>
          </cell>
          <cell r="J3463">
            <v>0</v>
          </cell>
        </row>
        <row r="3464">
          <cell r="B3464" t="str">
            <v>8.1.07.06.02</v>
          </cell>
          <cell r="C3464" t="str">
            <v>Beban Penyisihan Piutang Bantuan Keuangan</v>
          </cell>
          <cell r="F3464">
            <v>0</v>
          </cell>
          <cell r="G3464">
            <v>0</v>
          </cell>
          <cell r="H3464">
            <v>0</v>
          </cell>
          <cell r="I3464">
            <v>0</v>
          </cell>
          <cell r="J3464">
            <v>0</v>
          </cell>
        </row>
        <row r="3465">
          <cell r="B3465" t="str">
            <v>8.1.07.07</v>
          </cell>
          <cell r="C3465" t="str">
            <v>Beban Penyisihan Piutang Lainnya</v>
          </cell>
          <cell r="D3465">
            <v>0</v>
          </cell>
          <cell r="E3465">
            <v>0</v>
          </cell>
          <cell r="J3465">
            <v>0</v>
          </cell>
        </row>
        <row r="3466">
          <cell r="B3466" t="str">
            <v>8.1.07.07.01</v>
          </cell>
          <cell r="C3466" t="str">
            <v>Beban Penyisihan Bagian Lancar Tagihan Jangka Panjang</v>
          </cell>
          <cell r="F3466">
            <v>0</v>
          </cell>
          <cell r="G3466">
            <v>0</v>
          </cell>
          <cell r="H3466">
            <v>0</v>
          </cell>
          <cell r="I3466">
            <v>0</v>
          </cell>
          <cell r="J3466">
            <v>0</v>
          </cell>
        </row>
        <row r="3467">
          <cell r="B3467" t="str">
            <v>8.1.07.07.02</v>
          </cell>
          <cell r="C3467" t="str">
            <v>Beban Penyisihan Bagian Lancar Tagihan Pinjaman Jangka Panjang</v>
          </cell>
          <cell r="F3467">
            <v>0</v>
          </cell>
          <cell r="G3467">
            <v>0</v>
          </cell>
          <cell r="H3467">
            <v>0</v>
          </cell>
          <cell r="I3467">
            <v>0</v>
          </cell>
          <cell r="J3467">
            <v>0</v>
          </cell>
        </row>
        <row r="3468">
          <cell r="B3468" t="str">
            <v>8.1.07.07.03</v>
          </cell>
          <cell r="C3468" t="str">
            <v>Beban Penyisihan Bagian Lancar Tagihan Penjualan Angsuran</v>
          </cell>
          <cell r="F3468">
            <v>0</v>
          </cell>
          <cell r="G3468">
            <v>0</v>
          </cell>
          <cell r="H3468">
            <v>0</v>
          </cell>
          <cell r="I3468">
            <v>0</v>
          </cell>
          <cell r="J3468">
            <v>0</v>
          </cell>
        </row>
        <row r="3469">
          <cell r="B3469" t="str">
            <v>8.1.07.07.04</v>
          </cell>
          <cell r="C3469" t="str">
            <v>Beban Penyisihan Bagian Lancar Tuntutan Ganti Kerugian Daerah</v>
          </cell>
          <cell r="F3469">
            <v>0</v>
          </cell>
          <cell r="G3469">
            <v>0</v>
          </cell>
          <cell r="H3469">
            <v>0</v>
          </cell>
          <cell r="I3469">
            <v>0</v>
          </cell>
          <cell r="J3469">
            <v>0</v>
          </cell>
        </row>
        <row r="3470">
          <cell r="B3470" t="str">
            <v>8.1.07.07.05</v>
          </cell>
          <cell r="C3470" t="str">
            <v>Beban Penyisihan Uang Muka</v>
          </cell>
          <cell r="F3470">
            <v>0</v>
          </cell>
          <cell r="G3470">
            <v>0</v>
          </cell>
          <cell r="H3470">
            <v>0</v>
          </cell>
          <cell r="I3470">
            <v>0</v>
          </cell>
          <cell r="J3470">
            <v>0</v>
          </cell>
        </row>
        <row r="3471">
          <cell r="B3471" t="str">
            <v>8.1.07.07.06</v>
          </cell>
          <cell r="C3471" t="str">
            <v>Beban Penyisihan Dana Bergulir</v>
          </cell>
          <cell r="F3471">
            <v>0</v>
          </cell>
          <cell r="G3471">
            <v>0</v>
          </cell>
          <cell r="H3471">
            <v>0</v>
          </cell>
          <cell r="I3471">
            <v>0</v>
          </cell>
          <cell r="J3471">
            <v>0</v>
          </cell>
        </row>
        <row r="3473">
          <cell r="B3473" t="str">
            <v>8.1.08</v>
          </cell>
          <cell r="C3473" t="str">
            <v>Beban Penyusutan dan Amortisasi</v>
          </cell>
          <cell r="D3473">
            <v>200892708574.72998</v>
          </cell>
          <cell r="E3473">
            <v>220916271712.03</v>
          </cell>
          <cell r="J3473">
            <v>220781661304.35583</v>
          </cell>
        </row>
        <row r="3474">
          <cell r="B3474" t="str">
            <v>8.1.08.01</v>
          </cell>
          <cell r="C3474" t="str">
            <v>Beban Penyusutan Peralatan dan Mesin</v>
          </cell>
          <cell r="D3474">
            <v>72882964186.729996</v>
          </cell>
          <cell r="E3474">
            <v>67398510170.129997</v>
          </cell>
          <cell r="J3474">
            <v>67426376629.563095</v>
          </cell>
        </row>
        <row r="3475">
          <cell r="B3475" t="str">
            <v>8.1.08.01.01</v>
          </cell>
          <cell r="C3475" t="str">
            <v>Beban Penyusutan Alat Besar</v>
          </cell>
          <cell r="D3475">
            <v>814523994</v>
          </cell>
          <cell r="E3475">
            <v>1237755980.6800001</v>
          </cell>
          <cell r="F3475">
            <v>18293266.66</v>
          </cell>
          <cell r="G3475">
            <v>1023.4320000000007</v>
          </cell>
          <cell r="H3475">
            <v>0</v>
          </cell>
          <cell r="I3475">
            <v>0</v>
          </cell>
          <cell r="J3475">
            <v>1256048223.9080002</v>
          </cell>
        </row>
        <row r="3476">
          <cell r="B3476" t="str">
            <v>8.1.08.01.02</v>
          </cell>
          <cell r="C3476" t="str">
            <v>Beban Penyusutan Alat Angkutan</v>
          </cell>
          <cell r="D3476">
            <v>7620965467.9899998</v>
          </cell>
          <cell r="E3476">
            <v>8431138889.7799988</v>
          </cell>
          <cell r="F3476">
            <v>0</v>
          </cell>
          <cell r="G3476">
            <v>0</v>
          </cell>
          <cell r="H3476">
            <v>0</v>
          </cell>
          <cell r="I3476">
            <v>0</v>
          </cell>
          <cell r="J3476">
            <v>8431138889.7799988</v>
          </cell>
        </row>
        <row r="3477">
          <cell r="B3477" t="str">
            <v>8.1.08.01.03</v>
          </cell>
          <cell r="C3477" t="str">
            <v>Beban Penyusutan Alat Bengkel dan Alat Ukur</v>
          </cell>
          <cell r="D3477">
            <v>536187231</v>
          </cell>
          <cell r="E3477">
            <v>343391986.01000005</v>
          </cell>
          <cell r="F3477">
            <v>0</v>
          </cell>
          <cell r="G3477">
            <v>0</v>
          </cell>
          <cell r="H3477">
            <v>0</v>
          </cell>
          <cell r="I3477">
            <v>0</v>
          </cell>
          <cell r="J3477">
            <v>343391986.01000005</v>
          </cell>
        </row>
        <row r="3478">
          <cell r="B3478" t="str">
            <v>8.1.08.01.04</v>
          </cell>
          <cell r="C3478" t="str">
            <v>Beban Penyusutan Alat Pertanian</v>
          </cell>
          <cell r="D3478">
            <v>1139131175.02</v>
          </cell>
          <cell r="E3478">
            <v>981613106.89999998</v>
          </cell>
          <cell r="F3478">
            <v>0</v>
          </cell>
          <cell r="G3478">
            <v>0</v>
          </cell>
          <cell r="H3478">
            <v>0</v>
          </cell>
          <cell r="I3478">
            <v>0</v>
          </cell>
          <cell r="J3478">
            <v>981613106.89999998</v>
          </cell>
        </row>
        <row r="3479">
          <cell r="B3479" t="str">
            <v>8.1.08.01.05</v>
          </cell>
          <cell r="C3479" t="str">
            <v>Beban Penyusutan Alat Kantor dan Rumah Tangga</v>
          </cell>
          <cell r="D3479">
            <v>11375450345.93</v>
          </cell>
          <cell r="E3479">
            <v>12479752137.989956</v>
          </cell>
          <cell r="F3479">
            <v>0</v>
          </cell>
          <cell r="G3479">
            <v>775225.25002555526</v>
          </cell>
          <cell r="H3479">
            <v>0</v>
          </cell>
          <cell r="I3479">
            <v>0</v>
          </cell>
          <cell r="J3479">
            <v>12478976912.739931</v>
          </cell>
        </row>
        <row r="3480">
          <cell r="B3480" t="str">
            <v>8.1.08.01.06</v>
          </cell>
          <cell r="C3480" t="str">
            <v>Beban Penyusutan Alat Studio, Komunikasi, dan Pemancar</v>
          </cell>
          <cell r="D3480">
            <v>1126012552</v>
          </cell>
          <cell r="E3480">
            <v>1141560902.8499999</v>
          </cell>
          <cell r="F3480">
            <v>0</v>
          </cell>
          <cell r="G3480">
            <v>250712.5</v>
          </cell>
          <cell r="H3480">
            <v>0</v>
          </cell>
          <cell r="I3480">
            <v>0</v>
          </cell>
          <cell r="J3480">
            <v>1141310190.3499999</v>
          </cell>
        </row>
        <row r="3481">
          <cell r="B3481" t="str">
            <v>8.1.08.01.07</v>
          </cell>
          <cell r="C3481" t="str">
            <v>Beban Penyusutan Alat Kedokteran dan Kesehatan</v>
          </cell>
          <cell r="D3481">
            <v>31255951529</v>
          </cell>
          <cell r="E3481">
            <v>29090314399.619999</v>
          </cell>
          <cell r="F3481">
            <v>0</v>
          </cell>
          <cell r="G3481">
            <v>42066.666669999999</v>
          </cell>
          <cell r="H3481">
            <v>0</v>
          </cell>
          <cell r="I3481">
            <v>0</v>
          </cell>
          <cell r="J3481">
            <v>29090272332.953327</v>
          </cell>
        </row>
        <row r="3482">
          <cell r="B3482" t="str">
            <v>8.1.08.01.08</v>
          </cell>
          <cell r="C3482" t="str">
            <v>Beban Penyusutan Alat Laboratorium</v>
          </cell>
          <cell r="D3482">
            <v>2771543404.6800003</v>
          </cell>
          <cell r="E3482">
            <v>2526698368.3800006</v>
          </cell>
          <cell r="F3482">
            <v>0</v>
          </cell>
          <cell r="G3482">
            <v>238500</v>
          </cell>
          <cell r="H3482">
            <v>0</v>
          </cell>
          <cell r="I3482">
            <v>0</v>
          </cell>
          <cell r="J3482">
            <v>2526459868.3800006</v>
          </cell>
        </row>
        <row r="3483">
          <cell r="B3483" t="str">
            <v>8.1.08.01.09</v>
          </cell>
          <cell r="C3483" t="str">
            <v>Beban Penyusutan Alat Persenjataan</v>
          </cell>
          <cell r="D3483">
            <v>277597684</v>
          </cell>
          <cell r="E3483">
            <v>270688878.81999999</v>
          </cell>
          <cell r="F3483">
            <v>0</v>
          </cell>
          <cell r="G3483">
            <v>0</v>
          </cell>
          <cell r="H3483">
            <v>0</v>
          </cell>
          <cell r="I3483">
            <v>0</v>
          </cell>
          <cell r="J3483">
            <v>270688878.81999999</v>
          </cell>
        </row>
        <row r="3484">
          <cell r="B3484" t="str">
            <v>8.1.08.01.10</v>
          </cell>
          <cell r="C3484" t="str">
            <v>Beban Penyusutan Komputer</v>
          </cell>
          <cell r="D3484">
            <v>15274359351.109999</v>
          </cell>
          <cell r="E3484">
            <v>10243279839.800049</v>
          </cell>
          <cell r="F3484">
            <v>11043755</v>
          </cell>
          <cell r="G3484">
            <v>162486.11105666665</v>
          </cell>
          <cell r="H3484">
            <v>0</v>
          </cell>
          <cell r="I3484">
            <v>0</v>
          </cell>
          <cell r="J3484">
            <v>10254161108.688992</v>
          </cell>
        </row>
        <row r="3485">
          <cell r="B3485" t="str">
            <v>8.1.08.01.11</v>
          </cell>
          <cell r="C3485" t="str">
            <v>Beban Penyusutan Alat Eksplorasi</v>
          </cell>
          <cell r="F3485">
            <v>0</v>
          </cell>
          <cell r="G3485">
            <v>0</v>
          </cell>
          <cell r="H3485">
            <v>0</v>
          </cell>
          <cell r="I3485">
            <v>0</v>
          </cell>
          <cell r="J3485">
            <v>0</v>
          </cell>
        </row>
        <row r="3486">
          <cell r="B3486" t="str">
            <v>8.1.08.01.12</v>
          </cell>
          <cell r="C3486" t="str">
            <v>Beban Penyusutan Alat Pengeboran</v>
          </cell>
          <cell r="F3486">
            <v>0</v>
          </cell>
          <cell r="G3486">
            <v>0</v>
          </cell>
          <cell r="H3486">
            <v>0</v>
          </cell>
          <cell r="I3486">
            <v>0</v>
          </cell>
          <cell r="J3486">
            <v>0</v>
          </cell>
        </row>
        <row r="3487">
          <cell r="B3487" t="str">
            <v>8.1.08.01.13</v>
          </cell>
          <cell r="C3487" t="str">
            <v>Beban Penyusutan Alat Produksi, Pengolahan dan Pemurnian</v>
          </cell>
          <cell r="F3487">
            <v>0</v>
          </cell>
          <cell r="G3487">
            <v>0</v>
          </cell>
          <cell r="H3487">
            <v>0</v>
          </cell>
          <cell r="I3487">
            <v>0</v>
          </cell>
          <cell r="J3487">
            <v>0</v>
          </cell>
        </row>
        <row r="3488">
          <cell r="B3488" t="str">
            <v>8.1.08.01.14</v>
          </cell>
          <cell r="C3488" t="str">
            <v>Beban Penyusutan Alat Bantu Eksplorasi</v>
          </cell>
          <cell r="F3488">
            <v>0</v>
          </cell>
          <cell r="G3488">
            <v>0</v>
          </cell>
          <cell r="H3488">
            <v>0</v>
          </cell>
          <cell r="I3488">
            <v>0</v>
          </cell>
          <cell r="J3488">
            <v>0</v>
          </cell>
        </row>
        <row r="3489">
          <cell r="B3489" t="str">
            <v>8.1.08.01.15</v>
          </cell>
          <cell r="C3489" t="str">
            <v>Beban Penyusutan Alat Keselamatan Kerja</v>
          </cell>
          <cell r="D3489">
            <v>47261909</v>
          </cell>
          <cell r="E3489">
            <v>104454620.23999999</v>
          </cell>
          <cell r="F3489">
            <v>0</v>
          </cell>
          <cell r="G3489">
            <v>0</v>
          </cell>
          <cell r="H3489">
            <v>0</v>
          </cell>
          <cell r="I3489">
            <v>0</v>
          </cell>
          <cell r="J3489">
            <v>104454620.23999999</v>
          </cell>
        </row>
        <row r="3490">
          <cell r="B3490" t="str">
            <v>8.1.08.01.16</v>
          </cell>
          <cell r="C3490" t="str">
            <v>Beban Penyusutan Alat Peraga</v>
          </cell>
          <cell r="D3490">
            <v>811476</v>
          </cell>
          <cell r="E3490">
            <v>811476</v>
          </cell>
          <cell r="F3490">
            <v>0</v>
          </cell>
          <cell r="G3490">
            <v>548.26713999999993</v>
          </cell>
          <cell r="H3490">
            <v>0</v>
          </cell>
          <cell r="I3490">
            <v>0</v>
          </cell>
          <cell r="J3490">
            <v>810927.73285999999</v>
          </cell>
        </row>
        <row r="3491">
          <cell r="B3491" t="str">
            <v>8.1.08.01.17</v>
          </cell>
          <cell r="C3491" t="str">
            <v>Beban Penyusutan Peralatan Proses/Produksi</v>
          </cell>
          <cell r="D3491">
            <v>92208</v>
          </cell>
          <cell r="E3491">
            <v>92208</v>
          </cell>
          <cell r="F3491">
            <v>0</v>
          </cell>
          <cell r="G3491">
            <v>0</v>
          </cell>
          <cell r="H3491">
            <v>0</v>
          </cell>
          <cell r="I3491">
            <v>0</v>
          </cell>
          <cell r="J3491">
            <v>92208</v>
          </cell>
        </row>
        <row r="3492">
          <cell r="B3492" t="str">
            <v>8.1.08.01.18</v>
          </cell>
          <cell r="C3492" t="str">
            <v>Beban Penyusutan Rambu-Rambu</v>
          </cell>
          <cell r="D3492">
            <v>521633202</v>
          </cell>
          <cell r="E3492">
            <v>436137678.22000003</v>
          </cell>
          <cell r="F3492">
            <v>0</v>
          </cell>
          <cell r="G3492">
            <v>0</v>
          </cell>
          <cell r="H3492">
            <v>0</v>
          </cell>
          <cell r="I3492">
            <v>0</v>
          </cell>
          <cell r="J3492">
            <v>436137678.22000003</v>
          </cell>
        </row>
        <row r="3493">
          <cell r="B3493" t="str">
            <v>8.1.08.01.19</v>
          </cell>
          <cell r="C3493" t="str">
            <v>Beban Penyusutan Peralatan Olahraga</v>
          </cell>
          <cell r="D3493">
            <v>121442657</v>
          </cell>
          <cell r="E3493">
            <v>110819696.84</v>
          </cell>
          <cell r="F3493">
            <v>0</v>
          </cell>
          <cell r="G3493">
            <v>0</v>
          </cell>
          <cell r="H3493">
            <v>0</v>
          </cell>
          <cell r="I3493">
            <v>0</v>
          </cell>
          <cell r="J3493">
            <v>110819696.84</v>
          </cell>
        </row>
        <row r="3494">
          <cell r="B3494" t="str">
            <v>8.1.08.02</v>
          </cell>
          <cell r="C3494" t="str">
            <v>Beban Penyusutan Gedung dan Bangunan</v>
          </cell>
          <cell r="D3494">
            <v>29278430717</v>
          </cell>
          <cell r="E3494">
            <v>31405985633.749989</v>
          </cell>
          <cell r="J3494">
            <v>31332050744.193298</v>
          </cell>
        </row>
        <row r="3495">
          <cell r="B3495" t="str">
            <v>8.1.08.02.01</v>
          </cell>
          <cell r="C3495" t="str">
            <v>Beban Penyusutan Bangunan Gedung</v>
          </cell>
          <cell r="D3495">
            <v>28649610993</v>
          </cell>
          <cell r="E3495">
            <v>30403855434.339989</v>
          </cell>
          <cell r="F3495">
            <v>2494391.7000000002</v>
          </cell>
          <cell r="G3495">
            <v>75719031.256689996</v>
          </cell>
          <cell r="H3495">
            <v>0</v>
          </cell>
          <cell r="I3495">
            <v>0</v>
          </cell>
          <cell r="J3495">
            <v>30330630794.783298</v>
          </cell>
        </row>
        <row r="3496">
          <cell r="B3496" t="str">
            <v>8.1.08.02.02</v>
          </cell>
          <cell r="C3496" t="str">
            <v>Beban Penyusutan Monumen</v>
          </cell>
          <cell r="D3496">
            <v>81633012</v>
          </cell>
          <cell r="E3496">
            <v>81633012</v>
          </cell>
          <cell r="F3496">
            <v>0</v>
          </cell>
          <cell r="G3496">
            <v>0</v>
          </cell>
          <cell r="H3496">
            <v>0</v>
          </cell>
          <cell r="I3496">
            <v>0</v>
          </cell>
          <cell r="J3496">
            <v>81633012</v>
          </cell>
        </row>
        <row r="3497">
          <cell r="B3497" t="str">
            <v>8.1.08.02.03</v>
          </cell>
          <cell r="C3497" t="str">
            <v>Beban Penyusutan Bangunan Menara</v>
          </cell>
          <cell r="D3497">
            <v>6461076</v>
          </cell>
          <cell r="E3497">
            <v>6461076</v>
          </cell>
          <cell r="F3497">
            <v>0</v>
          </cell>
          <cell r="G3497">
            <v>0</v>
          </cell>
          <cell r="H3497">
            <v>0</v>
          </cell>
          <cell r="I3497">
            <v>0</v>
          </cell>
          <cell r="J3497">
            <v>6461076</v>
          </cell>
        </row>
        <row r="3498">
          <cell r="B3498" t="str">
            <v>8.1.08.02.04</v>
          </cell>
          <cell r="C3498" t="str">
            <v>Beban Penyusutan Tugu Titik Kontrol/Pasti</v>
          </cell>
          <cell r="D3498">
            <v>540725636</v>
          </cell>
          <cell r="E3498">
            <v>914036111.41000009</v>
          </cell>
          <cell r="F3498">
            <v>0</v>
          </cell>
          <cell r="G3498">
            <v>710250</v>
          </cell>
          <cell r="H3498">
            <v>0</v>
          </cell>
          <cell r="I3498">
            <v>0</v>
          </cell>
          <cell r="J3498">
            <v>913325861.41000009</v>
          </cell>
        </row>
        <row r="3499">
          <cell r="B3499" t="str">
            <v>8.1.08.03</v>
          </cell>
          <cell r="C3499" t="str">
            <v>Beban Penyusutan Jalan, Jaringan dan Irigasi</v>
          </cell>
          <cell r="D3499">
            <v>97734215860</v>
          </cell>
          <cell r="E3499">
            <v>120923219364.15001</v>
          </cell>
          <cell r="J3499">
            <v>120834677386.59943</v>
          </cell>
        </row>
        <row r="3500">
          <cell r="B3500" t="str">
            <v>8.1.08.03.01</v>
          </cell>
          <cell r="C3500" t="str">
            <v>Beban Penyusutan Jalan dan Jembatan</v>
          </cell>
          <cell r="D3500">
            <v>77392319578</v>
          </cell>
          <cell r="E3500">
            <v>71375074260.230011</v>
          </cell>
          <cell r="F3500">
            <v>2316666.6666799998</v>
          </cell>
          <cell r="G3500">
            <v>3705776.9516299898</v>
          </cell>
          <cell r="H3500">
            <v>0</v>
          </cell>
          <cell r="I3500">
            <v>0</v>
          </cell>
          <cell r="J3500">
            <v>71373685149.945068</v>
          </cell>
        </row>
        <row r="3501">
          <cell r="B3501" t="str">
            <v>8.1.08.03.02</v>
          </cell>
          <cell r="C3501" t="str">
            <v>Beban Penyusutan Bangunan Air</v>
          </cell>
          <cell r="D3501">
            <v>14526219609</v>
          </cell>
          <cell r="E3501">
            <v>28099321492.73</v>
          </cell>
          <cell r="F3501">
            <v>2583750</v>
          </cell>
          <cell r="G3501">
            <v>19705665</v>
          </cell>
          <cell r="H3501">
            <v>0</v>
          </cell>
          <cell r="I3501">
            <v>0</v>
          </cell>
          <cell r="J3501">
            <v>28082199577.73</v>
          </cell>
        </row>
        <row r="3502">
          <cell r="B3502" t="str">
            <v>8.1.08.03.03</v>
          </cell>
          <cell r="C3502" t="str">
            <v>Beban Penyusutan Instalasi</v>
          </cell>
          <cell r="D3502">
            <v>3101633666</v>
          </cell>
          <cell r="E3502">
            <v>16110632951.939999</v>
          </cell>
          <cell r="F3502">
            <v>0</v>
          </cell>
          <cell r="G3502">
            <v>42353234.836319998</v>
          </cell>
          <cell r="H3502">
            <v>0</v>
          </cell>
          <cell r="I3502">
            <v>0</v>
          </cell>
          <cell r="J3502">
            <v>16068279717.103678</v>
          </cell>
        </row>
        <row r="3503">
          <cell r="B3503" t="str">
            <v>8.1.08.03.04</v>
          </cell>
          <cell r="C3503" t="str">
            <v>Beban Penyusutan Jaringan</v>
          </cell>
          <cell r="D3503">
            <v>2714043007</v>
          </cell>
          <cell r="E3503">
            <v>5338190659.25</v>
          </cell>
          <cell r="F3503">
            <v>0</v>
          </cell>
          <cell r="G3503">
            <v>27677717.42932</v>
          </cell>
          <cell r="H3503">
            <v>0</v>
          </cell>
          <cell r="I3503">
            <v>0</v>
          </cell>
          <cell r="J3503">
            <v>5310512941.8206797</v>
          </cell>
        </row>
        <row r="3504">
          <cell r="B3504" t="str">
            <v>8.1.08.04</v>
          </cell>
          <cell r="C3504" t="str">
            <v>Beban Penyusutan Aset Tetap Lainnya</v>
          </cell>
          <cell r="D3504">
            <v>0</v>
          </cell>
          <cell r="E3504">
            <v>0</v>
          </cell>
          <cell r="J3504">
            <v>0</v>
          </cell>
        </row>
        <row r="3505">
          <cell r="B3505" t="str">
            <v>8.1.08.04.01</v>
          </cell>
          <cell r="C3505" t="str">
            <v>Beban Penyusutan Barang Bercorak Kesenian/Kebudayaan/Olahraga</v>
          </cell>
          <cell r="F3505">
            <v>0</v>
          </cell>
          <cell r="G3505">
            <v>0</v>
          </cell>
          <cell r="H3505">
            <v>0</v>
          </cell>
          <cell r="I3505">
            <v>0</v>
          </cell>
          <cell r="J3505">
            <v>0</v>
          </cell>
        </row>
        <row r="3506">
          <cell r="B3506" t="str">
            <v>8.1.08.04.02</v>
          </cell>
          <cell r="C3506" t="str">
            <v>Beban Penyusutan Aset Tetap Dalam Renovasi</v>
          </cell>
          <cell r="F3506">
            <v>0</v>
          </cell>
          <cell r="G3506">
            <v>0</v>
          </cell>
          <cell r="H3506">
            <v>0</v>
          </cell>
          <cell r="I3506">
            <v>0</v>
          </cell>
          <cell r="J3506">
            <v>0</v>
          </cell>
        </row>
        <row r="3507">
          <cell r="B3507" t="str">
            <v>8.1.08.05</v>
          </cell>
          <cell r="C3507" t="str">
            <v>Beban Penyusutan Aset Lainnya-Kemitraan dengan Pihak Ketiga</v>
          </cell>
          <cell r="D3507">
            <v>0</v>
          </cell>
          <cell r="E3507">
            <v>0</v>
          </cell>
          <cell r="J3507">
            <v>0</v>
          </cell>
        </row>
        <row r="3508">
          <cell r="B3508" t="str">
            <v>8.1.08.05.01</v>
          </cell>
          <cell r="C3508" t="str">
            <v>Beban Penyusutan Kemitraan dengan Pihak Ketiga</v>
          </cell>
          <cell r="F3508">
            <v>0</v>
          </cell>
          <cell r="G3508">
            <v>0</v>
          </cell>
          <cell r="H3508">
            <v>0</v>
          </cell>
          <cell r="I3508">
            <v>0</v>
          </cell>
          <cell r="J3508">
            <v>0</v>
          </cell>
        </row>
        <row r="3509">
          <cell r="B3509" t="str">
            <v>8.1.08.06</v>
          </cell>
          <cell r="C3509" t="str">
            <v>Beban Amortisasi Aset Lainnya-Aset Tidak Berwujud</v>
          </cell>
          <cell r="D3509">
            <v>67217250</v>
          </cell>
          <cell r="E3509">
            <v>51103750</v>
          </cell>
          <cell r="J3509">
            <v>51103750</v>
          </cell>
        </row>
        <row r="3510">
          <cell r="B3510" t="str">
            <v>8.1.08.06.01</v>
          </cell>
          <cell r="C3510" t="str">
            <v>Beban Amortisasi Aset Tidak Berwujud</v>
          </cell>
          <cell r="D3510">
            <v>67217250</v>
          </cell>
          <cell r="E3510">
            <v>51103750</v>
          </cell>
          <cell r="F3510">
            <v>0</v>
          </cell>
          <cell r="G3510">
            <v>0</v>
          </cell>
          <cell r="H3510">
            <v>0</v>
          </cell>
          <cell r="I3510">
            <v>0</v>
          </cell>
          <cell r="J3510">
            <v>51103750</v>
          </cell>
        </row>
        <row r="3511">
          <cell r="B3511" t="str">
            <v>8.1.08.07</v>
          </cell>
          <cell r="C3511" t="str">
            <v>Beban Penyusutan Aset Lainnya-Aset Lain-Lain</v>
          </cell>
          <cell r="D3511">
            <v>0</v>
          </cell>
          <cell r="E3511">
            <v>0</v>
          </cell>
          <cell r="J3511">
            <v>0</v>
          </cell>
        </row>
        <row r="3512">
          <cell r="B3512" t="str">
            <v>8.1.08.07.01</v>
          </cell>
          <cell r="C3512" t="str">
            <v>Beban Penyusutan Aset Lain-Lain</v>
          </cell>
          <cell r="F3512">
            <v>0</v>
          </cell>
          <cell r="G3512">
            <v>0</v>
          </cell>
          <cell r="H3512">
            <v>0</v>
          </cell>
          <cell r="I3512">
            <v>0</v>
          </cell>
          <cell r="J3512">
            <v>0</v>
          </cell>
        </row>
        <row r="3513">
          <cell r="B3513" t="str">
            <v>8.1.08.08</v>
          </cell>
          <cell r="C3513" t="str">
            <v>Beban Penyusutan Aset Konsesi Jasa</v>
          </cell>
          <cell r="D3513">
            <v>0</v>
          </cell>
          <cell r="E3513">
            <v>0</v>
          </cell>
          <cell r="J3513">
            <v>0</v>
          </cell>
        </row>
        <row r="3514">
          <cell r="B3514" t="str">
            <v>8.1.08.08.01</v>
          </cell>
          <cell r="C3514" t="str">
            <v>Beban Penyusutan Aset Konsesi Jasa yang Disediakan Pemberi Konsesi-Aset Konsesi Jasa Peralatan dan Mesin</v>
          </cell>
          <cell r="F3514">
            <v>0</v>
          </cell>
          <cell r="G3514">
            <v>0</v>
          </cell>
          <cell r="H3514">
            <v>0</v>
          </cell>
          <cell r="I3514">
            <v>0</v>
          </cell>
          <cell r="J3514">
            <v>0</v>
          </cell>
        </row>
        <row r="3515">
          <cell r="B3515" t="str">
            <v>8.1.08.08.02</v>
          </cell>
          <cell r="C3515" t="str">
            <v>Beban Penyusutan Aset Konsesi Jasa yang Disediakan Pemberi Konsesi-Aset Konsesi Jasa Gedung dan Bangunan</v>
          </cell>
          <cell r="F3515">
            <v>0</v>
          </cell>
          <cell r="G3515">
            <v>0</v>
          </cell>
          <cell r="H3515">
            <v>0</v>
          </cell>
          <cell r="I3515">
            <v>0</v>
          </cell>
          <cell r="J3515">
            <v>0</v>
          </cell>
        </row>
        <row r="3516">
          <cell r="B3516" t="str">
            <v>8.1.08.08.03</v>
          </cell>
          <cell r="C3516" t="str">
            <v>Beban Penyusutan Aset Konsesi Jasa yang Disediakan Pemberi Konsesi-Aset Konsesi Jasa Jalan, Jaringan, dan Irigasi</v>
          </cell>
          <cell r="F3516">
            <v>0</v>
          </cell>
          <cell r="G3516">
            <v>0</v>
          </cell>
          <cell r="H3516">
            <v>0</v>
          </cell>
          <cell r="I3516">
            <v>0</v>
          </cell>
          <cell r="J3516">
            <v>0</v>
          </cell>
        </row>
        <row r="3517">
          <cell r="B3517" t="str">
            <v>8.1.08.08.04</v>
          </cell>
          <cell r="C3517" t="str">
            <v>Beban Penyusutan Aset Konsesi Jasa yang Disediakan Pemberi Konsesi-Aset Tetap Lainnya</v>
          </cell>
          <cell r="F3517">
            <v>0</v>
          </cell>
          <cell r="G3517">
            <v>0</v>
          </cell>
          <cell r="H3517">
            <v>0</v>
          </cell>
          <cell r="I3517">
            <v>0</v>
          </cell>
          <cell r="J3517">
            <v>0</v>
          </cell>
        </row>
        <row r="3518">
          <cell r="B3518" t="str">
            <v>8.1.08.08.05</v>
          </cell>
          <cell r="C3518" t="str">
            <v>Beban Penyusutan Aset Konsesi Jasa yang Bersumber dari Milik Mitra</v>
          </cell>
          <cell r="F3518">
            <v>0</v>
          </cell>
          <cell r="G3518">
            <v>0</v>
          </cell>
          <cell r="H3518">
            <v>0</v>
          </cell>
          <cell r="I3518">
            <v>0</v>
          </cell>
          <cell r="J3518">
            <v>0</v>
          </cell>
        </row>
        <row r="3519">
          <cell r="B3519" t="str">
            <v>8.1.08.09</v>
          </cell>
          <cell r="C3519" t="str">
            <v>Beban Penyusutan Properti Investasi</v>
          </cell>
          <cell r="D3519">
            <v>929880561</v>
          </cell>
          <cell r="E3519">
            <v>1137452794</v>
          </cell>
          <cell r="J3519">
            <v>1137452794</v>
          </cell>
        </row>
        <row r="3520">
          <cell r="B3520" t="str">
            <v>8.1.08.09.01</v>
          </cell>
          <cell r="C3520" t="str">
            <v>Beban Penyusutan Properti Investasi Gedung dan Bangunan</v>
          </cell>
          <cell r="D3520">
            <v>929880561</v>
          </cell>
          <cell r="E3520">
            <v>1137452794</v>
          </cell>
          <cell r="F3520">
            <v>0</v>
          </cell>
          <cell r="G3520">
            <v>0</v>
          </cell>
          <cell r="H3520">
            <v>0</v>
          </cell>
          <cell r="I3520">
            <v>0</v>
          </cell>
          <cell r="J3520">
            <v>1137452794</v>
          </cell>
        </row>
        <row r="3522">
          <cell r="B3522" t="str">
            <v>8.1.09</v>
          </cell>
          <cell r="C3522" t="str">
            <v>Beban Imbalan</v>
          </cell>
          <cell r="D3522">
            <v>0</v>
          </cell>
          <cell r="E3522">
            <v>0</v>
          </cell>
          <cell r="J3522">
            <v>0</v>
          </cell>
        </row>
        <row r="3523">
          <cell r="B3523" t="str">
            <v>8.1.09.01</v>
          </cell>
          <cell r="C3523" t="str">
            <v>Beban Imbalan Sukuk Daerah</v>
          </cell>
          <cell r="D3523">
            <v>0</v>
          </cell>
          <cell r="E3523">
            <v>0</v>
          </cell>
          <cell r="J3523">
            <v>0</v>
          </cell>
        </row>
        <row r="3524">
          <cell r="B3524" t="str">
            <v>8.1.09.01.01</v>
          </cell>
          <cell r="C3524" t="str">
            <v>Beban Imbalan Sukuk Daerah</v>
          </cell>
          <cell r="F3524">
            <v>0</v>
          </cell>
          <cell r="G3524">
            <v>0</v>
          </cell>
          <cell r="H3524">
            <v>0</v>
          </cell>
          <cell r="I3524">
            <v>0</v>
          </cell>
          <cell r="J3524">
            <v>0</v>
          </cell>
        </row>
        <row r="3526">
          <cell r="B3526" t="str">
            <v>8.2</v>
          </cell>
          <cell r="C3526" t="str">
            <v>BEBAN TRANSFER</v>
          </cell>
          <cell r="D3526">
            <v>110150004555</v>
          </cell>
          <cell r="E3526">
            <v>131944207374</v>
          </cell>
          <cell r="J3526">
            <v>131944207374</v>
          </cell>
        </row>
        <row r="3527">
          <cell r="B3527" t="str">
            <v>8.2.01</v>
          </cell>
          <cell r="C3527" t="str">
            <v>Beban Bagi Hasil</v>
          </cell>
          <cell r="D3527">
            <v>3318345692</v>
          </cell>
          <cell r="E3527">
            <v>4252200290</v>
          </cell>
          <cell r="J3527">
            <v>4252200290</v>
          </cell>
        </row>
        <row r="3528">
          <cell r="B3528" t="str">
            <v>8.2.01.01</v>
          </cell>
          <cell r="C3528" t="str">
            <v>Beban Bagi Hasil Pajak Daerah Kepada Pemerintahan Kabupaten/Kota dan Desa</v>
          </cell>
          <cell r="D3528">
            <v>0</v>
          </cell>
          <cell r="E3528">
            <v>2983619018</v>
          </cell>
          <cell r="J3528">
            <v>2983619018</v>
          </cell>
        </row>
        <row r="3529">
          <cell r="B3529" t="str">
            <v>8.2.01.01.01</v>
          </cell>
          <cell r="C3529" t="str">
            <v>Beban Bagi Hasil Pajak Daerah Kepada Pemerintahan Kabupaten</v>
          </cell>
          <cell r="F3529">
            <v>0</v>
          </cell>
          <cell r="G3529">
            <v>0</v>
          </cell>
          <cell r="H3529">
            <v>0</v>
          </cell>
          <cell r="I3529">
            <v>0</v>
          </cell>
          <cell r="J3529">
            <v>0</v>
          </cell>
        </row>
        <row r="3530">
          <cell r="B3530" t="str">
            <v>8.2.01.01.02</v>
          </cell>
          <cell r="C3530" t="str">
            <v>Beban Bagi Hasil Pajak Daerah Kepada Pemerintahan Kota</v>
          </cell>
          <cell r="F3530">
            <v>0</v>
          </cell>
          <cell r="G3530">
            <v>0</v>
          </cell>
          <cell r="H3530">
            <v>0</v>
          </cell>
          <cell r="I3530">
            <v>0</v>
          </cell>
          <cell r="J3530">
            <v>0</v>
          </cell>
        </row>
        <row r="3531">
          <cell r="B3531" t="str">
            <v>8.2.01.01.03</v>
          </cell>
          <cell r="C3531" t="str">
            <v>Beban Bagi Hasil Pajak Daerah Kepada Pemerintahan Desa</v>
          </cell>
          <cell r="E3531">
            <v>2983619018</v>
          </cell>
          <cell r="F3531">
            <v>0</v>
          </cell>
          <cell r="G3531">
            <v>0</v>
          </cell>
          <cell r="H3531">
            <v>0</v>
          </cell>
          <cell r="I3531">
            <v>0</v>
          </cell>
          <cell r="J3531">
            <v>2983619018</v>
          </cell>
        </row>
        <row r="3532">
          <cell r="B3532" t="str">
            <v>8.2.01.02</v>
          </cell>
          <cell r="C3532" t="str">
            <v>Beban Bagi Hasil Retribusi Daerah Kabupaten/Kota Kepada Pemerintah Desa</v>
          </cell>
          <cell r="D3532">
            <v>3318345692</v>
          </cell>
          <cell r="E3532">
            <v>1268581272</v>
          </cell>
          <cell r="J3532">
            <v>1268581272</v>
          </cell>
        </row>
        <row r="3533">
          <cell r="B3533" t="str">
            <v>8.2.01.02.01</v>
          </cell>
          <cell r="C3533" t="str">
            <v>Beban Bagi Hasil Retribusi Daerah Kabupaten/Kota Kepada Pemerintah Desa</v>
          </cell>
          <cell r="D3533">
            <v>3318345692</v>
          </cell>
          <cell r="E3533">
            <v>1268581272</v>
          </cell>
          <cell r="F3533">
            <v>0</v>
          </cell>
          <cell r="G3533">
            <v>0</v>
          </cell>
          <cell r="H3533">
            <v>0</v>
          </cell>
          <cell r="I3533">
            <v>0</v>
          </cell>
          <cell r="J3533">
            <v>1268581272</v>
          </cell>
        </row>
        <row r="3535">
          <cell r="B3535" t="str">
            <v>8.2.02</v>
          </cell>
          <cell r="C3535" t="str">
            <v>Beban Bantuan Keuangan</v>
          </cell>
          <cell r="D3535">
            <v>106831658863</v>
          </cell>
          <cell r="E3535">
            <v>127692007084</v>
          </cell>
          <cell r="J3535">
            <v>127692007084</v>
          </cell>
        </row>
        <row r="3536">
          <cell r="B3536" t="str">
            <v>8.2.02.01</v>
          </cell>
          <cell r="C3536" t="str">
            <v>Beban Bantuan Keuangan antar Daerah Provinsi</v>
          </cell>
          <cell r="D3536">
            <v>106831658863</v>
          </cell>
          <cell r="E3536">
            <v>0</v>
          </cell>
          <cell r="J3536">
            <v>0</v>
          </cell>
        </row>
        <row r="3537">
          <cell r="B3537" t="str">
            <v>8.2.02.01.01</v>
          </cell>
          <cell r="C3537" t="str">
            <v>Beban Bantuan Keuangan Umum antar Daerah Provinsi</v>
          </cell>
          <cell r="D3537">
            <v>106831658863</v>
          </cell>
          <cell r="F3537">
            <v>0</v>
          </cell>
          <cell r="G3537">
            <v>0</v>
          </cell>
          <cell r="H3537">
            <v>0</v>
          </cell>
          <cell r="I3537">
            <v>0</v>
          </cell>
          <cell r="J3537">
            <v>0</v>
          </cell>
        </row>
        <row r="3538">
          <cell r="B3538" t="str">
            <v>8.2.02.01.02</v>
          </cell>
          <cell r="C3538" t="str">
            <v>Beban Bantuan Keuangan Khusus antar Daerah Provinsi</v>
          </cell>
          <cell r="F3538">
            <v>0</v>
          </cell>
          <cell r="G3538">
            <v>0</v>
          </cell>
          <cell r="H3538">
            <v>0</v>
          </cell>
          <cell r="I3538">
            <v>0</v>
          </cell>
          <cell r="J3538">
            <v>0</v>
          </cell>
        </row>
        <row r="3539">
          <cell r="B3539" t="str">
            <v>8.2.02.02</v>
          </cell>
          <cell r="C3539" t="str">
            <v>Beban Bantuan Keuangan antar Daerah Kabupaten/Kota</v>
          </cell>
          <cell r="D3539">
            <v>0</v>
          </cell>
          <cell r="E3539">
            <v>0</v>
          </cell>
          <cell r="J3539">
            <v>0</v>
          </cell>
        </row>
        <row r="3540">
          <cell r="B3540" t="str">
            <v>8.2.02.02.01</v>
          </cell>
          <cell r="C3540" t="str">
            <v>Beban Bantuan Keuangan Umum antar Daerah Kabupaten/Kota</v>
          </cell>
          <cell r="F3540">
            <v>0</v>
          </cell>
          <cell r="G3540">
            <v>0</v>
          </cell>
          <cell r="H3540">
            <v>0</v>
          </cell>
          <cell r="I3540">
            <v>0</v>
          </cell>
          <cell r="J3540">
            <v>0</v>
          </cell>
        </row>
        <row r="3541">
          <cell r="B3541" t="str">
            <v>8.2.02.02.02</v>
          </cell>
          <cell r="C3541" t="str">
            <v>Beban Bantuan Keuangan Khusus antar Daerah Kabupaten/Kota</v>
          </cell>
          <cell r="F3541">
            <v>0</v>
          </cell>
          <cell r="G3541">
            <v>0</v>
          </cell>
          <cell r="H3541">
            <v>0</v>
          </cell>
          <cell r="I3541">
            <v>0</v>
          </cell>
          <cell r="J3541">
            <v>0</v>
          </cell>
        </row>
        <row r="3542">
          <cell r="B3542" t="str">
            <v>8.2.02.03</v>
          </cell>
          <cell r="C3542" t="str">
            <v>Beban Bantuan Keuangan Daerah Provinsi ke Kabupaten/Kota</v>
          </cell>
          <cell r="D3542">
            <v>0</v>
          </cell>
          <cell r="E3542">
            <v>0</v>
          </cell>
          <cell r="J3542">
            <v>0</v>
          </cell>
        </row>
        <row r="3543">
          <cell r="B3543" t="str">
            <v>8.2.02.03.01</v>
          </cell>
          <cell r="C3543" t="str">
            <v>Beban Bantuan Keuangan Umum Daerah Provinsi ke Kabupaten/Kota</v>
          </cell>
          <cell r="F3543">
            <v>0</v>
          </cell>
          <cell r="G3543">
            <v>0</v>
          </cell>
          <cell r="H3543">
            <v>0</v>
          </cell>
          <cell r="I3543">
            <v>0</v>
          </cell>
          <cell r="J3543">
            <v>0</v>
          </cell>
        </row>
        <row r="3544">
          <cell r="B3544" t="str">
            <v>8.2.02.03.02</v>
          </cell>
          <cell r="C3544" t="str">
            <v>Beban Bantuan Keuangan Khusus Daerah Provinsi ke Kabupaten/Kota</v>
          </cell>
          <cell r="F3544">
            <v>0</v>
          </cell>
          <cell r="G3544">
            <v>0</v>
          </cell>
          <cell r="H3544">
            <v>0</v>
          </cell>
          <cell r="I3544">
            <v>0</v>
          </cell>
          <cell r="J3544">
            <v>0</v>
          </cell>
        </row>
        <row r="3545">
          <cell r="B3545" t="str">
            <v>8.2.02.04</v>
          </cell>
          <cell r="C3545" t="str">
            <v>Beban Bantuan Keuangan Kabupaten/Kota ke Daerah Provinsi</v>
          </cell>
          <cell r="D3545">
            <v>0</v>
          </cell>
          <cell r="E3545">
            <v>0</v>
          </cell>
          <cell r="J3545">
            <v>0</v>
          </cell>
        </row>
        <row r="3546">
          <cell r="B3546" t="str">
            <v>8.2.02.04.01</v>
          </cell>
          <cell r="C3546" t="str">
            <v>Beban Bantuan Keuangan Umum Kabupaten/Kota ke Daerah Provinsi</v>
          </cell>
          <cell r="F3546">
            <v>0</v>
          </cell>
          <cell r="G3546">
            <v>0</v>
          </cell>
          <cell r="H3546">
            <v>0</v>
          </cell>
          <cell r="I3546">
            <v>0</v>
          </cell>
          <cell r="J3546">
            <v>0</v>
          </cell>
        </row>
        <row r="3547">
          <cell r="B3547" t="str">
            <v>8.2.02.04.02</v>
          </cell>
          <cell r="C3547" t="str">
            <v>Beban Bantuan Keuangan Khusus Kabupaten/Kota ke Daerah Provinsi</v>
          </cell>
          <cell r="F3547">
            <v>0</v>
          </cell>
          <cell r="G3547">
            <v>0</v>
          </cell>
          <cell r="H3547">
            <v>0</v>
          </cell>
          <cell r="I3547">
            <v>0</v>
          </cell>
          <cell r="J3547">
            <v>0</v>
          </cell>
        </row>
        <row r="3548">
          <cell r="B3548" t="str">
            <v>8.2.02.05</v>
          </cell>
          <cell r="C3548" t="str">
            <v>Beban Bantuan Keuangan Daerah Provinsi atau Kabupaten/Kota ke Desa</v>
          </cell>
          <cell r="D3548">
            <v>0</v>
          </cell>
          <cell r="E3548">
            <v>127692007084</v>
          </cell>
          <cell r="J3548">
            <v>127692007084</v>
          </cell>
        </row>
        <row r="3549">
          <cell r="B3549" t="str">
            <v>8.2.02.05.01</v>
          </cell>
          <cell r="C3549" t="str">
            <v>Beban Bantuan Keuangan Umum Daerah Provinsi atau Kabupaten/Kota ke Desa</v>
          </cell>
          <cell r="E3549">
            <v>127692007084</v>
          </cell>
          <cell r="F3549">
            <v>0</v>
          </cell>
          <cell r="G3549">
            <v>0</v>
          </cell>
          <cell r="H3549">
            <v>0</v>
          </cell>
          <cell r="I3549">
            <v>0</v>
          </cell>
          <cell r="J3549">
            <v>127692007084</v>
          </cell>
        </row>
        <row r="3550">
          <cell r="B3550" t="str">
            <v>8.2.02.05.02</v>
          </cell>
          <cell r="C3550" t="str">
            <v>Beban Bantuan Keuangan Khusus Daerah Provinsi atau Kabupaten/Kota ke Desa</v>
          </cell>
          <cell r="F3550">
            <v>0</v>
          </cell>
          <cell r="G3550">
            <v>0</v>
          </cell>
          <cell r="H3550">
            <v>0</v>
          </cell>
          <cell r="I3550">
            <v>0</v>
          </cell>
          <cell r="J3550">
            <v>0</v>
          </cell>
        </row>
        <row r="3551">
          <cell r="B3551" t="str">
            <v>8.2.02.06</v>
          </cell>
          <cell r="C3551" t="str">
            <v>Beban Transfer Dana Otonomi Khusus Provinsi kepada Kabupaten/Kota</v>
          </cell>
          <cell r="D3551">
            <v>0</v>
          </cell>
          <cell r="E3551">
            <v>0</v>
          </cell>
          <cell r="J3551">
            <v>0</v>
          </cell>
        </row>
        <row r="3552">
          <cell r="B3552" t="str">
            <v>8.2.02.06.01</v>
          </cell>
          <cell r="C3552" t="str">
            <v>Beban Transfer Dana Otonomi Khusus Provinsi kepada Kabupaten/Kota</v>
          </cell>
          <cell r="F3552">
            <v>0</v>
          </cell>
          <cell r="G3552">
            <v>0</v>
          </cell>
          <cell r="H3552">
            <v>0</v>
          </cell>
          <cell r="I3552">
            <v>0</v>
          </cell>
          <cell r="J3552">
            <v>0</v>
          </cell>
        </row>
        <row r="3554">
          <cell r="B3554" t="str">
            <v>LO</v>
          </cell>
          <cell r="C3554" t="str">
            <v>SURPLUS/(DEFISIT) DARI KEGIATAN OPERASIONAL</v>
          </cell>
          <cell r="D3554">
            <v>-99460738738.76709</v>
          </cell>
          <cell r="E3554">
            <v>9404455178.3198242</v>
          </cell>
          <cell r="J3554">
            <v>50118327212.483887</v>
          </cell>
        </row>
        <row r="3556">
          <cell r="B3556" t="str">
            <v>7.4</v>
          </cell>
          <cell r="C3556" t="str">
            <v>SURPLUS NON OPERASIONAL-LO</v>
          </cell>
          <cell r="D3556">
            <v>10360930</v>
          </cell>
          <cell r="E3556">
            <v>0</v>
          </cell>
          <cell r="J3556">
            <v>0</v>
          </cell>
        </row>
        <row r="3557">
          <cell r="B3557" t="str">
            <v>7.4.01</v>
          </cell>
          <cell r="C3557" t="str">
            <v>Surplus Penjualan/Pertukaran/Pelepasan Aset Non Lancar-LO</v>
          </cell>
          <cell r="D3557">
            <v>0</v>
          </cell>
          <cell r="E3557">
            <v>0</v>
          </cell>
          <cell r="J3557">
            <v>0</v>
          </cell>
        </row>
        <row r="3558">
          <cell r="B3558" t="str">
            <v>7.4.01.01</v>
          </cell>
          <cell r="C3558" t="str">
            <v>Surplus Penjualan BMD yang Tidak Dipisahkan-LO</v>
          </cell>
          <cell r="D3558">
            <v>0</v>
          </cell>
          <cell r="E3558">
            <v>0</v>
          </cell>
          <cell r="J3558">
            <v>0</v>
          </cell>
        </row>
        <row r="3559">
          <cell r="B3559" t="str">
            <v>7.4.01.01.01</v>
          </cell>
          <cell r="C3559" t="str">
            <v>Surplus Penjualan Tanah-LO</v>
          </cell>
          <cell r="F3559">
            <v>0</v>
          </cell>
          <cell r="G3559">
            <v>0</v>
          </cell>
          <cell r="H3559">
            <v>0</v>
          </cell>
          <cell r="I3559">
            <v>0</v>
          </cell>
          <cell r="J3559">
            <v>0</v>
          </cell>
        </row>
        <row r="3560">
          <cell r="B3560" t="str">
            <v>7.4.01.01.02</v>
          </cell>
          <cell r="C3560" t="str">
            <v>Surplus Penjualan Peralatan dan Mesin-LO</v>
          </cell>
          <cell r="F3560">
            <v>0</v>
          </cell>
          <cell r="G3560">
            <v>0</v>
          </cell>
          <cell r="H3560">
            <v>0</v>
          </cell>
          <cell r="I3560">
            <v>0</v>
          </cell>
          <cell r="J3560">
            <v>0</v>
          </cell>
        </row>
        <row r="3561">
          <cell r="B3561" t="str">
            <v>7.4.01.01.03</v>
          </cell>
          <cell r="C3561" t="str">
            <v>Surplus Penjualan Aset Gedung dan Bangunan-LO</v>
          </cell>
          <cell r="F3561">
            <v>0</v>
          </cell>
          <cell r="G3561">
            <v>0</v>
          </cell>
          <cell r="H3561">
            <v>0</v>
          </cell>
          <cell r="I3561">
            <v>0</v>
          </cell>
          <cell r="J3561">
            <v>0</v>
          </cell>
        </row>
        <row r="3562">
          <cell r="B3562" t="str">
            <v>7.4.01.01.04</v>
          </cell>
          <cell r="C3562" t="str">
            <v>Surplus Penjualan Jalan, Jaringan, dan Irigasi-LO</v>
          </cell>
          <cell r="F3562">
            <v>0</v>
          </cell>
          <cell r="G3562">
            <v>0</v>
          </cell>
          <cell r="H3562">
            <v>0</v>
          </cell>
          <cell r="I3562">
            <v>0</v>
          </cell>
          <cell r="J3562">
            <v>0</v>
          </cell>
        </row>
        <row r="3563">
          <cell r="B3563" t="str">
            <v>7.4.01.01.05</v>
          </cell>
          <cell r="C3563" t="str">
            <v>Surplus Penjualan Aset Tetap Lainnya-LO</v>
          </cell>
          <cell r="F3563">
            <v>0</v>
          </cell>
          <cell r="G3563">
            <v>0</v>
          </cell>
          <cell r="H3563">
            <v>0</v>
          </cell>
          <cell r="I3563">
            <v>0</v>
          </cell>
          <cell r="J3563">
            <v>0</v>
          </cell>
        </row>
        <row r="3564">
          <cell r="B3564" t="str">
            <v>7.4.01.01.06</v>
          </cell>
          <cell r="C3564" t="str">
            <v>Surplus Penjualan Aset Lainnya-LO</v>
          </cell>
          <cell r="F3564">
            <v>0</v>
          </cell>
          <cell r="G3564">
            <v>0</v>
          </cell>
          <cell r="H3564">
            <v>0</v>
          </cell>
          <cell r="I3564">
            <v>0</v>
          </cell>
          <cell r="J3564">
            <v>0</v>
          </cell>
        </row>
        <row r="3565">
          <cell r="B3565" t="str">
            <v>7.4.01.01.07</v>
          </cell>
          <cell r="C3565" t="str">
            <v>Surplus Penjualan Aset Tidak Berwujud-LO</v>
          </cell>
          <cell r="F3565">
            <v>0</v>
          </cell>
          <cell r="G3565">
            <v>0</v>
          </cell>
          <cell r="H3565">
            <v>0</v>
          </cell>
          <cell r="I3565">
            <v>0</v>
          </cell>
          <cell r="J3565">
            <v>0</v>
          </cell>
        </row>
        <row r="3566">
          <cell r="B3566" t="str">
            <v>7.4.01.01.08</v>
          </cell>
          <cell r="C3566" t="str">
            <v>Surplus Penjualan Aset Lain-Lain-LO</v>
          </cell>
          <cell r="F3566">
            <v>0</v>
          </cell>
          <cell r="G3566">
            <v>0</v>
          </cell>
          <cell r="H3566">
            <v>0</v>
          </cell>
          <cell r="I3566">
            <v>0</v>
          </cell>
          <cell r="J3566">
            <v>0</v>
          </cell>
        </row>
        <row r="3567">
          <cell r="B3567" t="str">
            <v>7.4.01.02</v>
          </cell>
          <cell r="C3567" t="str">
            <v>Surplus Pertukaran BMD yang Tidak Dipisahkan-LO</v>
          </cell>
          <cell r="D3567">
            <v>0</v>
          </cell>
          <cell r="E3567">
            <v>0</v>
          </cell>
          <cell r="J3567">
            <v>0</v>
          </cell>
        </row>
        <row r="3568">
          <cell r="B3568" t="str">
            <v>7.4.01.02.01</v>
          </cell>
          <cell r="C3568" t="str">
            <v>Surplus Tukar Menukar Tanah-LO</v>
          </cell>
          <cell r="F3568">
            <v>0</v>
          </cell>
          <cell r="G3568">
            <v>0</v>
          </cell>
          <cell r="H3568">
            <v>0</v>
          </cell>
          <cell r="I3568">
            <v>0</v>
          </cell>
          <cell r="J3568">
            <v>0</v>
          </cell>
        </row>
        <row r="3569">
          <cell r="B3569" t="str">
            <v>7.4.01.02.02</v>
          </cell>
          <cell r="C3569" t="str">
            <v>Surplus Tukar Menukar Peralatan dan Mesin-LO</v>
          </cell>
          <cell r="F3569">
            <v>0</v>
          </cell>
          <cell r="G3569">
            <v>0</v>
          </cell>
          <cell r="H3569">
            <v>0</v>
          </cell>
          <cell r="I3569">
            <v>0</v>
          </cell>
          <cell r="J3569">
            <v>0</v>
          </cell>
        </row>
        <row r="3570">
          <cell r="B3570" t="str">
            <v>7.4.01.02.03</v>
          </cell>
          <cell r="C3570" t="str">
            <v>Surplus Tukar Menukar Gedung dan Bangunan-LO</v>
          </cell>
          <cell r="F3570">
            <v>0</v>
          </cell>
          <cell r="G3570">
            <v>0</v>
          </cell>
          <cell r="H3570">
            <v>0</v>
          </cell>
          <cell r="I3570">
            <v>0</v>
          </cell>
          <cell r="J3570">
            <v>0</v>
          </cell>
        </row>
        <row r="3571">
          <cell r="B3571" t="str">
            <v>7.4.01.02.04</v>
          </cell>
          <cell r="C3571" t="str">
            <v>Surplus Tukar Menukar Jalan, Jaringan dan Irigasi-LO</v>
          </cell>
          <cell r="F3571">
            <v>0</v>
          </cell>
          <cell r="G3571">
            <v>0</v>
          </cell>
          <cell r="H3571">
            <v>0</v>
          </cell>
          <cell r="I3571">
            <v>0</v>
          </cell>
          <cell r="J3571">
            <v>0</v>
          </cell>
        </row>
        <row r="3572">
          <cell r="B3572" t="str">
            <v>7.4.01.02.05</v>
          </cell>
          <cell r="C3572" t="str">
            <v>Surplus Tukar Menukar Aset Tetap Lainnya-LO</v>
          </cell>
          <cell r="F3572">
            <v>0</v>
          </cell>
          <cell r="G3572">
            <v>0</v>
          </cell>
          <cell r="H3572">
            <v>0</v>
          </cell>
          <cell r="I3572">
            <v>0</v>
          </cell>
          <cell r="J3572">
            <v>0</v>
          </cell>
        </row>
        <row r="3573">
          <cell r="B3573" t="str">
            <v>7.4.01.02.06</v>
          </cell>
          <cell r="C3573" t="str">
            <v>Surplus Tukar Menukar Aset Lainnya-LO</v>
          </cell>
          <cell r="F3573">
            <v>0</v>
          </cell>
          <cell r="G3573">
            <v>0</v>
          </cell>
          <cell r="H3573">
            <v>0</v>
          </cell>
          <cell r="I3573">
            <v>0</v>
          </cell>
          <cell r="J3573">
            <v>0</v>
          </cell>
        </row>
        <row r="3574">
          <cell r="B3574" t="str">
            <v>7.4.01.02.07</v>
          </cell>
          <cell r="C3574" t="str">
            <v>Surplus Tukar Menukar Aset Tidak Berwujud-LO</v>
          </cell>
          <cell r="F3574">
            <v>0</v>
          </cell>
          <cell r="G3574">
            <v>0</v>
          </cell>
          <cell r="H3574">
            <v>0</v>
          </cell>
          <cell r="I3574">
            <v>0</v>
          </cell>
          <cell r="J3574">
            <v>0</v>
          </cell>
        </row>
        <row r="3575">
          <cell r="B3575" t="str">
            <v>7.4.01.02.08</v>
          </cell>
          <cell r="C3575" t="str">
            <v>Surplus Tukar Menukar Aset Lain-Lain-LO</v>
          </cell>
          <cell r="F3575">
            <v>0</v>
          </cell>
          <cell r="G3575">
            <v>0</v>
          </cell>
          <cell r="H3575">
            <v>0</v>
          </cell>
          <cell r="I3575">
            <v>0</v>
          </cell>
          <cell r="J3575">
            <v>0</v>
          </cell>
        </row>
        <row r="3576">
          <cell r="B3576" t="str">
            <v>7.4.01.03</v>
          </cell>
          <cell r="C3576" t="str">
            <v>Surplus Pelepasan Investasi Jangka Panjang-LO</v>
          </cell>
          <cell r="D3576">
            <v>0</v>
          </cell>
          <cell r="E3576">
            <v>0</v>
          </cell>
          <cell r="J3576">
            <v>0</v>
          </cell>
        </row>
        <row r="3577">
          <cell r="B3577" t="str">
            <v>7.4.01.03.01</v>
          </cell>
          <cell r="C3577" t="str">
            <v>Surplus Pelepasan Investasi Jangka Panjang Non Permanen-LO</v>
          </cell>
          <cell r="F3577">
            <v>0</v>
          </cell>
          <cell r="G3577">
            <v>0</v>
          </cell>
          <cell r="H3577">
            <v>0</v>
          </cell>
          <cell r="I3577">
            <v>0</v>
          </cell>
          <cell r="J3577">
            <v>0</v>
          </cell>
        </row>
        <row r="3578">
          <cell r="B3578" t="str">
            <v>7.4.01.03.02</v>
          </cell>
          <cell r="C3578" t="str">
            <v>Surplus Pelepasan Investasi Jangka Panjang Permanen-LO</v>
          </cell>
          <cell r="F3578">
            <v>0</v>
          </cell>
          <cell r="G3578">
            <v>0</v>
          </cell>
          <cell r="H3578">
            <v>0</v>
          </cell>
          <cell r="I3578">
            <v>0</v>
          </cell>
          <cell r="J3578">
            <v>0</v>
          </cell>
        </row>
        <row r="3580">
          <cell r="B3580" t="str">
            <v>7.4.02</v>
          </cell>
          <cell r="C3580" t="str">
            <v>Surplus Penyelesaian Kewajiban Jangka Panjang-LO</v>
          </cell>
          <cell r="D3580">
            <v>0</v>
          </cell>
          <cell r="E3580">
            <v>0</v>
          </cell>
          <cell r="J3580">
            <v>0</v>
          </cell>
        </row>
        <row r="3581">
          <cell r="B3581" t="str">
            <v>7.4.02.01</v>
          </cell>
          <cell r="C3581" t="str">
            <v>Surplus Penyelesaian Utang kepada Pemerintah Pusat-LO</v>
          </cell>
          <cell r="D3581">
            <v>0</v>
          </cell>
          <cell r="E3581">
            <v>0</v>
          </cell>
          <cell r="J3581">
            <v>0</v>
          </cell>
        </row>
        <row r="3582">
          <cell r="B3582" t="str">
            <v>7.4.02.01.01</v>
          </cell>
          <cell r="C3582" t="str">
            <v>Surplus Penyelesaian Utang kepada Pemerintah Pusat-Penerusan Pinjaman Dalam Negeri-Jangka Menengah-LO</v>
          </cell>
          <cell r="F3582">
            <v>0</v>
          </cell>
          <cell r="G3582">
            <v>0</v>
          </cell>
          <cell r="H3582">
            <v>0</v>
          </cell>
          <cell r="I3582">
            <v>0</v>
          </cell>
          <cell r="J3582">
            <v>0</v>
          </cell>
        </row>
        <row r="3583">
          <cell r="B3583" t="str">
            <v>7.4.02.01.02</v>
          </cell>
          <cell r="C3583" t="str">
            <v>Surplus Penyelesaian Utang kepada Pemerintah Pusat-Penerusan Pinjaman Luar Negeri-Jangka Menengah-LO</v>
          </cell>
          <cell r="F3583">
            <v>0</v>
          </cell>
          <cell r="G3583">
            <v>0</v>
          </cell>
          <cell r="H3583">
            <v>0</v>
          </cell>
          <cell r="I3583">
            <v>0</v>
          </cell>
          <cell r="J3583">
            <v>0</v>
          </cell>
        </row>
        <row r="3584">
          <cell r="B3584" t="str">
            <v>7.4.02.01.03</v>
          </cell>
          <cell r="C3584" t="str">
            <v>Surplus Penyelesaian Utang kepada Pemerintah Pusat-Penerusan Pinjaman Luar Negeri-Jangka Menengah-LO</v>
          </cell>
          <cell r="F3584">
            <v>0</v>
          </cell>
          <cell r="G3584">
            <v>0</v>
          </cell>
          <cell r="H3584">
            <v>0</v>
          </cell>
          <cell r="I3584">
            <v>0</v>
          </cell>
          <cell r="J3584">
            <v>0</v>
          </cell>
        </row>
        <row r="3585">
          <cell r="B3585" t="str">
            <v>7.4.02.01.04</v>
          </cell>
          <cell r="C3585" t="str">
            <v>Surplus Penyelesaian Utang kepada Pemerintah Pusat-Penerusan Pinjaman Luar Negeri-Jangka Panjang-LO</v>
          </cell>
          <cell r="F3585">
            <v>0</v>
          </cell>
          <cell r="G3585">
            <v>0</v>
          </cell>
          <cell r="H3585">
            <v>0</v>
          </cell>
          <cell r="I3585">
            <v>0</v>
          </cell>
          <cell r="J3585">
            <v>0</v>
          </cell>
        </row>
        <row r="3586">
          <cell r="B3586" t="str">
            <v>7.4.02.01.05</v>
          </cell>
          <cell r="C3586" t="str">
            <v>Surplus Penyelesaian Utang kepada Pemerintah Pusat-Sumber Lainnya sesuai dengan Ketentuan Peraturan Perundang-Undangan-Jangka Menengah-LO</v>
          </cell>
          <cell r="F3586">
            <v>0</v>
          </cell>
          <cell r="G3586">
            <v>0</v>
          </cell>
          <cell r="H3586">
            <v>0</v>
          </cell>
          <cell r="I3586">
            <v>0</v>
          </cell>
          <cell r="J3586">
            <v>0</v>
          </cell>
        </row>
        <row r="3587">
          <cell r="B3587" t="str">
            <v>7.4.02.01.06</v>
          </cell>
          <cell r="C3587" t="str">
            <v>Surplus Penyelesaian Utang kepada Pemerintah Pusat-Sumber Lainnya sesuai dengan Ketentuan Peraturan Perundang-Undangan-Jangka Panjang-LO</v>
          </cell>
          <cell r="F3587">
            <v>0</v>
          </cell>
          <cell r="G3587">
            <v>0</v>
          </cell>
          <cell r="H3587">
            <v>0</v>
          </cell>
          <cell r="I3587">
            <v>0</v>
          </cell>
          <cell r="J3587">
            <v>0</v>
          </cell>
        </row>
        <row r="3588">
          <cell r="B3588" t="str">
            <v>7.4.02.02</v>
          </cell>
          <cell r="C3588" t="str">
            <v>Surplus Penyelesaian Utang kepada Lembaga Keuangan Bank (LKB)-LO</v>
          </cell>
          <cell r="D3588">
            <v>0</v>
          </cell>
          <cell r="E3588">
            <v>0</v>
          </cell>
          <cell r="J3588">
            <v>0</v>
          </cell>
        </row>
        <row r="3589">
          <cell r="B3589" t="str">
            <v>7.4.02.02.01</v>
          </cell>
          <cell r="C3589" t="str">
            <v>Surplus Penyelesaian Utang kepada Lembaga Keuangan Bank (LKB)-BUMN-Jangka Menengah-LO</v>
          </cell>
          <cell r="F3589">
            <v>0</v>
          </cell>
          <cell r="G3589">
            <v>0</v>
          </cell>
          <cell r="H3589">
            <v>0</v>
          </cell>
          <cell r="I3589">
            <v>0</v>
          </cell>
          <cell r="J3589">
            <v>0</v>
          </cell>
        </row>
        <row r="3590">
          <cell r="B3590" t="str">
            <v>7.4.02.02.02</v>
          </cell>
          <cell r="C3590" t="str">
            <v>Surplus Penyelesaian Utang kepada Lembaga Keuangan Bank (LKB)-BUMN-Jangka Panjang-LO</v>
          </cell>
          <cell r="F3590">
            <v>0</v>
          </cell>
          <cell r="G3590">
            <v>0</v>
          </cell>
          <cell r="H3590">
            <v>0</v>
          </cell>
          <cell r="I3590">
            <v>0</v>
          </cell>
          <cell r="J3590">
            <v>0</v>
          </cell>
        </row>
        <row r="3591">
          <cell r="B3591" t="str">
            <v>7.4.02.02.03</v>
          </cell>
          <cell r="C3591" t="str">
            <v>Surplus Penyelesaian Utang kepada Lembaga Keuangan Bank (LKB)-BUMD-Jangka Menengah-LO</v>
          </cell>
          <cell r="F3591">
            <v>0</v>
          </cell>
          <cell r="G3591">
            <v>0</v>
          </cell>
          <cell r="H3591">
            <v>0</v>
          </cell>
          <cell r="I3591">
            <v>0</v>
          </cell>
          <cell r="J3591">
            <v>0</v>
          </cell>
        </row>
        <row r="3592">
          <cell r="B3592" t="str">
            <v>7.4.02.02.04</v>
          </cell>
          <cell r="C3592" t="str">
            <v>Surplus Penyelesaian Utang kepada Lembaga Keuangan Bank (LKB)-BUMD-Jangka Panjang-LO</v>
          </cell>
          <cell r="F3592">
            <v>0</v>
          </cell>
          <cell r="G3592">
            <v>0</v>
          </cell>
          <cell r="H3592">
            <v>0</v>
          </cell>
          <cell r="I3592">
            <v>0</v>
          </cell>
          <cell r="J3592">
            <v>0</v>
          </cell>
        </row>
        <row r="3593">
          <cell r="B3593" t="str">
            <v>7.4.02.02.05</v>
          </cell>
          <cell r="C3593" t="str">
            <v>Surplus Penyelesaian Utang kepada Lembaga Keuangan Bank (LKB)-Swasta-Jangka Menengah-LO</v>
          </cell>
          <cell r="F3593">
            <v>0</v>
          </cell>
          <cell r="G3593">
            <v>0</v>
          </cell>
          <cell r="H3593">
            <v>0</v>
          </cell>
          <cell r="I3593">
            <v>0</v>
          </cell>
          <cell r="J3593">
            <v>0</v>
          </cell>
        </row>
        <row r="3594">
          <cell r="B3594" t="str">
            <v>7.4.02.02.06</v>
          </cell>
          <cell r="C3594" t="str">
            <v>Surplus Penyelesaian Utang kepada Lembaga Keuangan Bank (LKB)-Swasta-Jangka Panjang-LO</v>
          </cell>
          <cell r="F3594">
            <v>0</v>
          </cell>
          <cell r="G3594">
            <v>0</v>
          </cell>
          <cell r="H3594">
            <v>0</v>
          </cell>
          <cell r="I3594">
            <v>0</v>
          </cell>
          <cell r="J3594">
            <v>0</v>
          </cell>
        </row>
        <row r="3595">
          <cell r="B3595" t="str">
            <v>7.4.02.03</v>
          </cell>
          <cell r="C3595" t="str">
            <v>Surplus Penyelesaian Utang kepada Lembaga Keuangan Bukan Bank (LKBB)-LO</v>
          </cell>
          <cell r="D3595">
            <v>0</v>
          </cell>
          <cell r="E3595">
            <v>0</v>
          </cell>
          <cell r="J3595">
            <v>0</v>
          </cell>
        </row>
        <row r="3596">
          <cell r="B3596" t="str">
            <v>7.4.02.03.01</v>
          </cell>
          <cell r="C3596" t="str">
            <v>Surplus Penyelesaian Utang kepada LKBB-BUMN-Jangka Menengah-LO</v>
          </cell>
          <cell r="F3596">
            <v>0</v>
          </cell>
          <cell r="G3596">
            <v>0</v>
          </cell>
          <cell r="H3596">
            <v>0</v>
          </cell>
          <cell r="I3596">
            <v>0</v>
          </cell>
          <cell r="J3596">
            <v>0</v>
          </cell>
        </row>
        <row r="3597">
          <cell r="B3597" t="str">
            <v>7.4.02.03.02</v>
          </cell>
          <cell r="C3597" t="str">
            <v>Surplus Penyelesaian Utang kepada LKBB-BUMN-Jangka Panjang-LO</v>
          </cell>
          <cell r="F3597">
            <v>0</v>
          </cell>
          <cell r="G3597">
            <v>0</v>
          </cell>
          <cell r="H3597">
            <v>0</v>
          </cell>
          <cell r="I3597">
            <v>0</v>
          </cell>
          <cell r="J3597">
            <v>0</v>
          </cell>
        </row>
        <row r="3598">
          <cell r="B3598" t="str">
            <v>7.4.02.03.03</v>
          </cell>
          <cell r="C3598" t="str">
            <v>Surplus Penyelesaian Utang kepada LKBB-BUMD-Jangka Menengah-LO</v>
          </cell>
          <cell r="F3598">
            <v>0</v>
          </cell>
          <cell r="G3598">
            <v>0</v>
          </cell>
          <cell r="H3598">
            <v>0</v>
          </cell>
          <cell r="I3598">
            <v>0</v>
          </cell>
          <cell r="J3598">
            <v>0</v>
          </cell>
        </row>
        <row r="3599">
          <cell r="B3599" t="str">
            <v>7.4.02.03.04</v>
          </cell>
          <cell r="C3599" t="str">
            <v>Surplus Penyelesaian Utang kepada LKBB-BUMD-Jangka Panjang-LO</v>
          </cell>
          <cell r="F3599">
            <v>0</v>
          </cell>
          <cell r="G3599">
            <v>0</v>
          </cell>
          <cell r="H3599">
            <v>0</v>
          </cell>
          <cell r="I3599">
            <v>0</v>
          </cell>
          <cell r="J3599">
            <v>0</v>
          </cell>
        </row>
        <row r="3600">
          <cell r="B3600" t="str">
            <v>7.4.02.03.05</v>
          </cell>
          <cell r="C3600" t="str">
            <v>Surplus Penyelesaian Utang kepada LKBB-Swasta-Jangka Menengah-LO</v>
          </cell>
          <cell r="F3600">
            <v>0</v>
          </cell>
          <cell r="G3600">
            <v>0</v>
          </cell>
          <cell r="H3600">
            <v>0</v>
          </cell>
          <cell r="I3600">
            <v>0</v>
          </cell>
          <cell r="J3600">
            <v>0</v>
          </cell>
        </row>
        <row r="3601">
          <cell r="B3601" t="str">
            <v>7.4.02.03.06</v>
          </cell>
          <cell r="C3601" t="str">
            <v>Surplus Penyelesaian Utang kepada LKBB-Swasta-Jangka Panjang-LO</v>
          </cell>
          <cell r="F3601">
            <v>0</v>
          </cell>
          <cell r="G3601">
            <v>0</v>
          </cell>
          <cell r="H3601">
            <v>0</v>
          </cell>
          <cell r="I3601">
            <v>0</v>
          </cell>
          <cell r="J3601">
            <v>0</v>
          </cell>
        </row>
        <row r="3602">
          <cell r="B3602" t="str">
            <v>7.4.02.04</v>
          </cell>
          <cell r="C3602" t="str">
            <v>Surplus Penyelesaian Premium (Diskonto) Obligasi-LO</v>
          </cell>
          <cell r="D3602">
            <v>0</v>
          </cell>
          <cell r="E3602">
            <v>0</v>
          </cell>
          <cell r="J3602">
            <v>0</v>
          </cell>
        </row>
        <row r="3603">
          <cell r="B3603" t="str">
            <v>7.4.02.04.01</v>
          </cell>
          <cell r="C3603" t="str">
            <v>Surplus Penyelesaian Premium (Diskonto) Obligasi-LO</v>
          </cell>
          <cell r="F3603">
            <v>0</v>
          </cell>
          <cell r="G3603">
            <v>0</v>
          </cell>
          <cell r="H3603">
            <v>0</v>
          </cell>
          <cell r="I3603">
            <v>0</v>
          </cell>
          <cell r="J3603">
            <v>0</v>
          </cell>
        </row>
        <row r="3604">
          <cell r="B3604" t="str">
            <v>7.4.02.05</v>
          </cell>
          <cell r="C3604" t="str">
            <v>Surplus Penyelesaian Pinjaman Daerah</v>
          </cell>
          <cell r="D3604">
            <v>0</v>
          </cell>
          <cell r="E3604">
            <v>0</v>
          </cell>
          <cell r="J3604">
            <v>0</v>
          </cell>
        </row>
        <row r="3605">
          <cell r="B3605" t="str">
            <v>7.4.02.05.01</v>
          </cell>
          <cell r="C3605" t="str">
            <v>Surplus Penyelesaian Pinjaman Daerah dari Pemerintah</v>
          </cell>
          <cell r="F3605">
            <v>0</v>
          </cell>
          <cell r="G3605">
            <v>0</v>
          </cell>
          <cell r="H3605">
            <v>0</v>
          </cell>
          <cell r="I3605">
            <v>0</v>
          </cell>
          <cell r="J3605">
            <v>0</v>
          </cell>
        </row>
        <row r="3606">
          <cell r="B3606" t="str">
            <v>7.4.02.05.02</v>
          </cell>
          <cell r="C3606" t="str">
            <v>Surplus Penyelesaian Pinjaman Daerah dari Pemerintah Daerah Lain</v>
          </cell>
          <cell r="F3606">
            <v>0</v>
          </cell>
          <cell r="G3606">
            <v>0</v>
          </cell>
          <cell r="H3606">
            <v>0</v>
          </cell>
          <cell r="I3606">
            <v>0</v>
          </cell>
          <cell r="J3606">
            <v>0</v>
          </cell>
        </row>
        <row r="3607">
          <cell r="B3607" t="str">
            <v>7.4.02.05.03</v>
          </cell>
          <cell r="C3607" t="str">
            <v>Surplus Penyelesaian Pinjaman Daerah dari Lembaga Keuangan Bank (LKB)</v>
          </cell>
          <cell r="F3607">
            <v>0</v>
          </cell>
          <cell r="G3607">
            <v>0</v>
          </cell>
          <cell r="H3607">
            <v>0</v>
          </cell>
          <cell r="I3607">
            <v>0</v>
          </cell>
          <cell r="J3607">
            <v>0</v>
          </cell>
        </row>
        <row r="3608">
          <cell r="B3608" t="str">
            <v>7.4.02.05.04</v>
          </cell>
          <cell r="C3608" t="str">
            <v>Surplus Penyelesaian Pinjaman Daerah dari Lembaga Keuangan Bukan Bank (LKBB)</v>
          </cell>
          <cell r="F3608">
            <v>0</v>
          </cell>
          <cell r="G3608">
            <v>0</v>
          </cell>
          <cell r="H3608">
            <v>0</v>
          </cell>
          <cell r="I3608">
            <v>0</v>
          </cell>
          <cell r="J3608">
            <v>0</v>
          </cell>
        </row>
        <row r="3609">
          <cell r="B3609" t="str">
            <v>7.4.02.06</v>
          </cell>
          <cell r="C3609" t="str">
            <v>Surplus Penyelesaian Obligasi Daerah</v>
          </cell>
          <cell r="D3609">
            <v>0</v>
          </cell>
          <cell r="E3609">
            <v>0</v>
          </cell>
          <cell r="J3609">
            <v>0</v>
          </cell>
        </row>
        <row r="3610">
          <cell r="B3610" t="str">
            <v>7.4.02.06.01</v>
          </cell>
          <cell r="C3610" t="str">
            <v>Surplus Penyelesaian Obligasi Daerah</v>
          </cell>
          <cell r="F3610">
            <v>0</v>
          </cell>
          <cell r="G3610">
            <v>0</v>
          </cell>
          <cell r="H3610">
            <v>0</v>
          </cell>
          <cell r="I3610">
            <v>0</v>
          </cell>
          <cell r="J3610">
            <v>0</v>
          </cell>
        </row>
        <row r="3611">
          <cell r="B3611" t="str">
            <v>7.4.02.07</v>
          </cell>
          <cell r="C3611" t="str">
            <v>Surplus Penyelesaian Sukuk Daerah</v>
          </cell>
          <cell r="D3611">
            <v>0</v>
          </cell>
          <cell r="E3611">
            <v>0</v>
          </cell>
          <cell r="J3611">
            <v>0</v>
          </cell>
        </row>
        <row r="3612">
          <cell r="B3612" t="str">
            <v>7.4.02.07.01</v>
          </cell>
          <cell r="C3612" t="str">
            <v>Surplus Penyelesaian Sukuk Daerah</v>
          </cell>
          <cell r="F3612">
            <v>0</v>
          </cell>
          <cell r="G3612">
            <v>0</v>
          </cell>
          <cell r="H3612">
            <v>0</v>
          </cell>
          <cell r="I3612">
            <v>0</v>
          </cell>
          <cell r="J3612">
            <v>0</v>
          </cell>
        </row>
        <row r="3614">
          <cell r="B3614" t="str">
            <v>7.4.03</v>
          </cell>
          <cell r="C3614" t="str">
            <v>Surplus dari Kegiatan Non Operasional Lainnya-LO</v>
          </cell>
          <cell r="D3614">
            <v>10360930</v>
          </cell>
          <cell r="E3614">
            <v>0</v>
          </cell>
          <cell r="J3614">
            <v>0</v>
          </cell>
        </row>
        <row r="3615">
          <cell r="B3615" t="str">
            <v>7.4.03.01</v>
          </cell>
          <cell r="C3615" t="str">
            <v>Surplus dari Kegiatan Non Operasional Lainnya-LO</v>
          </cell>
          <cell r="D3615">
            <v>10360930</v>
          </cell>
          <cell r="E3615">
            <v>0</v>
          </cell>
          <cell r="J3615">
            <v>0</v>
          </cell>
        </row>
        <row r="3616">
          <cell r="B3616" t="str">
            <v>7.4.03.01.01</v>
          </cell>
          <cell r="C3616" t="str">
            <v>Surplus dari Kegiatan Non Operasional Lainnya-LO</v>
          </cell>
          <cell r="D3616">
            <v>10360930</v>
          </cell>
          <cell r="F3616">
            <v>0</v>
          </cell>
          <cell r="G3616">
            <v>0</v>
          </cell>
          <cell r="H3616">
            <v>0</v>
          </cell>
          <cell r="I3616">
            <v>0</v>
          </cell>
          <cell r="J3616">
            <v>0</v>
          </cell>
        </row>
        <row r="3617">
          <cell r="B3617" t="str">
            <v>7.4.03.02</v>
          </cell>
          <cell r="C3617" t="str">
            <v>Surplus Pelepasan Investasi Jangka Pendek-LO</v>
          </cell>
          <cell r="D3617">
            <v>0</v>
          </cell>
          <cell r="E3617">
            <v>0</v>
          </cell>
          <cell r="J3617">
            <v>0</v>
          </cell>
        </row>
        <row r="3618">
          <cell r="B3618" t="str">
            <v>7.4.03.02.01</v>
          </cell>
          <cell r="C3618" t="str">
            <v>Surplus Pelepasan Investasi Jangka Pendek-LO</v>
          </cell>
          <cell r="F3618">
            <v>0</v>
          </cell>
          <cell r="G3618">
            <v>0</v>
          </cell>
          <cell r="H3618">
            <v>0</v>
          </cell>
          <cell r="I3618">
            <v>0</v>
          </cell>
          <cell r="J3618">
            <v>0</v>
          </cell>
        </row>
        <row r="3619">
          <cell r="B3619" t="str">
            <v>7.4.03.03</v>
          </cell>
          <cell r="C3619" t="str">
            <v>Surplus Non Operasional-Kenaikan Nilai Investasi-LO</v>
          </cell>
          <cell r="D3619">
            <v>0</v>
          </cell>
          <cell r="E3619">
            <v>0</v>
          </cell>
          <cell r="J3619">
            <v>0</v>
          </cell>
        </row>
        <row r="3620">
          <cell r="B3620" t="str">
            <v>7.4.03.03.01</v>
          </cell>
          <cell r="C3620" t="str">
            <v>Surplus Non Operasional-Kenaikan Nilai Investasi-LO</v>
          </cell>
          <cell r="F3620">
            <v>0</v>
          </cell>
          <cell r="G3620">
            <v>0</v>
          </cell>
          <cell r="H3620">
            <v>0</v>
          </cell>
          <cell r="I3620">
            <v>0</v>
          </cell>
          <cell r="J3620">
            <v>0</v>
          </cell>
        </row>
        <row r="3622">
          <cell r="B3622" t="str">
            <v>8.3</v>
          </cell>
          <cell r="C3622" t="str">
            <v>DEFISIT NON OPERASIONAL-LO</v>
          </cell>
          <cell r="D3622">
            <v>2637947789.25</v>
          </cell>
          <cell r="E3622">
            <v>8243647835.4400005</v>
          </cell>
          <cell r="J3622">
            <v>8243647835.4400005</v>
          </cell>
        </row>
        <row r="3623">
          <cell r="B3623" t="str">
            <v>8.3.01</v>
          </cell>
          <cell r="C3623" t="str">
            <v>Defisit Penjualan/Pertukaran/Pelepasan Aset Non Lancar-LO</v>
          </cell>
          <cell r="D3623">
            <v>0</v>
          </cell>
          <cell r="E3623">
            <v>0</v>
          </cell>
          <cell r="J3623">
            <v>0</v>
          </cell>
        </row>
        <row r="3624">
          <cell r="B3624" t="str">
            <v>8.3.01.01</v>
          </cell>
          <cell r="C3624" t="str">
            <v>Defisit Penjualan BMD yang Tidak Dipisahkan-LO</v>
          </cell>
          <cell r="D3624">
            <v>0</v>
          </cell>
          <cell r="E3624">
            <v>0</v>
          </cell>
          <cell r="J3624">
            <v>0</v>
          </cell>
        </row>
        <row r="3625">
          <cell r="B3625" t="str">
            <v>8.3.01.01.01</v>
          </cell>
          <cell r="C3625" t="str">
            <v>Defisit Penjualan Tanah-LO</v>
          </cell>
          <cell r="F3625">
            <v>0</v>
          </cell>
          <cell r="G3625">
            <v>0</v>
          </cell>
          <cell r="H3625">
            <v>0</v>
          </cell>
          <cell r="I3625">
            <v>0</v>
          </cell>
          <cell r="J3625">
            <v>0</v>
          </cell>
        </row>
        <row r="3626">
          <cell r="B3626" t="str">
            <v>8.3.01.01.02</v>
          </cell>
          <cell r="C3626" t="str">
            <v>Defisit Penjualan Peralatan dan Mesin-LO</v>
          </cell>
          <cell r="F3626">
            <v>0</v>
          </cell>
          <cell r="G3626">
            <v>0</v>
          </cell>
          <cell r="H3626">
            <v>0</v>
          </cell>
          <cell r="I3626">
            <v>0</v>
          </cell>
          <cell r="J3626">
            <v>0</v>
          </cell>
        </row>
        <row r="3627">
          <cell r="B3627" t="str">
            <v>8.3.01.01.03</v>
          </cell>
          <cell r="C3627" t="str">
            <v>Defisit Penjualan Gedung dan Bangunan-LO</v>
          </cell>
          <cell r="F3627">
            <v>0</v>
          </cell>
          <cell r="G3627">
            <v>0</v>
          </cell>
          <cell r="H3627">
            <v>0</v>
          </cell>
          <cell r="I3627">
            <v>0</v>
          </cell>
          <cell r="J3627">
            <v>0</v>
          </cell>
        </row>
        <row r="3628">
          <cell r="B3628" t="str">
            <v>8.3.01.01.04</v>
          </cell>
          <cell r="C3628" t="str">
            <v>Defisit Penjualan Jalan, Jaringan, dan Irigasi-LO</v>
          </cell>
          <cell r="F3628">
            <v>0</v>
          </cell>
          <cell r="G3628">
            <v>0</v>
          </cell>
          <cell r="H3628">
            <v>0</v>
          </cell>
          <cell r="I3628">
            <v>0</v>
          </cell>
          <cell r="J3628">
            <v>0</v>
          </cell>
        </row>
        <row r="3629">
          <cell r="B3629" t="str">
            <v>8.3.01.01.05</v>
          </cell>
          <cell r="C3629" t="str">
            <v>Defisit Penjualan Aset Tetap Lainnya-LO</v>
          </cell>
          <cell r="F3629">
            <v>0</v>
          </cell>
          <cell r="G3629">
            <v>0</v>
          </cell>
          <cell r="H3629">
            <v>0</v>
          </cell>
          <cell r="I3629">
            <v>0</v>
          </cell>
          <cell r="J3629">
            <v>0</v>
          </cell>
        </row>
        <row r="3630">
          <cell r="B3630" t="str">
            <v>8.3.01.01.06</v>
          </cell>
          <cell r="C3630" t="str">
            <v>Defisit Penjualan Aset Lainnya-LO</v>
          </cell>
          <cell r="F3630">
            <v>0</v>
          </cell>
          <cell r="G3630">
            <v>0</v>
          </cell>
          <cell r="H3630">
            <v>0</v>
          </cell>
          <cell r="I3630">
            <v>0</v>
          </cell>
          <cell r="J3630">
            <v>0</v>
          </cell>
        </row>
        <row r="3631">
          <cell r="B3631" t="str">
            <v>8.3.01.01.07</v>
          </cell>
          <cell r="C3631" t="str">
            <v>Defisit Penjualan Aset Tidak Berwujud</v>
          </cell>
          <cell r="F3631">
            <v>0</v>
          </cell>
          <cell r="G3631">
            <v>0</v>
          </cell>
          <cell r="H3631">
            <v>0</v>
          </cell>
          <cell r="I3631">
            <v>0</v>
          </cell>
          <cell r="J3631">
            <v>0</v>
          </cell>
        </row>
        <row r="3632">
          <cell r="B3632" t="str">
            <v>8.3.01.01.08</v>
          </cell>
          <cell r="C3632" t="str">
            <v>Defisit Penjualan Aset Lain-Lain-LO</v>
          </cell>
          <cell r="F3632">
            <v>0</v>
          </cell>
          <cell r="G3632">
            <v>0</v>
          </cell>
          <cell r="H3632">
            <v>0</v>
          </cell>
          <cell r="I3632">
            <v>0</v>
          </cell>
          <cell r="J3632">
            <v>0</v>
          </cell>
        </row>
        <row r="3633">
          <cell r="B3633" t="str">
            <v>8.3.01.02</v>
          </cell>
          <cell r="C3633" t="str">
            <v>Defisit Tukar Menukar BMD yang Tidak Dipisahkan-LO</v>
          </cell>
          <cell r="D3633">
            <v>0</v>
          </cell>
          <cell r="E3633">
            <v>0</v>
          </cell>
          <cell r="J3633">
            <v>0</v>
          </cell>
        </row>
        <row r="3634">
          <cell r="B3634" t="str">
            <v>8.3.01.02.01</v>
          </cell>
          <cell r="C3634" t="str">
            <v>Defisit Tukar Menukar Tanah-LO</v>
          </cell>
          <cell r="F3634">
            <v>0</v>
          </cell>
          <cell r="G3634">
            <v>0</v>
          </cell>
          <cell r="H3634">
            <v>0</v>
          </cell>
          <cell r="I3634">
            <v>0</v>
          </cell>
          <cell r="J3634">
            <v>0</v>
          </cell>
        </row>
        <row r="3635">
          <cell r="B3635" t="str">
            <v>8.3.01.02.02</v>
          </cell>
          <cell r="C3635" t="str">
            <v>Defisit Tukar Menukar Peralatan dan Mesin-LO</v>
          </cell>
          <cell r="F3635">
            <v>0</v>
          </cell>
          <cell r="G3635">
            <v>0</v>
          </cell>
          <cell r="H3635">
            <v>0</v>
          </cell>
          <cell r="I3635">
            <v>0</v>
          </cell>
          <cell r="J3635">
            <v>0</v>
          </cell>
        </row>
        <row r="3636">
          <cell r="B3636" t="str">
            <v>8.3.01.02.03</v>
          </cell>
          <cell r="C3636" t="str">
            <v>Defisit Tukar Menukar Gedung dan Bangunan-LO</v>
          </cell>
          <cell r="F3636">
            <v>0</v>
          </cell>
          <cell r="G3636">
            <v>0</v>
          </cell>
          <cell r="H3636">
            <v>0</v>
          </cell>
          <cell r="I3636">
            <v>0</v>
          </cell>
          <cell r="J3636">
            <v>0</v>
          </cell>
        </row>
        <row r="3637">
          <cell r="B3637" t="str">
            <v>8.3.01.02.04</v>
          </cell>
          <cell r="C3637" t="str">
            <v>Defisit Tukar Menukar Jalan, Jaringan dan Irigasi-LO</v>
          </cell>
          <cell r="F3637">
            <v>0</v>
          </cell>
          <cell r="G3637">
            <v>0</v>
          </cell>
          <cell r="H3637">
            <v>0</v>
          </cell>
          <cell r="I3637">
            <v>0</v>
          </cell>
          <cell r="J3637">
            <v>0</v>
          </cell>
        </row>
        <row r="3638">
          <cell r="B3638" t="str">
            <v>8.3.01.02.05</v>
          </cell>
          <cell r="C3638" t="str">
            <v>Defisit Tukar Menukar Aset Tetap Lainnya-LO</v>
          </cell>
          <cell r="F3638">
            <v>0</v>
          </cell>
          <cell r="G3638">
            <v>0</v>
          </cell>
          <cell r="H3638">
            <v>0</v>
          </cell>
          <cell r="I3638">
            <v>0</v>
          </cell>
          <cell r="J3638">
            <v>0</v>
          </cell>
        </row>
        <row r="3639">
          <cell r="B3639" t="str">
            <v>8.3.01.02.06</v>
          </cell>
          <cell r="C3639" t="str">
            <v>Defisit Tukar Menukar Aset Lainnya-LO</v>
          </cell>
          <cell r="F3639">
            <v>0</v>
          </cell>
          <cell r="G3639">
            <v>0</v>
          </cell>
          <cell r="H3639">
            <v>0</v>
          </cell>
          <cell r="I3639">
            <v>0</v>
          </cell>
          <cell r="J3639">
            <v>0</v>
          </cell>
        </row>
        <row r="3640">
          <cell r="B3640" t="str">
            <v>8.3.01.02.07</v>
          </cell>
          <cell r="C3640" t="str">
            <v>Defisit Tukar Menukar Aset Tidak Berwujud</v>
          </cell>
          <cell r="F3640">
            <v>0</v>
          </cell>
          <cell r="G3640">
            <v>0</v>
          </cell>
          <cell r="H3640">
            <v>0</v>
          </cell>
          <cell r="I3640">
            <v>0</v>
          </cell>
          <cell r="J3640">
            <v>0</v>
          </cell>
        </row>
        <row r="3641">
          <cell r="B3641" t="str">
            <v>8.3.01.02.08</v>
          </cell>
          <cell r="C3641" t="str">
            <v>Defisit Tukar Menukar Aset Lain-Lain-LO</v>
          </cell>
          <cell r="F3641">
            <v>0</v>
          </cell>
          <cell r="G3641">
            <v>0</v>
          </cell>
          <cell r="H3641">
            <v>0</v>
          </cell>
          <cell r="I3641">
            <v>0</v>
          </cell>
          <cell r="J3641">
            <v>0</v>
          </cell>
        </row>
        <row r="3642">
          <cell r="B3642" t="str">
            <v>8.3.01.03</v>
          </cell>
          <cell r="C3642" t="str">
            <v>Defisit Pelepasan Investasi Jangka Panjang-LO</v>
          </cell>
          <cell r="D3642">
            <v>0</v>
          </cell>
          <cell r="E3642">
            <v>0</v>
          </cell>
          <cell r="J3642">
            <v>0</v>
          </cell>
        </row>
        <row r="3643">
          <cell r="B3643" t="str">
            <v>8.3.01.03.01</v>
          </cell>
          <cell r="C3643" t="str">
            <v>Defisit Pelepasan Investasi Jangka Panjang Non Permanen-LO</v>
          </cell>
          <cell r="F3643">
            <v>0</v>
          </cell>
          <cell r="G3643">
            <v>0</v>
          </cell>
          <cell r="H3643">
            <v>0</v>
          </cell>
          <cell r="I3643">
            <v>0</v>
          </cell>
          <cell r="J3643">
            <v>0</v>
          </cell>
        </row>
        <row r="3644">
          <cell r="B3644" t="str">
            <v>8.3.01.03.02</v>
          </cell>
          <cell r="C3644" t="str">
            <v>Defisit Pelepasan Investasi Jangka Panjang Permanen-LO</v>
          </cell>
          <cell r="F3644">
            <v>0</v>
          </cell>
          <cell r="G3644">
            <v>0</v>
          </cell>
          <cell r="H3644">
            <v>0</v>
          </cell>
          <cell r="I3644">
            <v>0</v>
          </cell>
          <cell r="J3644">
            <v>0</v>
          </cell>
        </row>
        <row r="3645">
          <cell r="B3645" t="str">
            <v>8.3.01.04</v>
          </cell>
          <cell r="C3645" t="str">
            <v>Defisit Penghapusan BMD yang Tidak Dipisahkan-LO</v>
          </cell>
          <cell r="D3645">
            <v>0</v>
          </cell>
          <cell r="E3645">
            <v>0</v>
          </cell>
          <cell r="J3645">
            <v>0</v>
          </cell>
        </row>
        <row r="3646">
          <cell r="B3646" t="str">
            <v>8.3.01.04.01</v>
          </cell>
          <cell r="C3646" t="str">
            <v>Defisit Penghapusan Tanah-LO</v>
          </cell>
          <cell r="F3646">
            <v>0</v>
          </cell>
          <cell r="G3646">
            <v>0</v>
          </cell>
          <cell r="H3646">
            <v>0</v>
          </cell>
          <cell r="I3646">
            <v>0</v>
          </cell>
          <cell r="J3646">
            <v>0</v>
          </cell>
        </row>
        <row r="3647">
          <cell r="B3647" t="str">
            <v>8.3.01.04.02</v>
          </cell>
          <cell r="C3647" t="str">
            <v>Defisit Penghapusan Peralatan dan Mesin-LO</v>
          </cell>
          <cell r="F3647">
            <v>0</v>
          </cell>
          <cell r="G3647">
            <v>0</v>
          </cell>
          <cell r="H3647">
            <v>0</v>
          </cell>
          <cell r="I3647">
            <v>0</v>
          </cell>
          <cell r="J3647">
            <v>0</v>
          </cell>
        </row>
        <row r="3648">
          <cell r="B3648" t="str">
            <v>8.3.01.04.03</v>
          </cell>
          <cell r="C3648" t="str">
            <v>Defisit Penghapusan Gedung dan Bangunan-LO</v>
          </cell>
          <cell r="F3648">
            <v>0</v>
          </cell>
          <cell r="G3648">
            <v>0</v>
          </cell>
          <cell r="H3648">
            <v>0</v>
          </cell>
          <cell r="I3648">
            <v>0</v>
          </cell>
          <cell r="J3648">
            <v>0</v>
          </cell>
        </row>
        <row r="3649">
          <cell r="B3649" t="str">
            <v>8.3.01.04.04</v>
          </cell>
          <cell r="C3649" t="str">
            <v>Defisit Penghapusan Jalan, Jaringan, dan Irigasi-LO</v>
          </cell>
          <cell r="F3649">
            <v>0</v>
          </cell>
          <cell r="G3649">
            <v>0</v>
          </cell>
          <cell r="H3649">
            <v>0</v>
          </cell>
          <cell r="I3649">
            <v>0</v>
          </cell>
          <cell r="J3649">
            <v>0</v>
          </cell>
        </row>
        <row r="3650">
          <cell r="B3650" t="str">
            <v>8.3.01.04.05</v>
          </cell>
          <cell r="C3650" t="str">
            <v>Defisit Penghapusan Aset Tetap Lainnya-LO</v>
          </cell>
          <cell r="F3650">
            <v>0</v>
          </cell>
          <cell r="G3650">
            <v>0</v>
          </cell>
          <cell r="H3650">
            <v>0</v>
          </cell>
          <cell r="I3650">
            <v>0</v>
          </cell>
          <cell r="J3650">
            <v>0</v>
          </cell>
        </row>
        <row r="3651">
          <cell r="B3651" t="str">
            <v>8.3.01.04.06</v>
          </cell>
          <cell r="C3651" t="str">
            <v>Defisit Penghapusan Aset Lainnya-LO</v>
          </cell>
          <cell r="F3651">
            <v>0</v>
          </cell>
          <cell r="G3651">
            <v>0</v>
          </cell>
          <cell r="H3651">
            <v>0</v>
          </cell>
          <cell r="I3651">
            <v>0</v>
          </cell>
          <cell r="J3651">
            <v>0</v>
          </cell>
        </row>
        <row r="3652">
          <cell r="B3652" t="str">
            <v>8.3.01.04.07</v>
          </cell>
          <cell r="C3652" t="str">
            <v>Defisit Penghapusan Aset Tidak Berwujud</v>
          </cell>
          <cell r="F3652">
            <v>0</v>
          </cell>
          <cell r="G3652">
            <v>0</v>
          </cell>
          <cell r="H3652">
            <v>0</v>
          </cell>
          <cell r="I3652">
            <v>0</v>
          </cell>
          <cell r="J3652">
            <v>0</v>
          </cell>
        </row>
        <row r="3653">
          <cell r="B3653" t="str">
            <v>8.3.01.04.08</v>
          </cell>
          <cell r="C3653" t="str">
            <v>Defisit Penghapusan Aset Lain-Lain-LO</v>
          </cell>
          <cell r="F3653">
            <v>0</v>
          </cell>
          <cell r="G3653">
            <v>0</v>
          </cell>
          <cell r="H3653">
            <v>0</v>
          </cell>
          <cell r="I3653">
            <v>0</v>
          </cell>
          <cell r="J3653">
            <v>0</v>
          </cell>
        </row>
        <row r="3655">
          <cell r="B3655" t="str">
            <v>8.3.02</v>
          </cell>
          <cell r="C3655" t="str">
            <v>Defisit Penyelesaian Kewajiban Jangka Panjang-LO</v>
          </cell>
          <cell r="D3655">
            <v>0</v>
          </cell>
          <cell r="E3655">
            <v>0</v>
          </cell>
          <cell r="J3655">
            <v>0</v>
          </cell>
        </row>
        <row r="3656">
          <cell r="B3656" t="str">
            <v>8.3.02.01</v>
          </cell>
          <cell r="C3656" t="str">
            <v>Defisit Penyelesaian Utang kepada Pemerintah Pusat-LO</v>
          </cell>
          <cell r="D3656">
            <v>0</v>
          </cell>
          <cell r="E3656">
            <v>0</v>
          </cell>
          <cell r="J3656">
            <v>0</v>
          </cell>
        </row>
        <row r="3657">
          <cell r="B3657" t="str">
            <v>8.3.02.01.01</v>
          </cell>
          <cell r="C3657" t="str">
            <v>Defisit Penyelesaian Utang kepada Pemerintah Pusat-Penerusan Pinjaman Dalam Negeri-Jangka Menengah-LO</v>
          </cell>
          <cell r="F3657">
            <v>0</v>
          </cell>
          <cell r="G3657">
            <v>0</v>
          </cell>
          <cell r="H3657">
            <v>0</v>
          </cell>
          <cell r="I3657">
            <v>0</v>
          </cell>
          <cell r="J3657">
            <v>0</v>
          </cell>
        </row>
        <row r="3658">
          <cell r="B3658" t="str">
            <v>8.3.02.01.02</v>
          </cell>
          <cell r="C3658" t="str">
            <v>Defisit Penyelesaian Utang kepada Pemerintah Pusat-Penerusan Pinjaman Dalam Negeri-Jangka Panjang-LO</v>
          </cell>
          <cell r="F3658">
            <v>0</v>
          </cell>
          <cell r="G3658">
            <v>0</v>
          </cell>
          <cell r="H3658">
            <v>0</v>
          </cell>
          <cell r="I3658">
            <v>0</v>
          </cell>
          <cell r="J3658">
            <v>0</v>
          </cell>
        </row>
        <row r="3659">
          <cell r="B3659" t="str">
            <v>8.3.02.01.03</v>
          </cell>
          <cell r="C3659" t="str">
            <v>Defisit Penyelesaian Utang kepada Pemerintah Pusat-Penerusan Pinjaman Luar Negeri-Jangka Menengah-LO</v>
          </cell>
          <cell r="F3659">
            <v>0</v>
          </cell>
          <cell r="G3659">
            <v>0</v>
          </cell>
          <cell r="H3659">
            <v>0</v>
          </cell>
          <cell r="I3659">
            <v>0</v>
          </cell>
          <cell r="J3659">
            <v>0</v>
          </cell>
        </row>
        <row r="3660">
          <cell r="B3660" t="str">
            <v>8.3.02.01.04</v>
          </cell>
          <cell r="C3660" t="str">
            <v>Defisit Penyelesaian Utang kepada Pemerintah Pusat-Penerusan Pinjaman Luar Negeri-Jangka Panjang-LO</v>
          </cell>
          <cell r="F3660">
            <v>0</v>
          </cell>
          <cell r="G3660">
            <v>0</v>
          </cell>
          <cell r="H3660">
            <v>0</v>
          </cell>
          <cell r="I3660">
            <v>0</v>
          </cell>
          <cell r="J3660">
            <v>0</v>
          </cell>
        </row>
        <row r="3661">
          <cell r="B3661" t="str">
            <v>8.3.02.01.05</v>
          </cell>
          <cell r="C3661" t="str">
            <v>Defisit Penyelesaian Utang kepada Pemerintah Pusat-Sumber Lainnya sesuai dengan Ketentuan Peraturan Perundang-Undangan-Jangka Menengah-LO</v>
          </cell>
          <cell r="F3661">
            <v>0</v>
          </cell>
          <cell r="G3661">
            <v>0</v>
          </cell>
          <cell r="H3661">
            <v>0</v>
          </cell>
          <cell r="I3661">
            <v>0</v>
          </cell>
          <cell r="J3661">
            <v>0</v>
          </cell>
        </row>
        <row r="3662">
          <cell r="B3662" t="str">
            <v>8.3.02.01.06</v>
          </cell>
          <cell r="C3662" t="str">
            <v>Defisit Penyelesaian Utang kepada Pemerintah Pusat-Sumber Lainnya sesuai dengan Ketentuan Peraturan Perundang-Undangan-Jangka Panjang-LO</v>
          </cell>
          <cell r="F3662">
            <v>0</v>
          </cell>
          <cell r="G3662">
            <v>0</v>
          </cell>
          <cell r="H3662">
            <v>0</v>
          </cell>
          <cell r="I3662">
            <v>0</v>
          </cell>
          <cell r="J3662">
            <v>0</v>
          </cell>
        </row>
        <row r="3663">
          <cell r="B3663" t="str">
            <v>8.3.02.02</v>
          </cell>
          <cell r="C3663" t="str">
            <v>Defisit Penyelesaian Utang kepada Lembaga Keuangan Bank (LKB)-LO</v>
          </cell>
          <cell r="D3663">
            <v>0</v>
          </cell>
          <cell r="E3663">
            <v>0</v>
          </cell>
          <cell r="J3663">
            <v>0</v>
          </cell>
        </row>
        <row r="3664">
          <cell r="B3664" t="str">
            <v>8.3.02.02.01</v>
          </cell>
          <cell r="C3664" t="str">
            <v>Defisit Penyelesaian Utang kepada LKB-BUMN-Jangka Menengah-LO</v>
          </cell>
          <cell r="F3664">
            <v>0</v>
          </cell>
          <cell r="G3664">
            <v>0</v>
          </cell>
          <cell r="H3664">
            <v>0</v>
          </cell>
          <cell r="I3664">
            <v>0</v>
          </cell>
          <cell r="J3664">
            <v>0</v>
          </cell>
        </row>
        <row r="3665">
          <cell r="B3665" t="str">
            <v>8.3.02.02.02</v>
          </cell>
          <cell r="C3665" t="str">
            <v>Defisit Penyelesaian Utang kepada LKB-BUMN-Jangka Panjang-LO</v>
          </cell>
          <cell r="F3665">
            <v>0</v>
          </cell>
          <cell r="G3665">
            <v>0</v>
          </cell>
          <cell r="H3665">
            <v>0</v>
          </cell>
          <cell r="I3665">
            <v>0</v>
          </cell>
          <cell r="J3665">
            <v>0</v>
          </cell>
        </row>
        <row r="3666">
          <cell r="B3666" t="str">
            <v>8.3.02.02.03</v>
          </cell>
          <cell r="C3666" t="str">
            <v>Defisit Penyelesaian Utang kepada LKB-BUMD-Jangka Menengah-LO</v>
          </cell>
          <cell r="F3666">
            <v>0</v>
          </cell>
          <cell r="G3666">
            <v>0</v>
          </cell>
          <cell r="H3666">
            <v>0</v>
          </cell>
          <cell r="I3666">
            <v>0</v>
          </cell>
          <cell r="J3666">
            <v>0</v>
          </cell>
        </row>
        <row r="3667">
          <cell r="B3667" t="str">
            <v>8.3.02.02.04</v>
          </cell>
          <cell r="C3667" t="str">
            <v>Defisit Penyelesaian Utang kepada LKB-BUMD-Jangka Panjang-LO</v>
          </cell>
          <cell r="F3667">
            <v>0</v>
          </cell>
          <cell r="G3667">
            <v>0</v>
          </cell>
          <cell r="H3667">
            <v>0</v>
          </cell>
          <cell r="I3667">
            <v>0</v>
          </cell>
          <cell r="J3667">
            <v>0</v>
          </cell>
        </row>
        <row r="3668">
          <cell r="B3668" t="str">
            <v>8.3.02.02.05</v>
          </cell>
          <cell r="C3668" t="str">
            <v>Defisit Penyelesaian Utang kepada LKB-Swasta-Jangka Menengah-LO</v>
          </cell>
          <cell r="F3668">
            <v>0</v>
          </cell>
          <cell r="G3668">
            <v>0</v>
          </cell>
          <cell r="H3668">
            <v>0</v>
          </cell>
          <cell r="I3668">
            <v>0</v>
          </cell>
          <cell r="J3668">
            <v>0</v>
          </cell>
        </row>
        <row r="3669">
          <cell r="B3669" t="str">
            <v>8.3.02.02.06</v>
          </cell>
          <cell r="C3669" t="str">
            <v>Defisit Penyelesaian Utang kepada LKB-Swasta-Jangka Panjang-LO</v>
          </cell>
          <cell r="F3669">
            <v>0</v>
          </cell>
          <cell r="G3669">
            <v>0</v>
          </cell>
          <cell r="H3669">
            <v>0</v>
          </cell>
          <cell r="I3669">
            <v>0</v>
          </cell>
          <cell r="J3669">
            <v>0</v>
          </cell>
        </row>
        <row r="3670">
          <cell r="B3670" t="str">
            <v>8.3.02.03</v>
          </cell>
          <cell r="C3670" t="str">
            <v>Defisit Penyelesaian Utang kepada Lembaga Keuangan Bukan Bank (LKBB)-LO</v>
          </cell>
          <cell r="D3670">
            <v>0</v>
          </cell>
          <cell r="E3670">
            <v>0</v>
          </cell>
          <cell r="J3670">
            <v>0</v>
          </cell>
        </row>
        <row r="3671">
          <cell r="B3671" t="str">
            <v>8.3.02.03.01</v>
          </cell>
          <cell r="C3671" t="str">
            <v>Defisit Penyelesaian Utang kepada Lembaga Keuangan Bukan Bank (LKBB)-BUMN-Jangka Menengah-LO</v>
          </cell>
          <cell r="F3671">
            <v>0</v>
          </cell>
          <cell r="G3671">
            <v>0</v>
          </cell>
          <cell r="H3671">
            <v>0</v>
          </cell>
          <cell r="I3671">
            <v>0</v>
          </cell>
          <cell r="J3671">
            <v>0</v>
          </cell>
        </row>
        <row r="3672">
          <cell r="B3672" t="str">
            <v>8.3.02.03.02</v>
          </cell>
          <cell r="C3672" t="str">
            <v>Defisit Penyelesaian Utang kepada Lembaga Keuangan Bukan Bank (LKBB)-BUMN-Jangka Panjang-LO</v>
          </cell>
          <cell r="F3672">
            <v>0</v>
          </cell>
          <cell r="G3672">
            <v>0</v>
          </cell>
          <cell r="H3672">
            <v>0</v>
          </cell>
          <cell r="I3672">
            <v>0</v>
          </cell>
          <cell r="J3672">
            <v>0</v>
          </cell>
        </row>
        <row r="3673">
          <cell r="B3673" t="str">
            <v>8.3.02.03.03</v>
          </cell>
          <cell r="C3673" t="str">
            <v>Defisit Penyelesaian Utang kepada Lembaga Keuangan Bukan Bank (LKBB)-BUMD-Jangka Menengah-LO</v>
          </cell>
          <cell r="F3673">
            <v>0</v>
          </cell>
          <cell r="G3673">
            <v>0</v>
          </cell>
          <cell r="H3673">
            <v>0</v>
          </cell>
          <cell r="I3673">
            <v>0</v>
          </cell>
          <cell r="J3673">
            <v>0</v>
          </cell>
        </row>
        <row r="3674">
          <cell r="B3674" t="str">
            <v>8.3.02.03.04</v>
          </cell>
          <cell r="C3674" t="str">
            <v>Defisit Penyelesaian Utang kepada Lembaga Keuangan Bukan Bank (LKBB)-BUMD-Jangka Panjang-LO</v>
          </cell>
          <cell r="F3674">
            <v>0</v>
          </cell>
          <cell r="G3674">
            <v>0</v>
          </cell>
          <cell r="H3674">
            <v>0</v>
          </cell>
          <cell r="I3674">
            <v>0</v>
          </cell>
          <cell r="J3674">
            <v>0</v>
          </cell>
        </row>
        <row r="3675">
          <cell r="B3675" t="str">
            <v>8.3.02.03.05</v>
          </cell>
          <cell r="C3675" t="str">
            <v>Defisit Penyelesaian Utang kepada Lembaga Keuangan Bukan Bank (LKBB)-Swasta-Jangka Menengah-LO</v>
          </cell>
          <cell r="F3675">
            <v>0</v>
          </cell>
          <cell r="G3675">
            <v>0</v>
          </cell>
          <cell r="H3675">
            <v>0</v>
          </cell>
          <cell r="I3675">
            <v>0</v>
          </cell>
          <cell r="J3675">
            <v>0</v>
          </cell>
        </row>
        <row r="3676">
          <cell r="B3676" t="str">
            <v>8.3.02.04</v>
          </cell>
          <cell r="C3676" t="str">
            <v>Defisit Penyelesaian Pinjaman Daerah</v>
          </cell>
          <cell r="D3676">
            <v>0</v>
          </cell>
          <cell r="E3676">
            <v>0</v>
          </cell>
          <cell r="J3676">
            <v>0</v>
          </cell>
        </row>
        <row r="3677">
          <cell r="B3677" t="str">
            <v>8.3.02.04.01</v>
          </cell>
          <cell r="C3677" t="str">
            <v>Defisit Penyelesaian Pinjaman Daerah dari Pemerintah</v>
          </cell>
          <cell r="F3677">
            <v>0</v>
          </cell>
          <cell r="G3677">
            <v>0</v>
          </cell>
          <cell r="H3677">
            <v>0</v>
          </cell>
          <cell r="I3677">
            <v>0</v>
          </cell>
          <cell r="J3677">
            <v>0</v>
          </cell>
        </row>
        <row r="3678">
          <cell r="B3678" t="str">
            <v>8.3.02.04.02</v>
          </cell>
          <cell r="C3678" t="str">
            <v>Defisit Penyelesaian Pinjaman Daerah dari Pemerintah Daerah Lain</v>
          </cell>
          <cell r="F3678">
            <v>0</v>
          </cell>
          <cell r="G3678">
            <v>0</v>
          </cell>
          <cell r="H3678">
            <v>0</v>
          </cell>
          <cell r="I3678">
            <v>0</v>
          </cell>
          <cell r="J3678">
            <v>0</v>
          </cell>
        </row>
        <row r="3679">
          <cell r="B3679" t="str">
            <v>8.3.02.04.03</v>
          </cell>
          <cell r="C3679" t="str">
            <v>Defisit Penyelesaian Pinjaman Daerah dari Lembaga Keuangan Bank (LKB)</v>
          </cell>
          <cell r="F3679">
            <v>0</v>
          </cell>
          <cell r="G3679">
            <v>0</v>
          </cell>
          <cell r="H3679">
            <v>0</v>
          </cell>
          <cell r="I3679">
            <v>0</v>
          </cell>
          <cell r="J3679">
            <v>0</v>
          </cell>
        </row>
        <row r="3680">
          <cell r="B3680" t="str">
            <v>8.3.02.04.04</v>
          </cell>
          <cell r="C3680" t="str">
            <v>Defisit Penyelesaian Pinjaman Daerah dari Lembaga Keuangan Bukan Bank (LKBB)</v>
          </cell>
          <cell r="F3680">
            <v>0</v>
          </cell>
          <cell r="G3680">
            <v>0</v>
          </cell>
          <cell r="H3680">
            <v>0</v>
          </cell>
          <cell r="I3680">
            <v>0</v>
          </cell>
          <cell r="J3680">
            <v>0</v>
          </cell>
        </row>
        <row r="3681">
          <cell r="B3681" t="str">
            <v>8.3.02.05</v>
          </cell>
          <cell r="C3681" t="str">
            <v>Defisit Penyelesaian Obligasi Daerah</v>
          </cell>
          <cell r="D3681">
            <v>0</v>
          </cell>
          <cell r="E3681">
            <v>0</v>
          </cell>
          <cell r="J3681">
            <v>0</v>
          </cell>
        </row>
        <row r="3682">
          <cell r="B3682" t="str">
            <v>8.3.02.05.01</v>
          </cell>
          <cell r="C3682" t="str">
            <v>Defisit Penyelesaian Obligasi Daerah</v>
          </cell>
          <cell r="F3682">
            <v>0</v>
          </cell>
          <cell r="G3682">
            <v>0</v>
          </cell>
          <cell r="H3682">
            <v>0</v>
          </cell>
          <cell r="I3682">
            <v>0</v>
          </cell>
          <cell r="J3682">
            <v>0</v>
          </cell>
        </row>
        <row r="3683">
          <cell r="B3683" t="str">
            <v>8.3.02.06</v>
          </cell>
          <cell r="C3683" t="str">
            <v>Defisit Penyelesaian Sukuk Daerah</v>
          </cell>
          <cell r="D3683">
            <v>0</v>
          </cell>
          <cell r="E3683">
            <v>0</v>
          </cell>
          <cell r="J3683">
            <v>0</v>
          </cell>
        </row>
        <row r="3684">
          <cell r="B3684" t="str">
            <v>8.3.02.06.01</v>
          </cell>
          <cell r="C3684" t="str">
            <v>Defisit Penyelesaian Sukuk Daerah</v>
          </cell>
          <cell r="F3684">
            <v>0</v>
          </cell>
          <cell r="G3684">
            <v>0</v>
          </cell>
          <cell r="H3684">
            <v>0</v>
          </cell>
          <cell r="I3684">
            <v>0</v>
          </cell>
          <cell r="J3684">
            <v>0</v>
          </cell>
        </row>
        <row r="3686">
          <cell r="B3686" t="str">
            <v>8.3.03</v>
          </cell>
          <cell r="C3686" t="str">
            <v>Defisit dari Kegiatan Non Operasional Lainnya-LO</v>
          </cell>
          <cell r="D3686">
            <v>2637947789.25</v>
          </cell>
          <cell r="E3686">
            <v>8243647835.4400005</v>
          </cell>
          <cell r="J3686">
            <v>8243647835.4400005</v>
          </cell>
        </row>
        <row r="3687">
          <cell r="B3687" t="str">
            <v>8.3.03.01</v>
          </cell>
          <cell r="C3687" t="str">
            <v>Defisit dari Kegiatan Non Operasional Lainnya-LO</v>
          </cell>
          <cell r="D3687">
            <v>1560514561</v>
          </cell>
          <cell r="E3687">
            <v>6670384254.5</v>
          </cell>
          <cell r="J3687">
            <v>6670384254.5</v>
          </cell>
        </row>
        <row r="3688">
          <cell r="B3688" t="str">
            <v>8.3.03.01.01</v>
          </cell>
          <cell r="C3688" t="str">
            <v>Defisit dari Kegiatan Non Operasional Lainnya-LO</v>
          </cell>
          <cell r="D3688">
            <v>1560514561</v>
          </cell>
          <cell r="E3688">
            <v>6670384254.5</v>
          </cell>
          <cell r="F3688">
            <v>0</v>
          </cell>
          <cell r="G3688">
            <v>0</v>
          </cell>
          <cell r="H3688">
            <v>0</v>
          </cell>
          <cell r="I3688">
            <v>0</v>
          </cell>
          <cell r="J3688">
            <v>6670384254.5</v>
          </cell>
        </row>
        <row r="3689">
          <cell r="B3689" t="str">
            <v>8.3.03.02</v>
          </cell>
          <cell r="C3689" t="str">
            <v>Defisit Pelepasan Investasi Jangka Pendek-LO</v>
          </cell>
          <cell r="D3689">
            <v>0</v>
          </cell>
          <cell r="E3689">
            <v>0</v>
          </cell>
          <cell r="J3689">
            <v>0</v>
          </cell>
        </row>
        <row r="3690">
          <cell r="B3690" t="str">
            <v>8.3.03.02.01</v>
          </cell>
          <cell r="C3690" t="str">
            <v>Defisit Pelepasan Investasi Jangka Pendek-LO</v>
          </cell>
          <cell r="F3690">
            <v>0</v>
          </cell>
          <cell r="G3690">
            <v>0</v>
          </cell>
          <cell r="H3690">
            <v>0</v>
          </cell>
          <cell r="I3690">
            <v>0</v>
          </cell>
          <cell r="J3690">
            <v>0</v>
          </cell>
        </row>
        <row r="3691">
          <cell r="B3691" t="str">
            <v>8.3.03.03</v>
          </cell>
          <cell r="C3691" t="str">
            <v>Defisit Non Operasional-Penurunan Nilai Investasi-LO</v>
          </cell>
          <cell r="D3691">
            <v>1077433228.25</v>
          </cell>
          <cell r="E3691">
            <v>1573263580.9400001</v>
          </cell>
          <cell r="J3691">
            <v>1573263580.9400001</v>
          </cell>
        </row>
        <row r="3692">
          <cell r="B3692" t="str">
            <v>8.3.03.03.01</v>
          </cell>
          <cell r="C3692" t="str">
            <v>Defisit Non Operasional-Penurunan Nilai Investasi-LO</v>
          </cell>
          <cell r="D3692">
            <v>1077433228.25</v>
          </cell>
          <cell r="E3692">
            <v>1573263580.9400001</v>
          </cell>
          <cell r="F3692">
            <v>0</v>
          </cell>
          <cell r="G3692">
            <v>0</v>
          </cell>
          <cell r="H3692">
            <v>0</v>
          </cell>
          <cell r="I3692">
            <v>0</v>
          </cell>
          <cell r="J3692">
            <v>1573263580.9400001</v>
          </cell>
        </row>
        <row r="3694">
          <cell r="B3694" t="str">
            <v>LO</v>
          </cell>
          <cell r="C3694" t="str">
            <v>SURPLUS/(DEFISIT) DARI KEGIATAN NON OPERASIONAL</v>
          </cell>
          <cell r="D3694">
            <v>-2627586859.25</v>
          </cell>
          <cell r="E3694">
            <v>-8243647835.4400005</v>
          </cell>
          <cell r="J3694">
            <v>-8243647835.4400005</v>
          </cell>
        </row>
        <row r="3696">
          <cell r="B3696" t="str">
            <v>LO</v>
          </cell>
          <cell r="C3696" t="str">
            <v>SURPLUS/(DEFISIT) SEBELUM POS LUAR BIASA</v>
          </cell>
          <cell r="D3696">
            <v>-102088325598.01709</v>
          </cell>
          <cell r="E3696">
            <v>1160807342.8798237</v>
          </cell>
          <cell r="J3696">
            <v>41874679377.043884</v>
          </cell>
        </row>
        <row r="3698">
          <cell r="B3698" t="str">
            <v>7.5</v>
          </cell>
          <cell r="C3698" t="str">
            <v>PENDAPATAN LUAR BIASA-LO</v>
          </cell>
          <cell r="D3698">
            <v>0</v>
          </cell>
          <cell r="E3698">
            <v>0</v>
          </cell>
          <cell r="J3698">
            <v>0</v>
          </cell>
        </row>
        <row r="3699">
          <cell r="B3699" t="str">
            <v>7.5.01</v>
          </cell>
          <cell r="C3699" t="str">
            <v>Pendapatan Luar Biasa-LO</v>
          </cell>
          <cell r="D3699">
            <v>0</v>
          </cell>
          <cell r="E3699">
            <v>0</v>
          </cell>
          <cell r="J3699">
            <v>0</v>
          </cell>
        </row>
        <row r="3700">
          <cell r="B3700" t="str">
            <v>7.5.01.01</v>
          </cell>
          <cell r="C3700" t="str">
            <v>Pendapatan Luar Biasa-LO</v>
          </cell>
          <cell r="D3700">
            <v>0</v>
          </cell>
          <cell r="E3700">
            <v>0</v>
          </cell>
          <cell r="J3700">
            <v>0</v>
          </cell>
        </row>
        <row r="3701">
          <cell r="B3701" t="str">
            <v>7.5.01.01.01</v>
          </cell>
          <cell r="C3701" t="str">
            <v>Pendapatan Luar Biasa-LO</v>
          </cell>
          <cell r="F3701">
            <v>0</v>
          </cell>
          <cell r="G3701">
            <v>0</v>
          </cell>
          <cell r="H3701">
            <v>0</v>
          </cell>
          <cell r="I3701">
            <v>0</v>
          </cell>
          <cell r="J3701">
            <v>0</v>
          </cell>
        </row>
        <row r="3703">
          <cell r="B3703" t="str">
            <v>8.4</v>
          </cell>
          <cell r="C3703" t="str">
            <v>BEBAN LUAR BIASA</v>
          </cell>
          <cell r="D3703">
            <v>0</v>
          </cell>
          <cell r="E3703">
            <v>3938150000</v>
          </cell>
          <cell r="J3703">
            <v>0</v>
          </cell>
        </row>
        <row r="3704">
          <cell r="B3704" t="str">
            <v>8.4.01</v>
          </cell>
          <cell r="C3704" t="str">
            <v>Beban Luar Biasa</v>
          </cell>
          <cell r="D3704">
            <v>0</v>
          </cell>
          <cell r="E3704">
            <v>3938150000</v>
          </cell>
          <cell r="J3704">
            <v>0</v>
          </cell>
        </row>
        <row r="3705">
          <cell r="B3705" t="str">
            <v>8.4.01.01</v>
          </cell>
          <cell r="C3705" t="str">
            <v>Beban Tidak Terduga</v>
          </cell>
          <cell r="D3705">
            <v>0</v>
          </cell>
          <cell r="E3705">
            <v>3938150000</v>
          </cell>
          <cell r="J3705">
            <v>0</v>
          </cell>
        </row>
        <row r="3706">
          <cell r="B3706" t="str">
            <v>8.4.01.01.01</v>
          </cell>
          <cell r="C3706" t="str">
            <v>Beban Tidak Terduga</v>
          </cell>
          <cell r="E3706">
            <v>3938150000</v>
          </cell>
          <cell r="F3706">
            <v>0</v>
          </cell>
          <cell r="G3706">
            <v>3938150000</v>
          </cell>
          <cell r="H3706">
            <v>0</v>
          </cell>
          <cell r="I3706">
            <v>0</v>
          </cell>
          <cell r="J3706">
            <v>0</v>
          </cell>
        </row>
        <row r="3707">
          <cell r="B3707" t="str">
            <v>8.4.01.02</v>
          </cell>
          <cell r="C3707" t="str">
            <v>Beban Luar Biasa Lainnya</v>
          </cell>
          <cell r="D3707">
            <v>0</v>
          </cell>
          <cell r="E3707">
            <v>0</v>
          </cell>
          <cell r="J3707">
            <v>0</v>
          </cell>
        </row>
        <row r="3708">
          <cell r="B3708" t="str">
            <v>8.4.01.02.01</v>
          </cell>
          <cell r="C3708" t="str">
            <v>Beban Luar Biasa Lainnya</v>
          </cell>
          <cell r="F3708">
            <v>0</v>
          </cell>
          <cell r="G3708">
            <v>0</v>
          </cell>
          <cell r="H3708">
            <v>0</v>
          </cell>
          <cell r="I3708">
            <v>0</v>
          </cell>
          <cell r="J3708">
            <v>0</v>
          </cell>
        </row>
        <row r="3710">
          <cell r="B3710" t="str">
            <v>LO</v>
          </cell>
          <cell r="C3710" t="str">
            <v>SURPLUS/(DEFISIT) DARI POS LUAR BIASA</v>
          </cell>
          <cell r="D3710">
            <v>0</v>
          </cell>
          <cell r="E3710">
            <v>-3938150000</v>
          </cell>
          <cell r="J3710">
            <v>0</v>
          </cell>
        </row>
        <row r="3712">
          <cell r="B3712" t="str">
            <v>LO</v>
          </cell>
          <cell r="C3712" t="str">
            <v>SURPLUS/(DEFISIT)-LO</v>
          </cell>
          <cell r="D3712">
            <v>-102088325598.01709</v>
          </cell>
          <cell r="E3712">
            <v>-2777342657.1201763</v>
          </cell>
          <cell r="J3712">
            <v>41874679377.043884</v>
          </cell>
        </row>
        <row r="3714">
          <cell r="C3714" t="str">
            <v>LAPORAN PERUBAHAN EKUITAS</v>
          </cell>
          <cell r="D3714" t="str">
            <v>LPE</v>
          </cell>
          <cell r="E3714" t="str">
            <v>LPE</v>
          </cell>
          <cell r="F3714" t="str">
            <v>LPE</v>
          </cell>
          <cell r="G3714" t="str">
            <v>LPE</v>
          </cell>
          <cell r="H3714" t="str">
            <v>LPE</v>
          </cell>
          <cell r="I3714" t="str">
            <v>LPE</v>
          </cell>
          <cell r="J3714" t="str">
            <v>LPE</v>
          </cell>
        </row>
        <row r="3716">
          <cell r="C3716" t="str">
            <v>EKUITAS AWAL</v>
          </cell>
          <cell r="D3716">
            <v>3046908306073.6416</v>
          </cell>
          <cell r="E3716" t="str">
            <v>2.956.074.627.448,94</v>
          </cell>
          <cell r="J3716" t="str">
            <v>2.956.074.627.448,94</v>
          </cell>
        </row>
        <row r="3718">
          <cell r="C3718" t="str">
            <v>SURPLUS/(DEFISIT)-LO</v>
          </cell>
          <cell r="D3718">
            <v>-102088325598.01709</v>
          </cell>
          <cell r="E3718">
            <v>-2777342657.1201763</v>
          </cell>
          <cell r="J3718">
            <v>41874679377.043884</v>
          </cell>
        </row>
        <row r="3720">
          <cell r="C3720" t="str">
            <v>DAMPAK KUMULATIF PERUBAHAN KEBIJAKAN/KESALAHAN MENDASAR</v>
          </cell>
          <cell r="D3720">
            <v>11254646973.320002</v>
          </cell>
          <cell r="E3720">
            <v>7389296250.7099991</v>
          </cell>
          <cell r="J3720">
            <v>3684982431.6799974</v>
          </cell>
        </row>
        <row r="3721">
          <cell r="C3721" t="str">
            <v>Koreksi Ekuitas-Aset Lancar</v>
          </cell>
          <cell r="D3721">
            <v>577339061.30999994</v>
          </cell>
          <cell r="E3721">
            <v>5438187.96</v>
          </cell>
          <cell r="F3721">
            <v>439901000</v>
          </cell>
          <cell r="G3721">
            <v>89362.559999999998</v>
          </cell>
          <cell r="H3721">
            <v>0</v>
          </cell>
          <cell r="I3721">
            <v>0</v>
          </cell>
          <cell r="J3721">
            <v>-434373449.48000002</v>
          </cell>
        </row>
        <row r="3722">
          <cell r="C3722" t="str">
            <v>Koreksi Ekuitas-Investasi Jangka Panjang</v>
          </cell>
          <cell r="F3722">
            <v>2243284631.5899997</v>
          </cell>
          <cell r="G3722">
            <v>0</v>
          </cell>
          <cell r="H3722">
            <v>0</v>
          </cell>
          <cell r="I3722">
            <v>0</v>
          </cell>
          <cell r="J3722">
            <v>-2243284631.5899997</v>
          </cell>
        </row>
        <row r="3723">
          <cell r="C3723" t="str">
            <v>Koreksi Ekuitas-Aset Tetap</v>
          </cell>
          <cell r="D3723">
            <v>14410754912.010002</v>
          </cell>
          <cell r="E3723">
            <v>9699529786.0699997</v>
          </cell>
          <cell r="F3723">
            <v>9347053165.1392841</v>
          </cell>
          <cell r="G3723">
            <v>8118155768.1392813</v>
          </cell>
          <cell r="H3723">
            <v>0</v>
          </cell>
          <cell r="I3723">
            <v>0</v>
          </cell>
          <cell r="J3723">
            <v>8470632389.0699968</v>
          </cell>
        </row>
        <row r="3724">
          <cell r="C3724" t="str">
            <v>Koreksi Ekuitas-Dana Cadangan</v>
          </cell>
          <cell r="F3724">
            <v>0</v>
          </cell>
          <cell r="G3724">
            <v>0</v>
          </cell>
          <cell r="H3724">
            <v>0</v>
          </cell>
          <cell r="I3724">
            <v>0</v>
          </cell>
          <cell r="J3724">
            <v>0</v>
          </cell>
        </row>
        <row r="3725">
          <cell r="C3725" t="str">
            <v>Koreksi Ekuitas-Aset Lainnya</v>
          </cell>
          <cell r="E3725">
            <v>-204582951.31999999</v>
          </cell>
          <cell r="F3725">
            <v>0</v>
          </cell>
          <cell r="G3725">
            <v>0</v>
          </cell>
          <cell r="H3725">
            <v>0</v>
          </cell>
          <cell r="I3725">
            <v>0</v>
          </cell>
          <cell r="J3725">
            <v>-204582951.31999999</v>
          </cell>
        </row>
        <row r="3726">
          <cell r="C3726" t="str">
            <v>Koreksi Ekuitas-Properti Investasi</v>
          </cell>
          <cell r="F3726">
            <v>0</v>
          </cell>
          <cell r="G3726">
            <v>0</v>
          </cell>
          <cell r="H3726">
            <v>0</v>
          </cell>
          <cell r="I3726">
            <v>0</v>
          </cell>
          <cell r="J3726">
            <v>0</v>
          </cell>
        </row>
        <row r="3727">
          <cell r="C3727" t="str">
            <v>Koreksi Ekuitas-Kewajiban Jangka Pendek</v>
          </cell>
          <cell r="D3727">
            <v>-2840327000</v>
          </cell>
          <cell r="F3727">
            <v>0</v>
          </cell>
          <cell r="G3727">
            <v>207679847</v>
          </cell>
          <cell r="H3727">
            <v>0</v>
          </cell>
          <cell r="I3727">
            <v>0</v>
          </cell>
          <cell r="J3727">
            <v>207679847</v>
          </cell>
        </row>
        <row r="3728">
          <cell r="C3728" t="str">
            <v>Koreksi Ekuitas-Kewajiban Jangka Panjang</v>
          </cell>
          <cell r="D3728">
            <v>-893120000</v>
          </cell>
          <cell r="E3728">
            <v>-2111088772</v>
          </cell>
          <cell r="F3728">
            <v>0</v>
          </cell>
          <cell r="G3728">
            <v>0</v>
          </cell>
          <cell r="H3728">
            <v>0</v>
          </cell>
          <cell r="I3728">
            <v>0</v>
          </cell>
          <cell r="J3728">
            <v>-2111088772</v>
          </cell>
        </row>
        <row r="3730">
          <cell r="C3730" t="str">
            <v>EKUITAS AKHIR</v>
          </cell>
          <cell r="D3730" t="str">
            <v>2.956.074.627.448,94</v>
          </cell>
          <cell r="E3730" t="str">
            <v>2.960.686.581.042,53</v>
          </cell>
          <cell r="J3730" t="str">
            <v>3.001.634.289.257,66</v>
          </cell>
        </row>
        <row r="3732">
          <cell r="C3732" t="str">
            <v>LAPORAN PERUBAHAN SALDO ANGGARAN LEBIH</v>
          </cell>
          <cell r="D3732" t="str">
            <v>LPSAL</v>
          </cell>
          <cell r="E3732" t="str">
            <v>LPSAL</v>
          </cell>
          <cell r="F3732" t="str">
            <v>LPSAL</v>
          </cell>
          <cell r="G3732" t="str">
            <v>LPSAL</v>
          </cell>
          <cell r="H3732" t="str">
            <v>LPSAL</v>
          </cell>
          <cell r="I3732" t="str">
            <v>LPSAL</v>
          </cell>
          <cell r="J3732" t="str">
            <v>LPSAL</v>
          </cell>
        </row>
        <row r="3734">
          <cell r="C3734" t="str">
            <v>SALDO ANGGARAN LEBIH AWAL</v>
          </cell>
          <cell r="D3734">
            <v>29628518109.849998</v>
          </cell>
          <cell r="E3734">
            <v>39926493536.959999</v>
          </cell>
          <cell r="J3734">
            <v>39926493536.960007</v>
          </cell>
        </row>
        <row r="3735">
          <cell r="C3735" t="str">
            <v>PENGGUNAAN SAL SEBAGAI PENERIMAAN PEMBIAYAAN TAHUN BERJALAN</v>
          </cell>
          <cell r="D3735">
            <v>30071323358.449997</v>
          </cell>
          <cell r="E3735">
            <v>39926493536.959999</v>
          </cell>
          <cell r="F3735">
            <v>0</v>
          </cell>
          <cell r="G3735">
            <v>0</v>
          </cell>
          <cell r="H3735">
            <v>0</v>
          </cell>
          <cell r="I3735">
            <v>0</v>
          </cell>
          <cell r="J3735">
            <v>39926493536.959999</v>
          </cell>
        </row>
        <row r="3736">
          <cell r="C3736" t="str">
            <v>SISA LEBIH/KURANG PEMBIAYAAN ANGGARAN (SILPA/SIKPA)</v>
          </cell>
          <cell r="D3736">
            <v>39926493536.960007</v>
          </cell>
          <cell r="E3736">
            <v>68438922185.390175</v>
          </cell>
          <cell r="F3736">
            <v>129777902.75999993</v>
          </cell>
          <cell r="G3736">
            <v>152596978.00999999</v>
          </cell>
          <cell r="H3736">
            <v>0</v>
          </cell>
          <cell r="I3736">
            <v>0</v>
          </cell>
          <cell r="J3736">
            <v>68416103110.140175</v>
          </cell>
        </row>
        <row r="3737">
          <cell r="C3737" t="str">
            <v>KOREKSI KESALAHAN +/(-) PEMBUKUAN TAHUN SEBELUMNYA</v>
          </cell>
          <cell r="D3737">
            <v>442805248.60000002</v>
          </cell>
          <cell r="E3737">
            <v>0</v>
          </cell>
          <cell r="F3737">
            <v>89362.559999999998</v>
          </cell>
          <cell r="G3737">
            <v>310000</v>
          </cell>
          <cell r="H3737">
            <v>0</v>
          </cell>
          <cell r="I3737">
            <v>0</v>
          </cell>
          <cell r="J3737">
            <v>-220637.44</v>
          </cell>
        </row>
        <row r="3738">
          <cell r="C3738" t="str">
            <v>LAIN-LAIN</v>
          </cell>
          <cell r="D3738">
            <v>0</v>
          </cell>
          <cell r="E3738">
            <v>0</v>
          </cell>
          <cell r="F3738">
            <v>0</v>
          </cell>
          <cell r="G3738">
            <v>0</v>
          </cell>
          <cell r="H3738">
            <v>0</v>
          </cell>
          <cell r="I3738">
            <v>0</v>
          </cell>
          <cell r="J3738">
            <v>0</v>
          </cell>
        </row>
        <row r="3740">
          <cell r="C3740" t="str">
            <v>SALDO ANGGARAN LEBIH AKHIR</v>
          </cell>
          <cell r="D3740">
            <v>39926493536.960007</v>
          </cell>
          <cell r="E3740">
            <v>68438922185.390175</v>
          </cell>
          <cell r="J3740">
            <v>68415882472.70018</v>
          </cell>
        </row>
        <row r="3742">
          <cell r="C3742" t="str">
            <v>LAPORAN ARUS KAS</v>
          </cell>
          <cell r="D3742" t="str">
            <v>LAK</v>
          </cell>
          <cell r="E3742" t="str">
            <v>LAK</v>
          </cell>
          <cell r="F3742" t="str">
            <v>LAK</v>
          </cell>
          <cell r="G3742" t="str">
            <v>LAK</v>
          </cell>
          <cell r="H3742" t="str">
            <v>LAK</v>
          </cell>
          <cell r="I3742" t="str">
            <v>LAK</v>
          </cell>
          <cell r="J3742" t="str">
            <v>LAK</v>
          </cell>
        </row>
        <row r="3744">
          <cell r="C3744" t="str">
            <v>ARUS KAS BERSIH DARI AKTIVITAS OPERASI</v>
          </cell>
          <cell r="D3744">
            <v>223819601327.51001</v>
          </cell>
          <cell r="E3744">
            <v>190723161414.43018</v>
          </cell>
          <cell r="J3744">
            <v>190707842339.18018</v>
          </cell>
        </row>
        <row r="3745">
          <cell r="C3745" t="str">
            <v>Arus Masuk Kas dari Aktivitas Operasi</v>
          </cell>
          <cell r="D3745">
            <v>2090708430810.4299</v>
          </cell>
          <cell r="E3745">
            <v>2059740465201.6201</v>
          </cell>
          <cell r="J3745">
            <v>2059835145140.1201</v>
          </cell>
        </row>
        <row r="3746">
          <cell r="C3746" t="str">
            <v>Pajak Daerah</v>
          </cell>
          <cell r="D3746">
            <v>16684150219.549999</v>
          </cell>
          <cell r="E3746">
            <v>35786367464.910004</v>
          </cell>
          <cell r="J3746">
            <v>35786367464.910004</v>
          </cell>
        </row>
        <row r="3747">
          <cell r="C3747" t="str">
            <v>Retribusi Daerah</v>
          </cell>
          <cell r="D3747">
            <v>17699305005</v>
          </cell>
          <cell r="E3747">
            <v>156388618965.89999</v>
          </cell>
          <cell r="J3747">
            <v>156436905965.89999</v>
          </cell>
        </row>
        <row r="3748">
          <cell r="C3748" t="str">
            <v>Hasil Pengelolaan Kekayaan Daerah yang Dipisahkan</v>
          </cell>
          <cell r="D3748">
            <v>8152466371</v>
          </cell>
          <cell r="E3748">
            <v>8443342308</v>
          </cell>
          <cell r="J3748">
            <v>8443342308</v>
          </cell>
        </row>
        <row r="3749">
          <cell r="C3749" t="str">
            <v>Lain-lain PAD yang Sah</v>
          </cell>
          <cell r="D3749">
            <v>127373601344.87999</v>
          </cell>
          <cell r="E3749">
            <v>7741071538.8100014</v>
          </cell>
          <cell r="J3749">
            <v>7787464477.3100014</v>
          </cell>
        </row>
        <row r="3750">
          <cell r="C3750" t="str">
            <v>Pendapatan Transfer Pemerintah Pusat</v>
          </cell>
          <cell r="D3750">
            <v>1753884676899</v>
          </cell>
          <cell r="E3750">
            <v>1760720762880</v>
          </cell>
          <cell r="J3750">
            <v>1760720762880</v>
          </cell>
        </row>
        <row r="3751">
          <cell r="C3751" t="str">
            <v>Pendapatan Transfer Antar Daerah</v>
          </cell>
          <cell r="D3751">
            <v>78121624847</v>
          </cell>
          <cell r="E3751">
            <v>64335780751</v>
          </cell>
          <cell r="J3751">
            <v>64335780751</v>
          </cell>
        </row>
        <row r="3752">
          <cell r="C3752" t="str">
            <v>Pendapatan Hibah</v>
          </cell>
          <cell r="D3752">
            <v>18572830000</v>
          </cell>
          <cell r="E3752">
            <v>0</v>
          </cell>
          <cell r="J3752">
            <v>0</v>
          </cell>
        </row>
        <row r="3753">
          <cell r="C3753" t="str">
            <v>Dana Darurat</v>
          </cell>
          <cell r="D3753">
            <v>0</v>
          </cell>
          <cell r="E3753">
            <v>0</v>
          </cell>
          <cell r="J3753">
            <v>0</v>
          </cell>
        </row>
        <row r="3754">
          <cell r="C3754" t="str">
            <v>Lain-lain Pendapatan Sesuai dengan Ketentuan Peraturan Perundang-Undangan</v>
          </cell>
          <cell r="D3754">
            <v>70219776124</v>
          </cell>
          <cell r="E3754">
            <v>26324521293</v>
          </cell>
          <cell r="J3754">
            <v>26324521293</v>
          </cell>
        </row>
        <row r="3755">
          <cell r="C3755" t="str">
            <v>Arus Keluar Kas dari Aktivitas Operasi</v>
          </cell>
          <cell r="D3755">
            <v>1866888829482.9199</v>
          </cell>
          <cell r="E3755">
            <v>1869017303787.1899</v>
          </cell>
          <cell r="J3755">
            <v>1869127302800.9399</v>
          </cell>
        </row>
        <row r="3756">
          <cell r="C3756" t="str">
            <v>Belanja Pegawai</v>
          </cell>
          <cell r="D3756">
            <v>959315205223.09998</v>
          </cell>
          <cell r="E3756">
            <v>1059733779975</v>
          </cell>
          <cell r="J3756">
            <v>1059733779975</v>
          </cell>
        </row>
        <row r="3757">
          <cell r="C3757" t="str">
            <v>Belanja Barang dan Jasa</v>
          </cell>
          <cell r="D3757">
            <v>543166017911.81995</v>
          </cell>
          <cell r="E3757">
            <v>488733255543.19</v>
          </cell>
          <cell r="J3757">
            <v>488796577286.94</v>
          </cell>
        </row>
        <row r="3758">
          <cell r="C3758" t="str">
            <v>Belanja Bunga</v>
          </cell>
          <cell r="D3758">
            <v>0</v>
          </cell>
          <cell r="E3758">
            <v>0</v>
          </cell>
          <cell r="J3758">
            <v>0</v>
          </cell>
        </row>
        <row r="3759">
          <cell r="C3759" t="str">
            <v>Belanja Subsidi</v>
          </cell>
          <cell r="D3759">
            <v>0</v>
          </cell>
          <cell r="E3759">
            <v>0</v>
          </cell>
          <cell r="J3759">
            <v>0</v>
          </cell>
        </row>
        <row r="3760">
          <cell r="C3760" t="str">
            <v>Belanja Hibah</v>
          </cell>
          <cell r="D3760">
            <v>65180177793</v>
          </cell>
          <cell r="E3760">
            <v>30118644715</v>
          </cell>
          <cell r="J3760">
            <v>30165321985</v>
          </cell>
        </row>
        <row r="3761">
          <cell r="C3761" t="str">
            <v>Belanja Bantuan Sosial</v>
          </cell>
          <cell r="D3761">
            <v>310600000</v>
          </cell>
          <cell r="E3761">
            <v>451000000</v>
          </cell>
          <cell r="J3761">
            <v>451000000</v>
          </cell>
        </row>
        <row r="3762">
          <cell r="C3762" t="str">
            <v>Belanja Imbalan</v>
          </cell>
          <cell r="D3762">
            <v>0</v>
          </cell>
          <cell r="E3762">
            <v>0</v>
          </cell>
          <cell r="J3762">
            <v>0</v>
          </cell>
        </row>
        <row r="3763">
          <cell r="C3763" t="str">
            <v>Belanja Tidak Terduga</v>
          </cell>
          <cell r="D3763">
            <v>1621640000</v>
          </cell>
          <cell r="E3763">
            <v>3938150000</v>
          </cell>
          <cell r="J3763">
            <v>3938150000</v>
          </cell>
        </row>
        <row r="3764">
          <cell r="C3764" t="str">
            <v>Belanja Bagi Hasil</v>
          </cell>
          <cell r="D3764">
            <v>3318345692</v>
          </cell>
          <cell r="E3764">
            <v>4252200290</v>
          </cell>
          <cell r="J3764">
            <v>4252200290</v>
          </cell>
        </row>
        <row r="3765">
          <cell r="C3765" t="str">
            <v>Belanja Bantuan Keuangan</v>
          </cell>
          <cell r="D3765">
            <v>293976842863</v>
          </cell>
          <cell r="E3765">
            <v>281790273264</v>
          </cell>
          <cell r="J3765">
            <v>281790273264</v>
          </cell>
        </row>
        <row r="3767">
          <cell r="C3767" t="str">
            <v>ARUS KAS BERSIH DARI AKTIVITAS INVESTASI</v>
          </cell>
          <cell r="D3767">
            <v>-213971311149</v>
          </cell>
          <cell r="E3767">
            <v>-162214211230</v>
          </cell>
          <cell r="J3767">
            <v>-162221711230</v>
          </cell>
        </row>
        <row r="3768">
          <cell r="C3768" t="str">
            <v>Arus Masuk Kas dari Aktivitas Investasi</v>
          </cell>
          <cell r="D3768">
            <v>16400000</v>
          </cell>
          <cell r="E3768">
            <v>1104999500</v>
          </cell>
          <cell r="J3768">
            <v>1104999500</v>
          </cell>
        </row>
        <row r="3769">
          <cell r="C3769" t="str">
            <v>Hasil Penjualan BMD yang Tidak Dipisahkan</v>
          </cell>
          <cell r="D3769">
            <v>16400000</v>
          </cell>
          <cell r="E3769">
            <v>1104999500</v>
          </cell>
          <cell r="J3769">
            <v>1104999500</v>
          </cell>
        </row>
        <row r="3770">
          <cell r="C3770" t="str">
            <v>Pencairan Dana Cadangan</v>
          </cell>
          <cell r="D3770">
            <v>0</v>
          </cell>
          <cell r="E3770">
            <v>0</v>
          </cell>
          <cell r="J3770">
            <v>0</v>
          </cell>
        </row>
        <row r="3771">
          <cell r="C3771" t="str">
            <v>Hasil Penjualan Kekayaan Daerah yang Dipisahkan</v>
          </cell>
          <cell r="D3771">
            <v>0</v>
          </cell>
          <cell r="E3771">
            <v>0</v>
          </cell>
          <cell r="J3771">
            <v>0</v>
          </cell>
        </row>
        <row r="3772">
          <cell r="C3772" t="str">
            <v>Arus Keluar Kas dari Aktivitas Investasi</v>
          </cell>
          <cell r="D3772">
            <v>213987711149</v>
          </cell>
          <cell r="E3772">
            <v>163319210730</v>
          </cell>
          <cell r="J3772">
            <v>163326710730</v>
          </cell>
        </row>
        <row r="3773">
          <cell r="C3773" t="str">
            <v>Belanja Modal Tanah</v>
          </cell>
          <cell r="D3773">
            <v>241362000</v>
          </cell>
          <cell r="E3773">
            <v>273738000</v>
          </cell>
          <cell r="J3773">
            <v>273738000</v>
          </cell>
        </row>
        <row r="3774">
          <cell r="C3774" t="str">
            <v>Belanja Modal Peralatan dan Mesin</v>
          </cell>
          <cell r="D3774">
            <v>45626675608</v>
          </cell>
          <cell r="E3774">
            <v>36375768312</v>
          </cell>
          <cell r="J3774">
            <v>36383268312</v>
          </cell>
        </row>
        <row r="3775">
          <cell r="C3775" t="str">
            <v>Belanja Modal Gedung dan Bangunan</v>
          </cell>
          <cell r="D3775">
            <v>111617512105</v>
          </cell>
          <cell r="E3775">
            <v>70165358002</v>
          </cell>
          <cell r="J3775">
            <v>70165358002</v>
          </cell>
        </row>
        <row r="3776">
          <cell r="C3776" t="str">
            <v>Belanja Modal Jalan, Jaringan, dan Irigasi</v>
          </cell>
          <cell r="D3776">
            <v>52778791401</v>
          </cell>
          <cell r="E3776">
            <v>48711569675</v>
          </cell>
          <cell r="J3776">
            <v>48711569675</v>
          </cell>
        </row>
        <row r="3777">
          <cell r="C3777" t="str">
            <v>Belanja Modal Aset Tetap Lainnya</v>
          </cell>
          <cell r="D3777">
            <v>2667420035</v>
          </cell>
          <cell r="E3777">
            <v>7592776741</v>
          </cell>
          <cell r="J3777">
            <v>7592776741</v>
          </cell>
        </row>
        <row r="3778">
          <cell r="C3778" t="str">
            <v>Belanja Modal Aset Lainnya</v>
          </cell>
          <cell r="D3778">
            <v>55950000</v>
          </cell>
          <cell r="E3778">
            <v>0</v>
          </cell>
          <cell r="J3778">
            <v>0</v>
          </cell>
        </row>
        <row r="3779">
          <cell r="C3779" t="str">
            <v>Pembentukan Dana Cadangan</v>
          </cell>
          <cell r="D3779">
            <v>0</v>
          </cell>
          <cell r="E3779">
            <v>0</v>
          </cell>
          <cell r="J3779">
            <v>0</v>
          </cell>
        </row>
        <row r="3780">
          <cell r="C3780" t="str">
            <v>Penyertaan Modal Daerah</v>
          </cell>
          <cell r="D3780">
            <v>1000000000</v>
          </cell>
          <cell r="E3780">
            <v>200000000</v>
          </cell>
          <cell r="J3780">
            <v>200000000</v>
          </cell>
        </row>
        <row r="3782">
          <cell r="C3782" t="str">
            <v>ARUS KAS BERSIH DARI AKTIVITAS PENDANAAN</v>
          </cell>
          <cell r="D3782">
            <v>6880000</v>
          </cell>
          <cell r="E3782">
            <v>3478464</v>
          </cell>
          <cell r="J3782">
            <v>3478464</v>
          </cell>
        </row>
        <row r="3783">
          <cell r="C3783" t="str">
            <v>Arus Masuk Kas dari Aktivitas Pendanaan</v>
          </cell>
          <cell r="D3783">
            <v>6880000</v>
          </cell>
          <cell r="E3783">
            <v>3478464</v>
          </cell>
          <cell r="J3783">
            <v>3478464</v>
          </cell>
        </row>
        <row r="3784">
          <cell r="C3784" t="str">
            <v>Penerimaan Pinjaman Daerah</v>
          </cell>
          <cell r="D3784">
            <v>0</v>
          </cell>
          <cell r="E3784">
            <v>0</v>
          </cell>
          <cell r="J3784">
            <v>0</v>
          </cell>
        </row>
        <row r="3785">
          <cell r="C3785" t="str">
            <v>Penerimaan Kembali Pemberian Pinjaman Daerah</v>
          </cell>
          <cell r="D3785">
            <v>6880000</v>
          </cell>
          <cell r="E3785">
            <v>3478464</v>
          </cell>
          <cell r="J3785">
            <v>3478464</v>
          </cell>
        </row>
        <row r="3786">
          <cell r="C3786" t="str">
            <v>Penerimaan Pembiayaan Lainnya Sesuai dengan Ketentuan Peraturan Perundang-Undangan</v>
          </cell>
          <cell r="D3786">
            <v>0</v>
          </cell>
          <cell r="E3786">
            <v>0</v>
          </cell>
          <cell r="J3786">
            <v>0</v>
          </cell>
        </row>
        <row r="3787">
          <cell r="C3787" t="str">
            <v>Arus Keluar Kas dari Aktivitas Pendanaan</v>
          </cell>
          <cell r="D3787">
            <v>0</v>
          </cell>
          <cell r="E3787">
            <v>0</v>
          </cell>
          <cell r="J3787">
            <v>0</v>
          </cell>
        </row>
        <row r="3788">
          <cell r="C3788" t="str">
            <v>Pembayaran Cicilan Pokok Utang yang Jatuh Tempo</v>
          </cell>
          <cell r="D3788">
            <v>0</v>
          </cell>
          <cell r="E3788">
            <v>0</v>
          </cell>
          <cell r="J3788">
            <v>0</v>
          </cell>
        </row>
        <row r="3789">
          <cell r="C3789" t="str">
            <v>Pemberian Pinjaman Daerah</v>
          </cell>
          <cell r="D3789">
            <v>0</v>
          </cell>
          <cell r="E3789">
            <v>0</v>
          </cell>
          <cell r="J3789">
            <v>0</v>
          </cell>
        </row>
        <row r="3790">
          <cell r="C3790" t="str">
            <v>Pengeluaran Pembiayaan Lainnya sesuai dengan Ketentuan Peraturan Perundang-Undangan</v>
          </cell>
          <cell r="D3790">
            <v>0</v>
          </cell>
          <cell r="E3790">
            <v>0</v>
          </cell>
          <cell r="J3790">
            <v>0</v>
          </cell>
        </row>
        <row r="3792">
          <cell r="C3792" t="str">
            <v>ARUS KAS BERSIH DARI AKTIVITAS TRANSITORIS</v>
          </cell>
          <cell r="D3792">
            <v>-14884132.925994873</v>
          </cell>
          <cell r="E3792">
            <v>33991453.979995728</v>
          </cell>
          <cell r="J3792">
            <v>181520303.97999573</v>
          </cell>
        </row>
        <row r="3793">
          <cell r="C3793" t="str">
            <v>Arus Masuk Kas dari Aktivitas Transitoris</v>
          </cell>
          <cell r="D3793">
            <v>128253794423.24901</v>
          </cell>
          <cell r="E3793">
            <v>134322685005.3</v>
          </cell>
          <cell r="J3793">
            <v>134471737221.3</v>
          </cell>
        </row>
        <row r="3794">
          <cell r="C3794" t="str">
            <v>Penerimaan Perhitungan Pihak Ketiga (PFK)</v>
          </cell>
          <cell r="D3794">
            <v>110865880009.554</v>
          </cell>
          <cell r="E3794">
            <v>120287285868.3</v>
          </cell>
          <cell r="J3794">
            <v>120436338084.3</v>
          </cell>
        </row>
        <row r="3795">
          <cell r="C3795" t="str">
            <v>Penerimaan Kembali Uang Persediaan dari Bend. Pengeluaran</v>
          </cell>
          <cell r="D3795">
            <v>17387885163.345001</v>
          </cell>
          <cell r="E3795">
            <v>13954299137</v>
          </cell>
          <cell r="J3795">
            <v>13954299137</v>
          </cell>
        </row>
        <row r="3796">
          <cell r="C3796" t="str">
            <v>Kiriman Uang Masuk</v>
          </cell>
          <cell r="D3796">
            <v>29250.35</v>
          </cell>
          <cell r="E3796">
            <v>81100000</v>
          </cell>
          <cell r="J3796">
            <v>81100000</v>
          </cell>
        </row>
        <row r="3797">
          <cell r="C3797" t="str">
            <v>Arus Keluar Kas dari Aktivitas Transitoris</v>
          </cell>
          <cell r="D3797">
            <v>128268678556.175</v>
          </cell>
          <cell r="E3797">
            <v>134288693551.32001</v>
          </cell>
          <cell r="J3797">
            <v>134290216917.32001</v>
          </cell>
        </row>
        <row r="3798">
          <cell r="C3798" t="str">
            <v>Pembayaran Perhitungan Pihak Ketiga (PFK)</v>
          </cell>
          <cell r="D3798">
            <v>110890945951.175</v>
          </cell>
          <cell r="E3798">
            <v>120328311498.32001</v>
          </cell>
          <cell r="J3798">
            <v>120330709864.32001</v>
          </cell>
        </row>
        <row r="3799">
          <cell r="C3799" t="str">
            <v>Pemberian Uang Persediaan kepada Bend. Pengeluaran</v>
          </cell>
          <cell r="D3799">
            <v>17377732605</v>
          </cell>
          <cell r="E3799">
            <v>13959507053</v>
          </cell>
          <cell r="J3799">
            <v>13959507053</v>
          </cell>
        </row>
        <row r="3800">
          <cell r="C3800" t="str">
            <v>Kiriman Uang Keluar</v>
          </cell>
          <cell r="D3800">
            <v>0</v>
          </cell>
          <cell r="E3800">
            <v>875000</v>
          </cell>
          <cell r="J3800">
            <v>0</v>
          </cell>
        </row>
        <row r="3802">
          <cell r="C3802" t="str">
            <v>KENAIKAN/(PENURUNAN) KAS</v>
          </cell>
          <cell r="D3802">
            <v>9840286045.5840149</v>
          </cell>
          <cell r="E3802">
            <v>28546420102.410172</v>
          </cell>
          <cell r="J3802">
            <v>28671129877.160172</v>
          </cell>
        </row>
        <row r="3804">
          <cell r="C3804" t="str">
            <v>SALDO AWAL KAS</v>
          </cell>
          <cell r="D3804">
            <v>29736265144.880001</v>
          </cell>
          <cell r="E3804">
            <v>40009174630.370003</v>
          </cell>
          <cell r="J3804">
            <v>40009174630.370003</v>
          </cell>
        </row>
        <row r="3805">
          <cell r="C3805" t="str">
            <v>Kas di Kas Daerah</v>
          </cell>
          <cell r="D3805">
            <v>16951914630.6</v>
          </cell>
          <cell r="E3805">
            <v>29939689016.700001</v>
          </cell>
          <cell r="J3805">
            <v>29939689016.700001</v>
          </cell>
        </row>
        <row r="3806">
          <cell r="C3806" t="str">
            <v>Kas di Bendahara Penerimaan</v>
          </cell>
          <cell r="D3806">
            <v>29250.35</v>
          </cell>
          <cell r="E3806">
            <v>81100000</v>
          </cell>
          <cell r="J3806">
            <v>81100000</v>
          </cell>
        </row>
        <row r="3807">
          <cell r="C3807" t="str">
            <v>Kas di Bendahara Pengeluaran</v>
          </cell>
          <cell r="D3807">
            <v>10152558.34</v>
          </cell>
          <cell r="E3807">
            <v>0</v>
          </cell>
          <cell r="J3807">
            <v>0</v>
          </cell>
        </row>
        <row r="3808">
          <cell r="C3808" t="str">
            <v>Kas di BLUD</v>
          </cell>
          <cell r="D3808">
            <v>12707548818.84</v>
          </cell>
          <cell r="E3808">
            <v>8696807068.9500008</v>
          </cell>
          <cell r="J3808">
            <v>8696807068.9500008</v>
          </cell>
        </row>
        <row r="3809">
          <cell r="C3809" t="str">
            <v>Kas Dana BOS</v>
          </cell>
          <cell r="D3809">
            <v>66473143.750000037</v>
          </cell>
          <cell r="E3809">
            <v>59683634.719999999</v>
          </cell>
          <cell r="J3809">
            <v>59683634.719999999</v>
          </cell>
        </row>
        <row r="3810">
          <cell r="C3810" t="str">
            <v>Kas Dana Kapitasi pada FKTP</v>
          </cell>
          <cell r="D3810">
            <v>146743</v>
          </cell>
          <cell r="E3810">
            <v>0</v>
          </cell>
          <cell r="J3810">
            <v>0</v>
          </cell>
        </row>
        <row r="3811">
          <cell r="C3811" t="str">
            <v>Kas Lainnya</v>
          </cell>
          <cell r="D3811">
            <v>0</v>
          </cell>
          <cell r="E3811">
            <v>0</v>
          </cell>
          <cell r="J3811">
            <v>0</v>
          </cell>
        </row>
        <row r="3812">
          <cell r="C3812" t="str">
            <v>Kas Dana BOSP</v>
          </cell>
          <cell r="D3812">
            <v>0</v>
          </cell>
          <cell r="E3812">
            <v>0</v>
          </cell>
          <cell r="J3812">
            <v>0</v>
          </cell>
        </row>
        <row r="3813">
          <cell r="C3813" t="str">
            <v>Kas Dana BOK Puskesmas</v>
          </cell>
          <cell r="D3813">
            <v>0</v>
          </cell>
          <cell r="E3813">
            <v>1231894910</v>
          </cell>
          <cell r="J3813">
            <v>1231894910</v>
          </cell>
        </row>
        <row r="3815">
          <cell r="C3815" t="str">
            <v>Kas di Bendahara Penerimaan Tahun Sebelumnya</v>
          </cell>
          <cell r="D3815">
            <v>29250.35</v>
          </cell>
          <cell r="E3815">
            <v>81100000</v>
          </cell>
          <cell r="J3815">
            <v>81100000</v>
          </cell>
        </row>
        <row r="3816">
          <cell r="C3816" t="str">
            <v>Kas di Bendahara Pengeluaran Tahun Sebelumnya</v>
          </cell>
          <cell r="D3816">
            <v>10152558.34</v>
          </cell>
          <cell r="E3816">
            <v>0</v>
          </cell>
          <cell r="J3816">
            <v>0</v>
          </cell>
        </row>
        <row r="3817">
          <cell r="C3817" t="str">
            <v>Saldo Awal di Fungsi Perbendaharaan</v>
          </cell>
          <cell r="D3817">
            <v>29726083336.190002</v>
          </cell>
          <cell r="E3817">
            <v>39928074630.370003</v>
          </cell>
          <cell r="J3817">
            <v>39928074630.370003</v>
          </cell>
        </row>
        <row r="3819">
          <cell r="C3819" t="str">
            <v>KOREKSI SILPA TAHUN LALU</v>
          </cell>
          <cell r="D3819">
            <v>442805248.60000002</v>
          </cell>
          <cell r="J3819">
            <v>-220637.44</v>
          </cell>
        </row>
        <row r="3822">
          <cell r="C3822" t="str">
            <v>Kas di Bendahara Penerimaan Tahun Berjalan</v>
          </cell>
          <cell r="E3822">
            <v>875000</v>
          </cell>
          <cell r="J3822">
            <v>0</v>
          </cell>
        </row>
        <row r="3823">
          <cell r="C3823" t="str">
            <v>Kas di Bendahara Pengeluaran Tahun Berjalan</v>
          </cell>
          <cell r="D3823">
            <v>0</v>
          </cell>
          <cell r="E3823">
            <v>5207916</v>
          </cell>
          <cell r="J3823">
            <v>5207916</v>
          </cell>
        </row>
        <row r="3825">
          <cell r="C3825" t="str">
            <v>KAS LAINNYA DI BENDAHARA (SELAIN BUD)</v>
          </cell>
          <cell r="E3825">
            <v>65700218454</v>
          </cell>
          <cell r="J3825">
            <v>0</v>
          </cell>
        </row>
        <row r="3827">
          <cell r="C3827" t="str">
            <v>SALDO AKHIR KAS</v>
          </cell>
          <cell r="D3827">
            <v>40009174630.370003</v>
          </cell>
          <cell r="E3827">
            <v>134180796102.78</v>
          </cell>
          <cell r="J3827">
            <v>68604191786.089996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aldo Akun"/>
      <sheetName val="helper"/>
      <sheetName val="OM Awal"/>
      <sheetName val="TM Neraca Unaudited"/>
      <sheetName val="TM LRA Unaudited"/>
      <sheetName val="TM LO Unaudited"/>
      <sheetName val="OM Revisi"/>
      <sheetName val="TM Neraca Audited"/>
      <sheetName val="TM LRA Audited"/>
      <sheetName val="TM LO Audited"/>
      <sheetName val="Matriks Temuan"/>
      <sheetName val="Matriks Temuan Update"/>
      <sheetName val="Formulir IX.3"/>
      <sheetName val="Sheet1"/>
      <sheetName val="Nilai Temuan per Akun"/>
      <sheetName val="Formulir IX.4 (2)"/>
      <sheetName val="Formulir IX.4"/>
      <sheetName val="Form Check List"/>
      <sheetName val="Evaluasi Perumusan Opini"/>
      <sheetName val="Penjelasan"/>
      <sheetName val="Form Check List TP"/>
      <sheetName val="Critical Point PA &amp; CaLK"/>
      <sheetName val="Check List CaLK"/>
    </sheetNames>
    <sheetDataSet>
      <sheetData sheetId="0"/>
      <sheetData sheetId="1">
        <row r="8">
          <cell r="A8" t="str">
            <v>1</v>
          </cell>
          <cell r="B8" t="str">
            <v>1</v>
          </cell>
          <cell r="C8" t="str">
            <v>ASET</v>
          </cell>
          <cell r="D8" t="str">
            <v>17.008.593.006.651,68</v>
          </cell>
          <cell r="E8"/>
          <cell r="F8"/>
          <cell r="G8" t="str">
            <v>17.307.515.582.544,08</v>
          </cell>
        </row>
        <row r="9">
          <cell r="A9" t="str">
            <v>2</v>
          </cell>
          <cell r="B9" t="str">
            <v>1.1</v>
          </cell>
          <cell r="C9" t="str">
            <v>ASET LANCAR</v>
          </cell>
          <cell r="D9">
            <v>958905884430.41003</v>
          </cell>
          <cell r="E9"/>
          <cell r="F9"/>
          <cell r="G9">
            <v>1161853303839.3601</v>
          </cell>
        </row>
        <row r="10">
          <cell r="A10" t="str">
            <v>3</v>
          </cell>
          <cell r="B10" t="str">
            <v>1.1.01</v>
          </cell>
          <cell r="C10" t="str">
            <v>Kas dan Setara Kas</v>
          </cell>
          <cell r="D10">
            <v>381131235504.91998</v>
          </cell>
          <cell r="E10"/>
          <cell r="F10"/>
          <cell r="G10">
            <v>381160637883.02997</v>
          </cell>
        </row>
        <row r="11">
          <cell r="A11" t="str">
            <v>4</v>
          </cell>
          <cell r="B11" t="str">
            <v>1.1.01.01</v>
          </cell>
          <cell r="C11" t="str">
            <v>Kas di Kas Daerah</v>
          </cell>
          <cell r="D11">
            <v>369455834417.19</v>
          </cell>
          <cell r="E11"/>
          <cell r="F11"/>
          <cell r="G11">
            <v>369455834417.19</v>
          </cell>
        </row>
        <row r="12">
          <cell r="A12" t="str">
            <v>4</v>
          </cell>
          <cell r="B12" t="str">
            <v>1.1.01.02</v>
          </cell>
          <cell r="C12" t="str">
            <v>Kas di Bendahara Penerimaan</v>
          </cell>
          <cell r="D12">
            <v>814500</v>
          </cell>
          <cell r="E12">
            <v>15477378.109999999</v>
          </cell>
          <cell r="F12"/>
          <cell r="G12">
            <v>16291878.109999999</v>
          </cell>
        </row>
        <row r="13">
          <cell r="A13" t="str">
            <v>4</v>
          </cell>
          <cell r="B13" t="str">
            <v>1.1.01.03</v>
          </cell>
          <cell r="C13" t="str">
            <v>Kas di Bendahara Pengeluaran</v>
          </cell>
          <cell r="D13">
            <v>0</v>
          </cell>
          <cell r="E13"/>
          <cell r="F13"/>
          <cell r="G13">
            <v>0</v>
          </cell>
        </row>
        <row r="14">
          <cell r="A14" t="str">
            <v>4</v>
          </cell>
          <cell r="B14" t="str">
            <v>1.1.01.04</v>
          </cell>
          <cell r="C14" t="str">
            <v>Kas di BLUD</v>
          </cell>
          <cell r="D14">
            <v>8137607683.3199997</v>
          </cell>
          <cell r="E14"/>
          <cell r="F14"/>
          <cell r="G14">
            <v>8137607683.3199997</v>
          </cell>
        </row>
        <row r="15">
          <cell r="A15" t="str">
            <v>4</v>
          </cell>
          <cell r="B15" t="str">
            <v>1.1.01.05</v>
          </cell>
          <cell r="C15" t="str">
            <v>Kas Dana BOS</v>
          </cell>
          <cell r="D15">
            <v>0</v>
          </cell>
          <cell r="E15"/>
          <cell r="F15"/>
          <cell r="G15">
            <v>0</v>
          </cell>
        </row>
        <row r="16">
          <cell r="A16" t="str">
            <v>4</v>
          </cell>
          <cell r="B16" t="str">
            <v>1.1.01.06</v>
          </cell>
          <cell r="C16" t="str">
            <v>Kas Dana Kapitasi pada FKTP</v>
          </cell>
          <cell r="D16">
            <v>0</v>
          </cell>
          <cell r="E16"/>
          <cell r="F16"/>
          <cell r="G16">
            <v>0</v>
          </cell>
        </row>
        <row r="17">
          <cell r="A17" t="str">
            <v>4</v>
          </cell>
          <cell r="B17" t="str">
            <v>1.1.01.07</v>
          </cell>
          <cell r="C17" t="str">
            <v>Kas Lainnya</v>
          </cell>
          <cell r="D17">
            <v>0</v>
          </cell>
          <cell r="E17">
            <v>13925000</v>
          </cell>
          <cell r="F17"/>
          <cell r="G17">
            <v>13925000</v>
          </cell>
        </row>
        <row r="18">
          <cell r="A18" t="str">
            <v>4</v>
          </cell>
          <cell r="B18" t="str">
            <v>1.1.01.08</v>
          </cell>
          <cell r="C18" t="str">
            <v>Setara Kas</v>
          </cell>
          <cell r="D18">
            <v>0</v>
          </cell>
          <cell r="E18"/>
          <cell r="F18"/>
          <cell r="G18">
            <v>0</v>
          </cell>
        </row>
        <row r="19">
          <cell r="A19" t="str">
            <v>4</v>
          </cell>
          <cell r="B19" t="str">
            <v>1.1.01.09</v>
          </cell>
          <cell r="C19" t="str">
            <v>Kas Dana Desa</v>
          </cell>
          <cell r="D19">
            <v>0</v>
          </cell>
          <cell r="E19"/>
          <cell r="F19"/>
          <cell r="G19">
            <v>0</v>
          </cell>
        </row>
        <row r="20">
          <cell r="A20" t="str">
            <v>4</v>
          </cell>
          <cell r="B20" t="str">
            <v>1.1.01.10</v>
          </cell>
          <cell r="C20" t="str">
            <v>Kas Dana BOSP</v>
          </cell>
          <cell r="D20">
            <v>554303772.40999997</v>
          </cell>
          <cell r="E20"/>
          <cell r="F20"/>
          <cell r="G20">
            <v>554303772.40999997</v>
          </cell>
        </row>
        <row r="21">
          <cell r="A21" t="str">
            <v>4</v>
          </cell>
          <cell r="B21" t="str">
            <v>1.1.01.11</v>
          </cell>
          <cell r="C21" t="str">
            <v>Kas Dana BOK Puskesmas</v>
          </cell>
          <cell r="D21">
            <v>2982675132</v>
          </cell>
          <cell r="E21"/>
          <cell r="F21"/>
          <cell r="G21">
            <v>2982675132</v>
          </cell>
        </row>
        <row r="22">
          <cell r="A22" t="str">
            <v>3</v>
          </cell>
          <cell r="B22" t="str">
            <v>1.1.02</v>
          </cell>
          <cell r="C22" t="str">
            <v>Investasi Jangka Pendek</v>
          </cell>
          <cell r="D22">
            <v>0</v>
          </cell>
          <cell r="E22"/>
          <cell r="F22"/>
          <cell r="G22">
            <v>0</v>
          </cell>
        </row>
        <row r="23">
          <cell r="A23" t="str">
            <v>3</v>
          </cell>
          <cell r="B23" t="str">
            <v>1.1.03</v>
          </cell>
          <cell r="C23" t="str">
            <v>Piutang Pajak Daerah</v>
          </cell>
          <cell r="D23">
            <v>831000934949.77002</v>
          </cell>
          <cell r="E23"/>
          <cell r="F23"/>
          <cell r="G23">
            <v>831000934949.77002</v>
          </cell>
        </row>
        <row r="24">
          <cell r="A24" t="str">
            <v>3</v>
          </cell>
          <cell r="B24" t="str">
            <v>1.1.04</v>
          </cell>
          <cell r="C24" t="str">
            <v>Piutang Retribusi Daerah</v>
          </cell>
          <cell r="D24">
            <v>29095044057.509998</v>
          </cell>
          <cell r="E24"/>
          <cell r="F24">
            <v>604431232</v>
          </cell>
          <cell r="G24">
            <v>28490612825.509998</v>
          </cell>
        </row>
        <row r="25">
          <cell r="A25" t="str">
            <v>3</v>
          </cell>
          <cell r="B25" t="str">
            <v>1.1.05</v>
          </cell>
          <cell r="C25" t="str">
            <v>Piutang Hasil Pengelolaan Kekayaan Daerah yang Dipisahkan</v>
          </cell>
          <cell r="D25">
            <v>0</v>
          </cell>
          <cell r="E25"/>
          <cell r="F25"/>
          <cell r="G25">
            <v>0</v>
          </cell>
        </row>
        <row r="26">
          <cell r="A26" t="str">
            <v>3</v>
          </cell>
          <cell r="B26" t="str">
            <v>1.1.06</v>
          </cell>
          <cell r="C26" t="str">
            <v>Piutang Lain-lain PAD yang Sah</v>
          </cell>
          <cell r="D26">
            <v>304711411762.09003</v>
          </cell>
          <cell r="E26">
            <v>1562000</v>
          </cell>
          <cell r="F26"/>
          <cell r="G26">
            <v>304712973762.09003</v>
          </cell>
        </row>
        <row r="27">
          <cell r="A27" t="str">
            <v>3</v>
          </cell>
          <cell r="B27" t="str">
            <v>1.1.07</v>
          </cell>
          <cell r="C27" t="str">
            <v>Piutang Transfer Pemerintah Pusat</v>
          </cell>
          <cell r="D27">
            <v>0</v>
          </cell>
          <cell r="E27"/>
          <cell r="F27"/>
          <cell r="G27">
            <v>0</v>
          </cell>
        </row>
        <row r="28">
          <cell r="A28" t="str">
            <v>3</v>
          </cell>
          <cell r="B28" t="str">
            <v>1.1.08</v>
          </cell>
          <cell r="C28" t="str">
            <v>Piutang Transfer Antar Daerah</v>
          </cell>
          <cell r="D28">
            <v>46083586753</v>
          </cell>
          <cell r="E28"/>
          <cell r="F28"/>
          <cell r="G28">
            <v>46083586753</v>
          </cell>
        </row>
        <row r="29">
          <cell r="A29" t="str">
            <v>3</v>
          </cell>
          <cell r="B29" t="str">
            <v>1.1.09</v>
          </cell>
          <cell r="C29" t="str">
            <v>Piutang Lainnya</v>
          </cell>
          <cell r="D29">
            <v>0</v>
          </cell>
          <cell r="E29"/>
          <cell r="F29"/>
          <cell r="G29">
            <v>0</v>
          </cell>
        </row>
        <row r="30">
          <cell r="A30" t="str">
            <v>3</v>
          </cell>
          <cell r="B30" t="str">
            <v>1.1.10</v>
          </cell>
          <cell r="C30" t="str">
            <v>Penyisihan Piutang</v>
          </cell>
          <cell r="D30">
            <v>-737114350337.14001</v>
          </cell>
          <cell r="E30"/>
          <cell r="F30"/>
          <cell r="G30">
            <v>-737114350337.14001</v>
          </cell>
        </row>
        <row r="31">
          <cell r="A31" t="str">
            <v>3</v>
          </cell>
          <cell r="B31" t="str">
            <v>1.1.11</v>
          </cell>
          <cell r="C31" t="str">
            <v>Beban Dibayar Dimuka</v>
          </cell>
          <cell r="D31">
            <v>2120728372.48</v>
          </cell>
          <cell r="E31"/>
          <cell r="F31"/>
          <cell r="G31">
            <v>2120728372.48</v>
          </cell>
        </row>
        <row r="32">
          <cell r="A32" t="str">
            <v>3</v>
          </cell>
          <cell r="B32" t="str">
            <v>1.1.12</v>
          </cell>
          <cell r="C32" t="str">
            <v>Persediaan</v>
          </cell>
          <cell r="D32">
            <v>101877293367.78</v>
          </cell>
          <cell r="E32">
            <v>203520886262.84</v>
          </cell>
          <cell r="F32"/>
          <cell r="G32">
            <v>305398179630.62</v>
          </cell>
        </row>
        <row r="33">
          <cell r="A33" t="str">
            <v>3</v>
          </cell>
          <cell r="B33" t="str">
            <v>1.1.13</v>
          </cell>
          <cell r="C33" t="str">
            <v>Aset Untuk Dikonsolidasikan</v>
          </cell>
          <cell r="D33">
            <v>0</v>
          </cell>
          <cell r="E33"/>
          <cell r="F33"/>
          <cell r="G33">
            <v>0</v>
          </cell>
        </row>
        <row r="34">
          <cell r="A34" t="str">
            <v>2</v>
          </cell>
          <cell r="B34" t="str">
            <v>1.2</v>
          </cell>
          <cell r="C34" t="str">
            <v>INVESTASI JANGKA PANJANG</v>
          </cell>
          <cell r="D34">
            <v>2500817757689.8301</v>
          </cell>
          <cell r="E34"/>
          <cell r="F34"/>
          <cell r="G34">
            <v>2593896396173.2803</v>
          </cell>
        </row>
        <row r="35">
          <cell r="A35" t="str">
            <v>3</v>
          </cell>
          <cell r="B35" t="str">
            <v>1.2.01</v>
          </cell>
          <cell r="C35" t="str">
            <v>Investasi Jangka Panjang Non Permanen</v>
          </cell>
          <cell r="D35">
            <v>17384669537</v>
          </cell>
          <cell r="E35"/>
          <cell r="F35">
            <v>17384669537</v>
          </cell>
          <cell r="G35">
            <v>0</v>
          </cell>
        </row>
        <row r="36">
          <cell r="A36" t="str">
            <v>3</v>
          </cell>
          <cell r="B36" t="str">
            <v>1.2.02</v>
          </cell>
          <cell r="C36" t="str">
            <v>Investasi Jangka Panjang Permanen</v>
          </cell>
          <cell r="D36">
            <v>2483433088152.8301</v>
          </cell>
          <cell r="E36">
            <v>110463308020.45</v>
          </cell>
          <cell r="F36"/>
          <cell r="G36">
            <v>2593896396173.2803</v>
          </cell>
        </row>
        <row r="37">
          <cell r="A37" t="str">
            <v>3</v>
          </cell>
          <cell r="B37" t="str">
            <v>1.2.03</v>
          </cell>
          <cell r="C37" t="str">
            <v>Investasi Dana Abadi Daerah</v>
          </cell>
          <cell r="D37">
            <v>0</v>
          </cell>
          <cell r="E37"/>
          <cell r="F37"/>
          <cell r="G37">
            <v>0</v>
          </cell>
        </row>
        <row r="38">
          <cell r="A38" t="str">
            <v>2</v>
          </cell>
          <cell r="B38" t="str">
            <v>1.3</v>
          </cell>
          <cell r="C38" t="str">
            <v>ASET TETAP</v>
          </cell>
          <cell r="D38" t="str">
            <v>12.866.137.316.160,41</v>
          </cell>
          <cell r="E38"/>
          <cell r="F38"/>
          <cell r="G38" t="str">
            <v>12.866.137.316.160,41</v>
          </cell>
        </row>
        <row r="39">
          <cell r="A39" t="str">
            <v>3</v>
          </cell>
          <cell r="B39" t="str">
            <v>1.3.01</v>
          </cell>
          <cell r="C39" t="str">
            <v>Tanah</v>
          </cell>
          <cell r="D39">
            <v>6828582717877.8896</v>
          </cell>
          <cell r="E39"/>
          <cell r="F39"/>
          <cell r="G39">
            <v>6828582717877.8896</v>
          </cell>
        </row>
        <row r="40">
          <cell r="A40" t="str">
            <v>3</v>
          </cell>
          <cell r="B40" t="str">
            <v>1.3.02</v>
          </cell>
          <cell r="C40" t="str">
            <v>Peralatan dan Mesin</v>
          </cell>
          <cell r="D40">
            <v>2619022381783.4902</v>
          </cell>
          <cell r="E40"/>
          <cell r="F40"/>
          <cell r="G40">
            <v>2619022381783.4902</v>
          </cell>
        </row>
        <row r="41">
          <cell r="A41" t="str">
            <v>3</v>
          </cell>
          <cell r="B41" t="str">
            <v>1.3.03</v>
          </cell>
          <cell r="C41" t="str">
            <v>Gedung dan Bangunan</v>
          </cell>
          <cell r="D41">
            <v>3865730696431.2798</v>
          </cell>
          <cell r="E41"/>
          <cell r="F41"/>
          <cell r="G41">
            <v>3865730696431.2798</v>
          </cell>
        </row>
        <row r="42">
          <cell r="A42" t="str">
            <v>3</v>
          </cell>
          <cell r="B42" t="str">
            <v>1.3.04</v>
          </cell>
          <cell r="C42" t="str">
            <v>Jalan Jaringan dan Irigasi</v>
          </cell>
          <cell r="D42">
            <v>4730801674889.6699</v>
          </cell>
          <cell r="E42"/>
          <cell r="F42"/>
          <cell r="G42">
            <v>4730801674889.6699</v>
          </cell>
        </row>
        <row r="43">
          <cell r="A43" t="str">
            <v>3</v>
          </cell>
          <cell r="B43" t="str">
            <v>1.3.05</v>
          </cell>
          <cell r="C43" t="str">
            <v>Aset Tetap Lainnya</v>
          </cell>
          <cell r="D43">
            <v>127985872248.00999</v>
          </cell>
          <cell r="E43"/>
          <cell r="F43"/>
          <cell r="G43">
            <v>127985872248.00999</v>
          </cell>
        </row>
        <row r="44">
          <cell r="A44" t="str">
            <v>3</v>
          </cell>
          <cell r="B44" t="str">
            <v>1.3.06</v>
          </cell>
          <cell r="C44" t="str">
            <v>Konstruksi Dalam Pengerjaan</v>
          </cell>
          <cell r="D44">
            <v>156127197926.23001</v>
          </cell>
          <cell r="E44"/>
          <cell r="F44"/>
          <cell r="G44">
            <v>156127197926.23001</v>
          </cell>
        </row>
        <row r="45">
          <cell r="A45" t="str">
            <v>3</v>
          </cell>
          <cell r="B45" t="str">
            <v>1.3.07</v>
          </cell>
          <cell r="C45" t="str">
            <v>Akumulasi Penyusutan</v>
          </cell>
          <cell r="D45">
            <v>-5462113224996.1602</v>
          </cell>
          <cell r="E45"/>
          <cell r="F45"/>
          <cell r="G45">
            <v>-5462113224996.1602</v>
          </cell>
        </row>
        <row r="46">
          <cell r="A46" t="str">
            <v>3</v>
          </cell>
          <cell r="B46" t="str">
            <v>1.3.08</v>
          </cell>
          <cell r="C46" t="str">
            <v>Aset Konsesi Jasa</v>
          </cell>
          <cell r="D46">
            <v>0</v>
          </cell>
          <cell r="E46"/>
          <cell r="F46"/>
          <cell r="G46">
            <v>0</v>
          </cell>
        </row>
        <row r="47">
          <cell r="A47" t="str">
            <v>3</v>
          </cell>
          <cell r="B47" t="str">
            <v>1.3.09</v>
          </cell>
          <cell r="C47" t="str">
            <v>Akumulasi Penyusutan Aset Konsesi Jasa</v>
          </cell>
          <cell r="D47">
            <v>0</v>
          </cell>
          <cell r="E47"/>
          <cell r="F47"/>
          <cell r="G47">
            <v>0</v>
          </cell>
        </row>
        <row r="48">
          <cell r="A48" t="str">
            <v>2</v>
          </cell>
          <cell r="B48" t="str">
            <v>1.4</v>
          </cell>
          <cell r="C48" t="str">
            <v>DANA CADANGAN</v>
          </cell>
          <cell r="D48">
            <v>0</v>
          </cell>
          <cell r="E48"/>
          <cell r="F48"/>
          <cell r="G48">
            <v>0</v>
          </cell>
        </row>
        <row r="49">
          <cell r="A49" t="str">
            <v>3</v>
          </cell>
          <cell r="B49" t="str">
            <v>1.4.01</v>
          </cell>
          <cell r="C49" t="str">
            <v>Dana Cadangan</v>
          </cell>
          <cell r="D49">
            <v>0</v>
          </cell>
          <cell r="E49">
            <v>0</v>
          </cell>
          <cell r="F49">
            <v>0</v>
          </cell>
          <cell r="G49">
            <v>0</v>
          </cell>
        </row>
        <row r="50">
          <cell r="A50" t="str">
            <v>2</v>
          </cell>
          <cell r="B50" t="str">
            <v>1.5</v>
          </cell>
          <cell r="C50" t="str">
            <v>ASET LAINNYA</v>
          </cell>
          <cell r="D50">
            <v>493197320444.29993</v>
          </cell>
          <cell r="E50"/>
          <cell r="F50"/>
          <cell r="G50">
            <v>496093838444.29993</v>
          </cell>
        </row>
        <row r="51">
          <cell r="A51" t="str">
            <v>3</v>
          </cell>
          <cell r="B51" t="str">
            <v>1.5.01</v>
          </cell>
          <cell r="C51" t="str">
            <v>Tagihan Jangka Panjang</v>
          </cell>
          <cell r="D51">
            <v>0</v>
          </cell>
          <cell r="E51"/>
          <cell r="F51"/>
          <cell r="G51">
            <v>0</v>
          </cell>
        </row>
        <row r="52">
          <cell r="A52" t="str">
            <v>3</v>
          </cell>
          <cell r="B52" t="str">
            <v>1.5.02</v>
          </cell>
          <cell r="C52" t="str">
            <v>Kemitraan dengan Pihak Ketiga</v>
          </cell>
          <cell r="D52">
            <v>0</v>
          </cell>
          <cell r="E52"/>
          <cell r="F52"/>
          <cell r="G52">
            <v>0</v>
          </cell>
        </row>
        <row r="53">
          <cell r="A53" t="str">
            <v>3</v>
          </cell>
          <cell r="B53" t="str">
            <v>1.5.03</v>
          </cell>
          <cell r="C53" t="str">
            <v>Aset Tidak Berwujud</v>
          </cell>
          <cell r="D53">
            <v>27661341620.34</v>
          </cell>
          <cell r="E53"/>
          <cell r="F53"/>
          <cell r="G53">
            <v>27661341620.34</v>
          </cell>
        </row>
        <row r="54">
          <cell r="A54" t="str">
            <v>3</v>
          </cell>
          <cell r="B54" t="str">
            <v>1.5.04</v>
          </cell>
          <cell r="C54" t="str">
            <v>Aset Lain-lain</v>
          </cell>
          <cell r="D54">
            <v>638621644505.20996</v>
          </cell>
          <cell r="E54"/>
          <cell r="F54"/>
          <cell r="G54">
            <v>638621644505.20996</v>
          </cell>
        </row>
        <row r="55">
          <cell r="A55" t="str">
            <v>3</v>
          </cell>
          <cell r="B55" t="str">
            <v>1.5.05</v>
          </cell>
          <cell r="C55" t="str">
            <v>Akumulasi Amortisasi Aset Tidak Berwujud</v>
          </cell>
          <cell r="D55">
            <v>-15535206228.34</v>
          </cell>
          <cell r="E55"/>
          <cell r="F55"/>
          <cell r="G55">
            <v>-15535206228.34</v>
          </cell>
        </row>
        <row r="56">
          <cell r="A56" t="str">
            <v>3</v>
          </cell>
          <cell r="B56" t="str">
            <v>1.5.06</v>
          </cell>
          <cell r="C56" t="str">
            <v>Akumulasi Penyusutan Aset Lainnya</v>
          </cell>
          <cell r="D56">
            <v>-157550459452.91</v>
          </cell>
          <cell r="E56"/>
          <cell r="F56"/>
          <cell r="G56">
            <v>-157550459452.91</v>
          </cell>
        </row>
        <row r="57">
          <cell r="A57" t="str">
            <v>3</v>
          </cell>
          <cell r="B57" t="str">
            <v>1.5.07</v>
          </cell>
          <cell r="C57" t="str">
            <v>Kas yang Dibatasi Penggunaannya</v>
          </cell>
          <cell r="D57">
            <v>0</v>
          </cell>
          <cell r="E57"/>
          <cell r="F57"/>
          <cell r="G57">
            <v>0</v>
          </cell>
        </row>
        <row r="58">
          <cell r="A58" t="str">
            <v>3</v>
          </cell>
          <cell r="B58" t="str">
            <v>1.5.08</v>
          </cell>
          <cell r="C58" t="str">
            <v>Dana Transfer Treasury Deposit Facility (TDF)</v>
          </cell>
          <cell r="D58">
            <v>0</v>
          </cell>
          <cell r="E58">
            <v>2896518000</v>
          </cell>
          <cell r="F58"/>
          <cell r="G58">
            <v>2896518000</v>
          </cell>
        </row>
        <row r="59">
          <cell r="A59" t="str">
            <v>2</v>
          </cell>
          <cell r="B59" t="str">
            <v>1.6</v>
          </cell>
          <cell r="C59" t="str">
            <v>PROPERTI INVESTASI</v>
          </cell>
          <cell r="D59">
            <v>189534727926.72998</v>
          </cell>
          <cell r="E59"/>
          <cell r="F59"/>
          <cell r="G59">
            <v>189534727926.72998</v>
          </cell>
        </row>
        <row r="60">
          <cell r="A60" t="str">
            <v>3</v>
          </cell>
          <cell r="B60" t="str">
            <v>1.6.01</v>
          </cell>
          <cell r="C60" t="str">
            <v>Properti Investasi Tanah</v>
          </cell>
          <cell r="D60">
            <v>117781727850</v>
          </cell>
          <cell r="E60"/>
          <cell r="F60"/>
          <cell r="G60">
            <v>117781727850</v>
          </cell>
        </row>
        <row r="61">
          <cell r="A61" t="str">
            <v>3</v>
          </cell>
          <cell r="B61" t="str">
            <v>1.6.02</v>
          </cell>
          <cell r="C61" t="str">
            <v>Properti Investasi Gedung dan Bangunan</v>
          </cell>
          <cell r="D61">
            <v>76881217509.729996</v>
          </cell>
          <cell r="E61"/>
          <cell r="F61"/>
          <cell r="G61">
            <v>76881217509.729996</v>
          </cell>
        </row>
        <row r="62">
          <cell r="A62" t="str">
            <v>3</v>
          </cell>
          <cell r="B62" t="str">
            <v>1.6.03</v>
          </cell>
          <cell r="C62" t="str">
            <v>Konstruksi Dalam Pengerjaan Properti Investasi</v>
          </cell>
          <cell r="D62">
            <v>0</v>
          </cell>
          <cell r="E62"/>
          <cell r="F62"/>
          <cell r="G62">
            <v>0</v>
          </cell>
        </row>
        <row r="63">
          <cell r="A63" t="str">
            <v>3</v>
          </cell>
          <cell r="B63" t="str">
            <v>1.6.04</v>
          </cell>
          <cell r="C63" t="str">
            <v>Akumulasi Penyusutan Properti Investasi</v>
          </cell>
          <cell r="D63">
            <v>-5128217433</v>
          </cell>
          <cell r="E63"/>
          <cell r="F63"/>
          <cell r="G63">
            <v>-5128217433</v>
          </cell>
        </row>
        <row r="64">
          <cell r="A64" t="str">
            <v>1</v>
          </cell>
          <cell r="B64" t="str">
            <v>2</v>
          </cell>
          <cell r="C64" t="str">
            <v>KEWAJIBAN</v>
          </cell>
          <cell r="D64">
            <v>182691999017.53</v>
          </cell>
          <cell r="E64"/>
          <cell r="F64"/>
          <cell r="G64">
            <v>186468872463.00998</v>
          </cell>
        </row>
        <row r="65">
          <cell r="A65" t="str">
            <v>2</v>
          </cell>
          <cell r="B65" t="str">
            <v>2.1</v>
          </cell>
          <cell r="C65" t="str">
            <v>KEWAJIBAN JANGKA PENDEK</v>
          </cell>
          <cell r="D65">
            <v>182691999017.53</v>
          </cell>
          <cell r="E65"/>
          <cell r="F65"/>
          <cell r="G65">
            <v>186468872463.00998</v>
          </cell>
        </row>
        <row r="66">
          <cell r="A66" t="str">
            <v>3</v>
          </cell>
          <cell r="B66" t="str">
            <v>2.1.01</v>
          </cell>
          <cell r="C66" t="str">
            <v>Utang Perhitungan Pihak Ketiga (PFK)</v>
          </cell>
          <cell r="D66">
            <v>0</v>
          </cell>
          <cell r="E66"/>
          <cell r="F66"/>
          <cell r="G66">
            <v>0</v>
          </cell>
        </row>
        <row r="67">
          <cell r="A67" t="str">
            <v>3</v>
          </cell>
          <cell r="B67" t="str">
            <v>2.1.02</v>
          </cell>
          <cell r="C67" t="str">
            <v>Utang Bunga</v>
          </cell>
          <cell r="D67">
            <v>0</v>
          </cell>
          <cell r="E67"/>
          <cell r="F67"/>
          <cell r="G67">
            <v>0</v>
          </cell>
        </row>
        <row r="68">
          <cell r="A68" t="str">
            <v>3</v>
          </cell>
          <cell r="B68" t="str">
            <v>2.1.03</v>
          </cell>
          <cell r="C68" t="str">
            <v>Utang Pinjaman Jangka Pendek</v>
          </cell>
          <cell r="D68">
            <v>0</v>
          </cell>
          <cell r="E68"/>
          <cell r="F68"/>
          <cell r="G68">
            <v>0</v>
          </cell>
        </row>
        <row r="69">
          <cell r="A69" t="str">
            <v>3</v>
          </cell>
          <cell r="B69" t="str">
            <v>2.1.04</v>
          </cell>
          <cell r="C69" t="str">
            <v>Bagian Lancar Utang Jangka Panjang</v>
          </cell>
          <cell r="D69">
            <v>0</v>
          </cell>
          <cell r="E69"/>
          <cell r="F69"/>
          <cell r="G69">
            <v>0</v>
          </cell>
        </row>
        <row r="70">
          <cell r="A70" t="str">
            <v>3</v>
          </cell>
          <cell r="B70" t="str">
            <v>2.1.05</v>
          </cell>
          <cell r="C70" t="str">
            <v>Pendapatan Diterima Dimuka</v>
          </cell>
          <cell r="D70">
            <v>39046471209.529999</v>
          </cell>
          <cell r="E70">
            <v>816645119.82000732</v>
          </cell>
          <cell r="F70"/>
          <cell r="G70">
            <v>38229826089.709991</v>
          </cell>
        </row>
        <row r="71">
          <cell r="A71" t="str">
            <v>3</v>
          </cell>
          <cell r="B71" t="str">
            <v>2.1.06</v>
          </cell>
          <cell r="C71" t="str">
            <v>Utang Belanja</v>
          </cell>
          <cell r="D71">
            <v>143645527808</v>
          </cell>
          <cell r="E71"/>
          <cell r="F71">
            <v>4593518565.2999897</v>
          </cell>
          <cell r="G71">
            <v>148239046373.29999</v>
          </cell>
        </row>
        <row r="72">
          <cell r="A72" t="str">
            <v>3</v>
          </cell>
          <cell r="B72" t="str">
            <v>2.1.07</v>
          </cell>
          <cell r="C72" t="str">
            <v>Utang Jangka Pendek Lainnya</v>
          </cell>
          <cell r="D72">
            <v>0</v>
          </cell>
          <cell r="E72"/>
          <cell r="F72"/>
          <cell r="G72">
            <v>0</v>
          </cell>
        </row>
        <row r="73">
          <cell r="A73" t="str">
            <v>2</v>
          </cell>
          <cell r="B73" t="str">
            <v>2.2</v>
          </cell>
          <cell r="C73" t="str">
            <v>KEWAJIBAN JANGKA PANJANG</v>
          </cell>
          <cell r="D73">
            <v>0</v>
          </cell>
          <cell r="E73"/>
          <cell r="F73"/>
          <cell r="G73">
            <v>0</v>
          </cell>
        </row>
        <row r="74">
          <cell r="A74" t="str">
            <v>3</v>
          </cell>
          <cell r="B74" t="str">
            <v>2.2.01</v>
          </cell>
          <cell r="C74" t="str">
            <v>Utang kepada Pemerintah Pusat</v>
          </cell>
          <cell r="D74">
            <v>0</v>
          </cell>
          <cell r="E74"/>
          <cell r="F74"/>
          <cell r="G74">
            <v>0</v>
          </cell>
        </row>
        <row r="75">
          <cell r="A75" t="str">
            <v>3</v>
          </cell>
          <cell r="B75" t="str">
            <v>2.2.02</v>
          </cell>
          <cell r="C75" t="str">
            <v>Utang kepada Lembaga Keuangan Bank (LKB)</v>
          </cell>
          <cell r="D75">
            <v>0</v>
          </cell>
          <cell r="E75"/>
          <cell r="F75"/>
          <cell r="G75">
            <v>0</v>
          </cell>
        </row>
        <row r="76">
          <cell r="A76" t="str">
            <v>3</v>
          </cell>
          <cell r="B76" t="str">
            <v>2.2.03</v>
          </cell>
          <cell r="C76" t="str">
            <v>Utang kepada Lembaga Keuangan Bukan Bank (LKBB)</v>
          </cell>
          <cell r="D76">
            <v>0</v>
          </cell>
          <cell r="E76"/>
          <cell r="F76"/>
          <cell r="G76">
            <v>0</v>
          </cell>
        </row>
        <row r="77">
          <cell r="A77" t="str">
            <v>3</v>
          </cell>
          <cell r="B77" t="str">
            <v>2.2.04</v>
          </cell>
          <cell r="C77" t="str">
            <v>Utang kepada Masyarakat</v>
          </cell>
          <cell r="D77">
            <v>0</v>
          </cell>
          <cell r="E77"/>
          <cell r="F77"/>
          <cell r="G77">
            <v>0</v>
          </cell>
        </row>
        <row r="78">
          <cell r="A78" t="str">
            <v>3</v>
          </cell>
          <cell r="B78" t="str">
            <v>2.2.05</v>
          </cell>
          <cell r="C78" t="str">
            <v>Kewajiban Konsesi Jasa</v>
          </cell>
          <cell r="D78">
            <v>0</v>
          </cell>
          <cell r="E78"/>
          <cell r="F78"/>
          <cell r="G78">
            <v>0</v>
          </cell>
        </row>
        <row r="79">
          <cell r="A79" t="str">
            <v>1</v>
          </cell>
          <cell r="B79" t="str">
            <v>3</v>
          </cell>
          <cell r="C79" t="str">
            <v>EKUITAS</v>
          </cell>
          <cell r="D79" t="str">
            <v>16.825.901.007.634,15</v>
          </cell>
          <cell r="E79"/>
          <cell r="F79"/>
          <cell r="G79" t="str">
            <v>17.075.919.180.014,95</v>
          </cell>
        </row>
        <row r="80">
          <cell r="A80" t="str">
            <v>2</v>
          </cell>
          <cell r="B80" t="str">
            <v>3.1</v>
          </cell>
          <cell r="C80" t="str">
            <v>EKUITAS</v>
          </cell>
          <cell r="D80" t="str">
            <v>16.825.901.007.634,15</v>
          </cell>
          <cell r="E80"/>
          <cell r="F80"/>
          <cell r="G80" t="str">
            <v>17.075.919.180.014,95</v>
          </cell>
        </row>
        <row r="81">
          <cell r="A81" t="str">
            <v>3</v>
          </cell>
          <cell r="B81" t="str">
            <v>3.1.01</v>
          </cell>
          <cell r="C81" t="str">
            <v>Ekuitas</v>
          </cell>
          <cell r="D81" t="str">
            <v>16.825.901.007.634,15</v>
          </cell>
          <cell r="E81"/>
          <cell r="F81">
            <v>250018172380.80099</v>
          </cell>
          <cell r="G81" t="str">
            <v>17.075.919.180.014,95</v>
          </cell>
        </row>
        <row r="82">
          <cell r="A82" t="str">
            <v>3</v>
          </cell>
          <cell r="B82" t="str">
            <v>3.1.02</v>
          </cell>
          <cell r="C82" t="str">
            <v>Ekuitas SAL</v>
          </cell>
          <cell r="D82">
            <v>0</v>
          </cell>
          <cell r="E82"/>
          <cell r="F82"/>
          <cell r="G82">
            <v>0</v>
          </cell>
        </row>
        <row r="83">
          <cell r="A83" t="str">
            <v>3</v>
          </cell>
          <cell r="B83" t="str">
            <v>3.1.03</v>
          </cell>
          <cell r="C83" t="str">
            <v>Ekuitas untuk Dikonsolidasikan</v>
          </cell>
          <cell r="D83">
            <v>0</v>
          </cell>
          <cell r="E83"/>
          <cell r="F83"/>
          <cell r="G83">
            <v>0</v>
          </cell>
        </row>
        <row r="84">
          <cell r="A84" t="str">
            <v>1</v>
          </cell>
          <cell r="B84" t="str">
            <v>4</v>
          </cell>
          <cell r="C84" t="str">
            <v>PENDAPATAN DAERAH</v>
          </cell>
          <cell r="D84">
            <v>8620162492670.8096</v>
          </cell>
          <cell r="E84"/>
          <cell r="F84"/>
          <cell r="G84">
            <v>8620177970048.9199</v>
          </cell>
        </row>
        <row r="85">
          <cell r="A85" t="str">
            <v>2</v>
          </cell>
          <cell r="B85" t="str">
            <v>4.1</v>
          </cell>
          <cell r="C85" t="str">
            <v>PENDAPATAN ASLI DAERAH (PAD)</v>
          </cell>
          <cell r="D85">
            <v>7507616497511.3594</v>
          </cell>
          <cell r="E85"/>
          <cell r="F85"/>
          <cell r="G85">
            <v>7506995595562.9697</v>
          </cell>
        </row>
        <row r="86">
          <cell r="A86" t="str">
            <v>3</v>
          </cell>
          <cell r="B86" t="str">
            <v>4.1.01</v>
          </cell>
          <cell r="C86" t="str">
            <v>Pajak Daerah</v>
          </cell>
          <cell r="D86">
            <v>6771024745896.75</v>
          </cell>
          <cell r="E86"/>
          <cell r="F86"/>
          <cell r="G86">
            <v>6771024745896.75</v>
          </cell>
        </row>
        <row r="87">
          <cell r="A87" t="str">
            <v>3</v>
          </cell>
          <cell r="B87" t="str">
            <v>4.1.02</v>
          </cell>
          <cell r="C87" t="str">
            <v>Retribusi Daerah</v>
          </cell>
          <cell r="D87">
            <v>387097049334.59998</v>
          </cell>
          <cell r="E87"/>
          <cell r="F87"/>
          <cell r="G87">
            <v>387097049334.59998</v>
          </cell>
        </row>
        <row r="88">
          <cell r="A88" t="str">
            <v>3</v>
          </cell>
          <cell r="B88" t="str">
            <v>4.1.03</v>
          </cell>
          <cell r="C88" t="str">
            <v>Hasil Pengelolaan Kekayaan Daerah yang Dipisahkan</v>
          </cell>
          <cell r="D88">
            <v>259681154910.64001</v>
          </cell>
          <cell r="E88"/>
          <cell r="F88"/>
          <cell r="G88">
            <v>259681154910.64001</v>
          </cell>
        </row>
        <row r="89">
          <cell r="A89" t="str">
            <v>3</v>
          </cell>
          <cell r="B89" t="str">
            <v>4.1.04</v>
          </cell>
          <cell r="C89" t="str">
            <v>Lain-lain PAD yang Sah</v>
          </cell>
          <cell r="D89">
            <v>89813547369.369995</v>
          </cell>
          <cell r="E89">
            <v>620901948.38999939</v>
          </cell>
          <cell r="F89"/>
          <cell r="G89">
            <v>89192645420.979996</v>
          </cell>
        </row>
        <row r="90">
          <cell r="A90" t="str">
            <v>2</v>
          </cell>
          <cell r="B90" t="str">
            <v>4.2</v>
          </cell>
          <cell r="C90" t="str">
            <v>PENDAPATAN TRANSFER</v>
          </cell>
          <cell r="D90">
            <v>1112177267833</v>
          </cell>
          <cell r="E90"/>
          <cell r="F90"/>
          <cell r="G90">
            <v>1112177267833</v>
          </cell>
        </row>
        <row r="91">
          <cell r="A91" t="str">
            <v>3</v>
          </cell>
          <cell r="B91" t="str">
            <v>4.2.01</v>
          </cell>
          <cell r="C91" t="str">
            <v>Pendapatan Transfer Pemerintah Pusat</v>
          </cell>
          <cell r="D91">
            <v>850634213669</v>
          </cell>
          <cell r="E91"/>
          <cell r="F91"/>
          <cell r="G91">
            <v>850634213669</v>
          </cell>
        </row>
        <row r="92">
          <cell r="A92" t="str">
            <v>4</v>
          </cell>
          <cell r="B92" t="str">
            <v>4.2.01.01</v>
          </cell>
          <cell r="C92" t="str">
            <v>Dana Perimbangan</v>
          </cell>
          <cell r="D92">
            <v>753601580669</v>
          </cell>
          <cell r="E92"/>
          <cell r="F92"/>
          <cell r="G92">
            <v>753601580669</v>
          </cell>
        </row>
        <row r="93">
          <cell r="A93" t="str">
            <v>4</v>
          </cell>
          <cell r="B93" t="str">
            <v>4.2.01.02</v>
          </cell>
          <cell r="C93" t="str">
            <v>Dana Insentif Daerah (DID)</v>
          </cell>
          <cell r="D93">
            <v>0</v>
          </cell>
          <cell r="E93"/>
          <cell r="F93"/>
          <cell r="G93">
            <v>0</v>
          </cell>
        </row>
        <row r="94">
          <cell r="A94" t="str">
            <v>4</v>
          </cell>
          <cell r="B94" t="str">
            <v>4.2.01.03</v>
          </cell>
          <cell r="C94" t="str">
            <v>Dana Otonomi Khusus dan Dana Tambahan Infrastruktur</v>
          </cell>
          <cell r="D94">
            <v>0</v>
          </cell>
          <cell r="E94"/>
          <cell r="F94"/>
          <cell r="G94">
            <v>0</v>
          </cell>
        </row>
        <row r="95">
          <cell r="A95" t="str">
            <v>4</v>
          </cell>
          <cell r="B95" t="str">
            <v>4.2.01.04</v>
          </cell>
          <cell r="C95" t="str">
            <v>Dana Keistimewaan</v>
          </cell>
          <cell r="D95">
            <v>0</v>
          </cell>
          <cell r="E95"/>
          <cell r="F95"/>
          <cell r="G95">
            <v>0</v>
          </cell>
        </row>
        <row r="96">
          <cell r="A96" t="str">
            <v>4</v>
          </cell>
          <cell r="B96" t="str">
            <v>4.2.01.05</v>
          </cell>
          <cell r="C96" t="str">
            <v>Dana Desa</v>
          </cell>
          <cell r="D96">
            <v>48336329000</v>
          </cell>
          <cell r="E96"/>
          <cell r="F96"/>
          <cell r="G96">
            <v>48336329000</v>
          </cell>
        </row>
        <row r="97">
          <cell r="A97" t="str">
            <v>4</v>
          </cell>
          <cell r="B97" t="str">
            <v>4.2.01.06</v>
          </cell>
          <cell r="C97" t="str">
            <v>Insentif Fiskal</v>
          </cell>
          <cell r="D97">
            <v>48696304000</v>
          </cell>
          <cell r="E97"/>
          <cell r="F97"/>
          <cell r="G97">
            <v>48696304000</v>
          </cell>
        </row>
        <row r="98">
          <cell r="A98" t="str">
            <v>4</v>
          </cell>
          <cell r="B98" t="str">
            <v>4.2.01.07</v>
          </cell>
          <cell r="C98" t="str">
            <v>Dana Bagi Hasil (DBH)</v>
          </cell>
          <cell r="D98">
            <v>0</v>
          </cell>
          <cell r="E98"/>
          <cell r="F98"/>
          <cell r="G98">
            <v>0</v>
          </cell>
        </row>
        <row r="99">
          <cell r="A99" t="str">
            <v>4</v>
          </cell>
          <cell r="B99" t="str">
            <v>4.2.01.08</v>
          </cell>
          <cell r="C99" t="str">
            <v>Dana Alokasi Umum (DAU)</v>
          </cell>
          <cell r="D99">
            <v>0</v>
          </cell>
          <cell r="E99"/>
          <cell r="F99"/>
          <cell r="G99">
            <v>0</v>
          </cell>
        </row>
        <row r="100">
          <cell r="A100" t="str">
            <v>4</v>
          </cell>
          <cell r="B100" t="str">
            <v>4.2.01.09</v>
          </cell>
          <cell r="C100" t="str">
            <v>Dana Alokasi Khusus (DAK)</v>
          </cell>
          <cell r="D100">
            <v>0</v>
          </cell>
          <cell r="E100"/>
          <cell r="F100"/>
          <cell r="G100">
            <v>0</v>
          </cell>
        </row>
        <row r="101">
          <cell r="A101" t="str">
            <v>3</v>
          </cell>
          <cell r="B101" t="str">
            <v>4.2.02</v>
          </cell>
          <cell r="C101" t="str">
            <v>Pendapatan Transfer Antar Daerah</v>
          </cell>
          <cell r="D101">
            <v>261543054164</v>
          </cell>
          <cell r="E101"/>
          <cell r="F101"/>
          <cell r="G101">
            <v>261543054164</v>
          </cell>
        </row>
        <row r="102">
          <cell r="A102" t="str">
            <v>4</v>
          </cell>
          <cell r="B102" t="str">
            <v>4.2.02.01</v>
          </cell>
          <cell r="C102" t="str">
            <v>Pendapatan Bagi Hasil</v>
          </cell>
          <cell r="D102">
            <v>261353054164</v>
          </cell>
          <cell r="E102"/>
          <cell r="F102"/>
          <cell r="G102">
            <v>261353054164</v>
          </cell>
        </row>
        <row r="103">
          <cell r="A103" t="str">
            <v>4</v>
          </cell>
          <cell r="B103" t="str">
            <v>4.2.02.02</v>
          </cell>
          <cell r="C103" t="str">
            <v>Bantuan Keuangan</v>
          </cell>
          <cell r="D103">
            <v>190000000</v>
          </cell>
          <cell r="E103"/>
          <cell r="F103"/>
          <cell r="G103">
            <v>190000000</v>
          </cell>
        </row>
        <row r="104">
          <cell r="A104" t="str">
            <v>2</v>
          </cell>
          <cell r="B104" t="str">
            <v>4.3</v>
          </cell>
          <cell r="C104" t="str">
            <v>LAIN-LAIN PENDAPATAN DAERAH YANG SAH</v>
          </cell>
          <cell r="D104">
            <v>368727326.44999999</v>
          </cell>
          <cell r="E104"/>
          <cell r="F104"/>
          <cell r="G104">
            <v>1005106652.95</v>
          </cell>
        </row>
        <row r="105">
          <cell r="A105" t="str">
            <v>3</v>
          </cell>
          <cell r="B105" t="str">
            <v>4.3.01</v>
          </cell>
          <cell r="C105" t="str">
            <v>Pendapatan Hibah</v>
          </cell>
          <cell r="D105">
            <v>0</v>
          </cell>
          <cell r="E105"/>
          <cell r="F105"/>
          <cell r="G105">
            <v>0</v>
          </cell>
        </row>
        <row r="106">
          <cell r="A106" t="str">
            <v>3</v>
          </cell>
          <cell r="B106" t="str">
            <v>4.3.02</v>
          </cell>
          <cell r="C106" t="str">
            <v>Dana Darurat</v>
          </cell>
          <cell r="D106">
            <v>0</v>
          </cell>
          <cell r="E106"/>
          <cell r="F106"/>
          <cell r="G106">
            <v>0</v>
          </cell>
        </row>
        <row r="107">
          <cell r="A107" t="str">
            <v>3</v>
          </cell>
          <cell r="B107" t="str">
            <v>4.3.03</v>
          </cell>
          <cell r="C107" t="str">
            <v>Lain-lain Pendapatan Sesuai dengan Ketentuan Peraturan Perundang-Undangan</v>
          </cell>
          <cell r="D107">
            <v>368727326.44999999</v>
          </cell>
          <cell r="E107"/>
          <cell r="F107">
            <v>636379326.5</v>
          </cell>
          <cell r="G107">
            <v>1005106652.95</v>
          </cell>
        </row>
        <row r="108">
          <cell r="A108" t="str">
            <v>1</v>
          </cell>
          <cell r="B108" t="str">
            <v>5</v>
          </cell>
          <cell r="C108" t="str">
            <v>BELANJA DAERAH</v>
          </cell>
          <cell r="D108">
            <v>8982940749786.6504</v>
          </cell>
          <cell r="E108"/>
          <cell r="F108"/>
          <cell r="G108">
            <v>8982940749786.6504</v>
          </cell>
        </row>
        <row r="109">
          <cell r="A109" t="str">
            <v>2</v>
          </cell>
          <cell r="B109" t="str">
            <v>5.1</v>
          </cell>
          <cell r="C109" t="str">
            <v>BELANJA OPERASI</v>
          </cell>
          <cell r="D109">
            <v>5282727057332.6504</v>
          </cell>
          <cell r="E109"/>
          <cell r="F109"/>
          <cell r="G109">
            <v>5282727057332.6504</v>
          </cell>
        </row>
        <row r="110">
          <cell r="A110" t="str">
            <v>3</v>
          </cell>
          <cell r="B110" t="str">
            <v>5.1.01</v>
          </cell>
          <cell r="C110" t="str">
            <v>Belanja Pegawai</v>
          </cell>
          <cell r="D110">
            <v>1845239173307</v>
          </cell>
          <cell r="E110"/>
          <cell r="F110"/>
          <cell r="G110">
            <v>1845239173307</v>
          </cell>
        </row>
        <row r="111">
          <cell r="A111" t="str">
            <v>3</v>
          </cell>
          <cell r="B111" t="str">
            <v>5.1.02</v>
          </cell>
          <cell r="C111" t="str">
            <v>Belanja Barang dan Jasa</v>
          </cell>
          <cell r="D111">
            <v>1588056469476.6499</v>
          </cell>
          <cell r="E111"/>
          <cell r="F111"/>
          <cell r="G111">
            <v>1588056469476.6499</v>
          </cell>
        </row>
        <row r="112">
          <cell r="A112" t="str">
            <v>3</v>
          </cell>
          <cell r="B112" t="str">
            <v>5.1.03</v>
          </cell>
          <cell r="C112" t="str">
            <v>Belanja Bunga</v>
          </cell>
          <cell r="D112">
            <v>0</v>
          </cell>
          <cell r="E112"/>
          <cell r="F112"/>
          <cell r="G112">
            <v>0</v>
          </cell>
        </row>
        <row r="113">
          <cell r="A113" t="str">
            <v>3</v>
          </cell>
          <cell r="B113" t="str">
            <v>5.1.04</v>
          </cell>
          <cell r="C113" t="str">
            <v>Belanja Subsidi</v>
          </cell>
          <cell r="D113">
            <v>3623755746</v>
          </cell>
          <cell r="E113"/>
          <cell r="F113"/>
          <cell r="G113">
            <v>3623755746</v>
          </cell>
        </row>
        <row r="114">
          <cell r="A114" t="str">
            <v>3</v>
          </cell>
          <cell r="B114" t="str">
            <v>5.1.05</v>
          </cell>
          <cell r="C114" t="str">
            <v>Belanja Hibah</v>
          </cell>
          <cell r="D114">
            <v>1845207158803</v>
          </cell>
          <cell r="E114"/>
          <cell r="F114"/>
          <cell r="G114">
            <v>1845207158803</v>
          </cell>
        </row>
        <row r="115">
          <cell r="A115" t="str">
            <v>3</v>
          </cell>
          <cell r="B115" t="str">
            <v>5.1.06</v>
          </cell>
          <cell r="C115" t="str">
            <v>Belanja Bantuan Sosial</v>
          </cell>
          <cell r="D115">
            <v>600500000</v>
          </cell>
          <cell r="E115"/>
          <cell r="F115"/>
          <cell r="G115">
            <v>600500000</v>
          </cell>
        </row>
        <row r="116">
          <cell r="A116" t="str">
            <v>2</v>
          </cell>
          <cell r="B116" t="str">
            <v>5.2</v>
          </cell>
          <cell r="C116" t="str">
            <v>BELANJA MODAL</v>
          </cell>
          <cell r="D116">
            <v>1811353534383</v>
          </cell>
          <cell r="E116"/>
          <cell r="F116"/>
          <cell r="G116">
            <v>1811353534383</v>
          </cell>
        </row>
        <row r="117">
          <cell r="A117" t="str">
            <v>3</v>
          </cell>
          <cell r="B117" t="str">
            <v>5.2.01</v>
          </cell>
          <cell r="C117" t="str">
            <v>Belanja Modal Tanah</v>
          </cell>
          <cell r="D117">
            <v>366052702952</v>
          </cell>
          <cell r="E117"/>
          <cell r="F117"/>
          <cell r="G117">
            <v>366052702952</v>
          </cell>
        </row>
        <row r="118">
          <cell r="A118" t="str">
            <v>3</v>
          </cell>
          <cell r="B118" t="str">
            <v>5.2.02</v>
          </cell>
          <cell r="C118" t="str">
            <v>Belanja Modal Peralatan dan Mesin</v>
          </cell>
          <cell r="D118">
            <v>172862307202</v>
          </cell>
          <cell r="E118"/>
          <cell r="F118"/>
          <cell r="G118">
            <v>172862307202</v>
          </cell>
        </row>
        <row r="119">
          <cell r="A119" t="str">
            <v>3</v>
          </cell>
          <cell r="B119" t="str">
            <v>5.2.03</v>
          </cell>
          <cell r="C119" t="str">
            <v>Belanja Modal Gedung dan Bangunan</v>
          </cell>
          <cell r="D119">
            <v>488481991399</v>
          </cell>
          <cell r="E119"/>
          <cell r="F119"/>
          <cell r="G119">
            <v>488481991399</v>
          </cell>
        </row>
        <row r="120">
          <cell r="A120" t="str">
            <v>3</v>
          </cell>
          <cell r="B120" t="str">
            <v>5.2.04</v>
          </cell>
          <cell r="C120" t="str">
            <v>Belanja Modal Jalan Jaringan dan Irigasi</v>
          </cell>
          <cell r="D120">
            <v>769199606246</v>
          </cell>
          <cell r="E120"/>
          <cell r="F120"/>
          <cell r="G120">
            <v>769199606246</v>
          </cell>
        </row>
        <row r="121">
          <cell r="A121" t="str">
            <v>3</v>
          </cell>
          <cell r="B121" t="str">
            <v>5.2.05</v>
          </cell>
          <cell r="C121" t="str">
            <v>Belanja Modal Aset Tetap Lainnya</v>
          </cell>
          <cell r="D121">
            <v>14409293766</v>
          </cell>
          <cell r="E121"/>
          <cell r="F121"/>
          <cell r="G121">
            <v>14409293766</v>
          </cell>
        </row>
        <row r="122">
          <cell r="A122" t="str">
            <v>3</v>
          </cell>
          <cell r="B122" t="str">
            <v>5.2.06</v>
          </cell>
          <cell r="C122" t="str">
            <v>Belanja Modal Aset Lainnya</v>
          </cell>
          <cell r="D122">
            <v>347632818</v>
          </cell>
          <cell r="E122"/>
          <cell r="F122"/>
          <cell r="G122">
            <v>347632818</v>
          </cell>
        </row>
        <row r="123">
          <cell r="A123" t="str">
            <v>2</v>
          </cell>
          <cell r="B123" t="str">
            <v>5.3</v>
          </cell>
          <cell r="C123" t="str">
            <v>BELANJA TIDAK TERDUGA</v>
          </cell>
          <cell r="D123">
            <v>8010617892</v>
          </cell>
          <cell r="E123"/>
          <cell r="F123"/>
          <cell r="G123">
            <v>8010617892</v>
          </cell>
        </row>
        <row r="124">
          <cell r="A124" t="str">
            <v>3</v>
          </cell>
          <cell r="B124" t="str">
            <v>5.3.01</v>
          </cell>
          <cell r="C124" t="str">
            <v>Belanja Tidak Terduga</v>
          </cell>
          <cell r="D124">
            <v>8010617892</v>
          </cell>
          <cell r="E124"/>
          <cell r="F124"/>
          <cell r="G124">
            <v>8010617892</v>
          </cell>
        </row>
        <row r="125">
          <cell r="A125" t="str">
            <v>2</v>
          </cell>
          <cell r="B125" t="str">
            <v>5.4</v>
          </cell>
          <cell r="C125" t="str">
            <v>BELANJA TRANSFER</v>
          </cell>
          <cell r="D125">
            <v>1880849540179</v>
          </cell>
          <cell r="E125"/>
          <cell r="F125"/>
          <cell r="G125">
            <v>1880849540179</v>
          </cell>
        </row>
        <row r="126">
          <cell r="A126" t="str">
            <v>3</v>
          </cell>
          <cell r="B126" t="str">
            <v>5.4.01</v>
          </cell>
          <cell r="C126" t="str">
            <v>Belanja Bagi Hasil</v>
          </cell>
          <cell r="D126">
            <v>827134629289</v>
          </cell>
          <cell r="E126"/>
          <cell r="F126"/>
          <cell r="G126">
            <v>827134629289</v>
          </cell>
        </row>
        <row r="127">
          <cell r="A127" t="str">
            <v>3</v>
          </cell>
          <cell r="B127" t="str">
            <v>5.4.02</v>
          </cell>
          <cell r="C127" t="str">
            <v>Belanja Bantuan Keuangan</v>
          </cell>
          <cell r="D127">
            <v>1053714910890</v>
          </cell>
          <cell r="E127"/>
          <cell r="F127"/>
          <cell r="G127">
            <v>1053714910890</v>
          </cell>
        </row>
        <row r="128">
          <cell r="A128" t="str">
            <v>1</v>
          </cell>
          <cell r="B128" t="str">
            <v>6</v>
          </cell>
          <cell r="C128" t="str">
            <v>PEMBIAYAAN DAERAH</v>
          </cell>
          <cell r="D128">
            <v>743909492620.76001</v>
          </cell>
          <cell r="E128"/>
          <cell r="F128"/>
          <cell r="G128">
            <v>743909492620.76001</v>
          </cell>
        </row>
        <row r="129">
          <cell r="A129" t="str">
            <v>2</v>
          </cell>
          <cell r="B129" t="str">
            <v>6.1</v>
          </cell>
          <cell r="C129" t="str">
            <v>PENERIMAAN PEMBIAYAAN</v>
          </cell>
          <cell r="D129">
            <v>993909492620.76001</v>
          </cell>
          <cell r="E129"/>
          <cell r="F129"/>
          <cell r="G129">
            <v>993909492620.76001</v>
          </cell>
        </row>
        <row r="130">
          <cell r="A130" t="str">
            <v>3</v>
          </cell>
          <cell r="B130" t="str">
            <v>6.1.01</v>
          </cell>
          <cell r="C130" t="str">
            <v>Sisa Lebih Perhitungan Anggaran Tahun Sebelumnya</v>
          </cell>
          <cell r="D130">
            <v>993909492620.76001</v>
          </cell>
          <cell r="E130"/>
          <cell r="F130"/>
          <cell r="G130">
            <v>993909492620.76001</v>
          </cell>
        </row>
        <row r="131">
          <cell r="A131" t="str">
            <v>3</v>
          </cell>
          <cell r="B131" t="str">
            <v>6.1.02</v>
          </cell>
          <cell r="C131" t="str">
            <v>Pencairan Dana Cadangan</v>
          </cell>
          <cell r="D131">
            <v>0</v>
          </cell>
          <cell r="E131"/>
          <cell r="F131"/>
          <cell r="G131">
            <v>0</v>
          </cell>
        </row>
        <row r="132">
          <cell r="A132" t="str">
            <v>3</v>
          </cell>
          <cell r="B132" t="str">
            <v>6.1.03</v>
          </cell>
          <cell r="C132" t="str">
            <v>Hasil Penjualan Kekayaan Daerah yang Dipisahkan</v>
          </cell>
          <cell r="D132">
            <v>0</v>
          </cell>
          <cell r="E132"/>
          <cell r="F132"/>
          <cell r="G132">
            <v>0</v>
          </cell>
        </row>
        <row r="133">
          <cell r="A133" t="str">
            <v>3</v>
          </cell>
          <cell r="B133" t="str">
            <v>6.1.04</v>
          </cell>
          <cell r="C133" t="str">
            <v>Penerimaan Pinjaman Daerah</v>
          </cell>
          <cell r="D133">
            <v>0</v>
          </cell>
          <cell r="E133"/>
          <cell r="F133"/>
          <cell r="G133">
            <v>0</v>
          </cell>
        </row>
        <row r="134">
          <cell r="A134" t="str">
            <v>3</v>
          </cell>
          <cell r="B134" t="str">
            <v>6.1.05</v>
          </cell>
          <cell r="C134" t="str">
            <v>Penerimaan Kembali Pemberian Pinjaman Daerah</v>
          </cell>
          <cell r="D134">
            <v>0</v>
          </cell>
          <cell r="E134"/>
          <cell r="F134"/>
          <cell r="G134">
            <v>0</v>
          </cell>
        </row>
        <row r="135">
          <cell r="A135" t="str">
            <v>3</v>
          </cell>
          <cell r="B135" t="str">
            <v>6.1.06</v>
          </cell>
          <cell r="C135" t="str">
            <v>Penerimaan Pembiayaan Lainnya Sesuai dengan Ketentuan Peraturan Perundang-Undangan</v>
          </cell>
          <cell r="D135">
            <v>0</v>
          </cell>
          <cell r="E135"/>
          <cell r="F135"/>
          <cell r="G135">
            <v>0</v>
          </cell>
        </row>
        <row r="136">
          <cell r="A136" t="str">
            <v>2</v>
          </cell>
          <cell r="B136" t="str">
            <v>6.2</v>
          </cell>
          <cell r="C136" t="str">
            <v>PENGELUARAN PEMBIAYAAN</v>
          </cell>
          <cell r="D136">
            <v>250000000000</v>
          </cell>
          <cell r="E136"/>
          <cell r="F136"/>
          <cell r="G136">
            <v>250000000000</v>
          </cell>
        </row>
        <row r="137">
          <cell r="A137" t="str">
            <v>3</v>
          </cell>
          <cell r="B137" t="str">
            <v>6.2.01</v>
          </cell>
          <cell r="C137" t="str">
            <v>Pembentukan Dana Cadangan</v>
          </cell>
          <cell r="D137">
            <v>0</v>
          </cell>
          <cell r="E137"/>
          <cell r="F137"/>
          <cell r="G137">
            <v>0</v>
          </cell>
        </row>
        <row r="138">
          <cell r="A138" t="str">
            <v>3</v>
          </cell>
          <cell r="B138" t="str">
            <v>6.2.02</v>
          </cell>
          <cell r="C138" t="str">
            <v>Penyertaan Modal Daerah</v>
          </cell>
          <cell r="D138">
            <v>250000000000</v>
          </cell>
          <cell r="E138"/>
          <cell r="F138"/>
          <cell r="G138">
            <v>250000000000</v>
          </cell>
        </row>
        <row r="139">
          <cell r="A139" t="str">
            <v>3</v>
          </cell>
          <cell r="B139" t="str">
            <v>6.2.03</v>
          </cell>
          <cell r="C139" t="str">
            <v>Pembayaran Cicilan Pokok Utang yang Jatuh Tempo</v>
          </cell>
          <cell r="D139">
            <v>0</v>
          </cell>
          <cell r="E139"/>
          <cell r="F139"/>
          <cell r="G139">
            <v>0</v>
          </cell>
        </row>
        <row r="140">
          <cell r="A140" t="str">
            <v>3</v>
          </cell>
          <cell r="B140" t="str">
            <v>6.2.04</v>
          </cell>
          <cell r="C140" t="str">
            <v>Pemberian Pinjaman Daerah</v>
          </cell>
          <cell r="D140">
            <v>0</v>
          </cell>
          <cell r="E140"/>
          <cell r="F140"/>
          <cell r="G140">
            <v>0</v>
          </cell>
        </row>
        <row r="141">
          <cell r="A141" t="str">
            <v>3</v>
          </cell>
          <cell r="B141" t="str">
            <v>6.2.05</v>
          </cell>
          <cell r="C141" t="str">
            <v>Pengeluaran Pembiayaan Lainnya sesuai dengan Ketentuan Peraturan Perundang-Undangan</v>
          </cell>
          <cell r="D141">
            <v>0</v>
          </cell>
          <cell r="E141"/>
          <cell r="F141"/>
          <cell r="G141">
            <v>0</v>
          </cell>
        </row>
        <row r="142">
          <cell r="A142" t="str">
            <v>3</v>
          </cell>
          <cell r="B142" t="str">
            <v>6.2.06</v>
          </cell>
          <cell r="C142" t="str">
            <v>Pembentukan Dana Abadi Daerah</v>
          </cell>
          <cell r="D142">
            <v>0</v>
          </cell>
          <cell r="E142"/>
          <cell r="F142"/>
          <cell r="G142">
            <v>0</v>
          </cell>
        </row>
        <row r="143">
          <cell r="A143" t="str">
            <v>1</v>
          </cell>
          <cell r="B143" t="str">
            <v>7</v>
          </cell>
          <cell r="C143" t="str">
            <v>PENDAPATAN DAERAH-LO</v>
          </cell>
          <cell r="D143">
            <v>8655198846897.7002</v>
          </cell>
          <cell r="E143"/>
          <cell r="F143"/>
          <cell r="G143">
            <v>8768706859468.0801</v>
          </cell>
        </row>
        <row r="144">
          <cell r="A144" t="str">
            <v>2</v>
          </cell>
          <cell r="B144" t="str">
            <v>7.1</v>
          </cell>
          <cell r="C144" t="str">
            <v>PENDAPATAN ASLI DAERAH (PAD)-LO</v>
          </cell>
          <cell r="D144">
            <v>7562909855637.25</v>
          </cell>
          <cell r="E144"/>
          <cell r="F144"/>
          <cell r="G144">
            <v>7672812363119.1299</v>
          </cell>
        </row>
        <row r="145">
          <cell r="A145" t="str">
            <v>3</v>
          </cell>
          <cell r="B145" t="str">
            <v>7.1.01</v>
          </cell>
          <cell r="C145" t="str">
            <v>Pajak Daerah-LO</v>
          </cell>
          <cell r="D145">
            <v>6777158452020.1201</v>
          </cell>
          <cell r="E145"/>
          <cell r="F145"/>
          <cell r="G145">
            <v>6777158452020.1201</v>
          </cell>
        </row>
        <row r="146">
          <cell r="A146" t="str">
            <v>3</v>
          </cell>
          <cell r="B146" t="str">
            <v>7.1.02</v>
          </cell>
          <cell r="C146" t="str">
            <v>Retribusi Daerah-LO</v>
          </cell>
          <cell r="D146">
            <v>378960410214.92999</v>
          </cell>
          <cell r="E146"/>
          <cell r="F146"/>
          <cell r="G146">
            <v>378960410214.92999</v>
          </cell>
        </row>
        <row r="147">
          <cell r="A147" t="str">
            <v>3</v>
          </cell>
          <cell r="B147" t="str">
            <v>7.1.03</v>
          </cell>
          <cell r="C147" t="str">
            <v>Hasil Pengelolaan Kekayaan Daerah yang Dipisahkan-LO</v>
          </cell>
          <cell r="D147">
            <v>293311067133.28998</v>
          </cell>
          <cell r="E147"/>
          <cell r="F147">
            <v>110463308020.45</v>
          </cell>
          <cell r="G147">
            <v>403774375153.73999</v>
          </cell>
        </row>
        <row r="148">
          <cell r="A148" t="str">
            <v>3</v>
          </cell>
          <cell r="B148" t="str">
            <v>7.1.04</v>
          </cell>
          <cell r="C148" t="str">
            <v>Lain-lain PAD yang Sah-LO</v>
          </cell>
          <cell r="D148">
            <v>113479926268.91</v>
          </cell>
          <cell r="E148">
            <v>560800538.57000732</v>
          </cell>
          <cell r="F148"/>
          <cell r="G148">
            <v>112919125730.34</v>
          </cell>
        </row>
        <row r="149">
          <cell r="A149" t="str">
            <v>2</v>
          </cell>
          <cell r="B149" t="str">
            <v>7.2</v>
          </cell>
          <cell r="C149" t="str">
            <v>PENDAPATAN TRANSFER-LO</v>
          </cell>
          <cell r="D149">
            <v>1056037848691</v>
          </cell>
          <cell r="E149"/>
          <cell r="F149"/>
          <cell r="G149">
            <v>1058934366691</v>
          </cell>
        </row>
        <row r="150">
          <cell r="A150" t="str">
            <v>3</v>
          </cell>
          <cell r="B150" t="str">
            <v>7.2.01</v>
          </cell>
          <cell r="C150" t="str">
            <v>Pendapatan Transfer Pemerintah Pusat-LO</v>
          </cell>
          <cell r="D150">
            <v>802297884669</v>
          </cell>
          <cell r="E150"/>
          <cell r="F150"/>
          <cell r="G150">
            <v>805194402669</v>
          </cell>
        </row>
        <row r="151">
          <cell r="A151" t="str">
            <v>4</v>
          </cell>
          <cell r="B151" t="str">
            <v>7.2.01.01</v>
          </cell>
          <cell r="C151" t="str">
            <v>Dana Perimbangan-LO</v>
          </cell>
          <cell r="D151">
            <v>753601580669</v>
          </cell>
          <cell r="E151"/>
          <cell r="F151">
            <v>2896518000</v>
          </cell>
          <cell r="G151">
            <v>756498098669</v>
          </cell>
        </row>
        <row r="152">
          <cell r="A152" t="str">
            <v>4</v>
          </cell>
          <cell r="B152" t="str">
            <v>7.2.01.02</v>
          </cell>
          <cell r="C152" t="str">
            <v>Dana Insentif Daerah (DID)-LO</v>
          </cell>
          <cell r="D152">
            <v>0</v>
          </cell>
          <cell r="E152"/>
          <cell r="F152"/>
          <cell r="G152">
            <v>0</v>
          </cell>
        </row>
        <row r="153">
          <cell r="A153" t="str">
            <v>4</v>
          </cell>
          <cell r="B153" t="str">
            <v>7.2.01.03</v>
          </cell>
          <cell r="C153" t="str">
            <v>Dana Otonomi Khusus dan Dana Tambahan Infrastruktur-LO</v>
          </cell>
          <cell r="D153">
            <v>0</v>
          </cell>
          <cell r="E153"/>
          <cell r="F153"/>
          <cell r="G153">
            <v>0</v>
          </cell>
        </row>
        <row r="154">
          <cell r="A154" t="str">
            <v>4</v>
          </cell>
          <cell r="B154" t="str">
            <v>7.2.01.04</v>
          </cell>
          <cell r="C154" t="str">
            <v>Dana Keistimewaan-LO</v>
          </cell>
          <cell r="D154">
            <v>0</v>
          </cell>
          <cell r="E154"/>
          <cell r="F154"/>
          <cell r="G154">
            <v>0</v>
          </cell>
        </row>
        <row r="155">
          <cell r="A155" t="str">
            <v>4</v>
          </cell>
          <cell r="B155" t="str">
            <v>7.2.01.05</v>
          </cell>
          <cell r="C155" t="str">
            <v>Dana Desa-LO</v>
          </cell>
          <cell r="D155">
            <v>0</v>
          </cell>
          <cell r="E155"/>
          <cell r="F155"/>
          <cell r="G155">
            <v>0</v>
          </cell>
        </row>
        <row r="156">
          <cell r="A156" t="str">
            <v>4</v>
          </cell>
          <cell r="B156" t="str">
            <v>7.2.01.06</v>
          </cell>
          <cell r="C156" t="str">
            <v>Insentif Fiskal-LO</v>
          </cell>
          <cell r="D156">
            <v>48696304000</v>
          </cell>
          <cell r="E156"/>
          <cell r="F156"/>
          <cell r="G156">
            <v>48696304000</v>
          </cell>
        </row>
        <row r="157">
          <cell r="A157" t="str">
            <v>4</v>
          </cell>
          <cell r="B157" t="str">
            <v>7.2.01.07</v>
          </cell>
          <cell r="C157" t="str">
            <v>Dana Bagi Hasil (DBH)-LO</v>
          </cell>
          <cell r="D157">
            <v>0</v>
          </cell>
          <cell r="E157"/>
          <cell r="F157"/>
          <cell r="G157">
            <v>0</v>
          </cell>
        </row>
        <row r="158">
          <cell r="A158" t="str">
            <v>4</v>
          </cell>
          <cell r="B158" t="str">
            <v>7.2.01.08</v>
          </cell>
          <cell r="C158" t="str">
            <v>Dana Alokasi Umum (DAU)-LO</v>
          </cell>
          <cell r="D158">
            <v>0</v>
          </cell>
          <cell r="E158"/>
          <cell r="F158"/>
          <cell r="G158">
            <v>0</v>
          </cell>
        </row>
        <row r="159">
          <cell r="A159" t="str">
            <v>4</v>
          </cell>
          <cell r="B159" t="str">
            <v>7.2.01.09</v>
          </cell>
          <cell r="C159" t="str">
            <v>Dana Alokasi Khusus (DAK)-LO</v>
          </cell>
          <cell r="D159">
            <v>0</v>
          </cell>
          <cell r="E159"/>
          <cell r="F159"/>
          <cell r="G159">
            <v>0</v>
          </cell>
        </row>
        <row r="160">
          <cell r="A160" t="str">
            <v>3</v>
          </cell>
          <cell r="B160" t="str">
            <v>7.2.02</v>
          </cell>
          <cell r="C160" t="str">
            <v>Pendapatan Transfer Antar Daerah-LO</v>
          </cell>
          <cell r="D160">
            <v>253739964022</v>
          </cell>
          <cell r="E160"/>
          <cell r="F160"/>
          <cell r="G160">
            <v>253739964022</v>
          </cell>
        </row>
        <row r="161">
          <cell r="A161" t="str">
            <v>4</v>
          </cell>
          <cell r="B161" t="str">
            <v>7.2.02.01</v>
          </cell>
          <cell r="C161" t="str">
            <v>Pendapatan Bagi Hasil-LO</v>
          </cell>
          <cell r="D161">
            <v>253549964022</v>
          </cell>
          <cell r="E161"/>
          <cell r="F161"/>
          <cell r="G161">
            <v>253549964022</v>
          </cell>
        </row>
        <row r="162">
          <cell r="A162" t="str">
            <v>4</v>
          </cell>
          <cell r="B162" t="str">
            <v>7.2.02.02</v>
          </cell>
          <cell r="C162" t="str">
            <v>Bantuan Keuangan-LO</v>
          </cell>
          <cell r="D162">
            <v>190000000</v>
          </cell>
          <cell r="E162"/>
          <cell r="F162"/>
          <cell r="G162">
            <v>190000000</v>
          </cell>
        </row>
        <row r="163">
          <cell r="A163" t="str">
            <v>2</v>
          </cell>
          <cell r="B163" t="str">
            <v>7.3</v>
          </cell>
          <cell r="C163" t="str">
            <v>LAIN-LAIN PENDAPATAN DAERAH YANG SAH-LO</v>
          </cell>
          <cell r="D163">
            <v>36251142569.449997</v>
          </cell>
          <cell r="E163"/>
          <cell r="F163"/>
          <cell r="G163">
            <v>36960129657.949997</v>
          </cell>
        </row>
        <row r="164">
          <cell r="A164" t="str">
            <v>3</v>
          </cell>
          <cell r="B164" t="str">
            <v>7.3.01</v>
          </cell>
          <cell r="C164" t="str">
            <v>Pendapatan Hibah-LO</v>
          </cell>
          <cell r="D164">
            <v>35796415243</v>
          </cell>
          <cell r="E164"/>
          <cell r="F164"/>
          <cell r="G164">
            <v>35796415243</v>
          </cell>
        </row>
        <row r="165">
          <cell r="A165" t="str">
            <v>3</v>
          </cell>
          <cell r="B165" t="str">
            <v>7.3.02</v>
          </cell>
          <cell r="C165" t="str">
            <v>Dana Darurat-LO</v>
          </cell>
          <cell r="D165">
            <v>0</v>
          </cell>
          <cell r="E165"/>
          <cell r="F165"/>
          <cell r="G165">
            <v>0</v>
          </cell>
        </row>
        <row r="166">
          <cell r="A166" t="str">
            <v>3</v>
          </cell>
          <cell r="B166" t="str">
            <v>7.3.03</v>
          </cell>
          <cell r="C166" t="str">
            <v>Lain-lain Pendapatan Sesuai dengan Ketentuan Peraturan Perundang-Undangan-LO</v>
          </cell>
          <cell r="D166">
            <v>454727326.44999999</v>
          </cell>
          <cell r="E166"/>
          <cell r="F166">
            <v>708987088.5</v>
          </cell>
          <cell r="G166">
            <v>1163714414.95</v>
          </cell>
        </row>
        <row r="167">
          <cell r="A167" t="str">
            <v>2</v>
          </cell>
          <cell r="B167" t="str">
            <v>7.4</v>
          </cell>
          <cell r="C167" t="str">
            <v>SURPLUS NON OPERASIONAL-LO</v>
          </cell>
          <cell r="D167">
            <v>0</v>
          </cell>
          <cell r="E167"/>
          <cell r="F167"/>
          <cell r="G167">
            <v>1272997948</v>
          </cell>
        </row>
        <row r="168">
          <cell r="A168" t="str">
            <v>3</v>
          </cell>
          <cell r="B168" t="str">
            <v>7.4.01</v>
          </cell>
          <cell r="C168" t="str">
            <v>Surplus Penjualan/Pertukaran/Pelepasan Aset Non Lancar-LO</v>
          </cell>
          <cell r="D168">
            <v>0</v>
          </cell>
          <cell r="E168"/>
          <cell r="F168">
            <v>1272997948</v>
          </cell>
          <cell r="G168">
            <v>1272997948</v>
          </cell>
        </row>
        <row r="169">
          <cell r="A169" t="str">
            <v>3</v>
          </cell>
          <cell r="B169" t="str">
            <v>7.4.02</v>
          </cell>
          <cell r="C169" t="str">
            <v>Surplus Penyelesaian Kewajiban Jangka Panjang-LO</v>
          </cell>
          <cell r="D169">
            <v>0</v>
          </cell>
          <cell r="E169"/>
          <cell r="F169"/>
          <cell r="G169">
            <v>0</v>
          </cell>
        </row>
        <row r="170">
          <cell r="A170" t="str">
            <v>3</v>
          </cell>
          <cell r="B170" t="str">
            <v>7.4.03</v>
          </cell>
          <cell r="C170" t="str">
            <v>Surplus dari Kegiatan Non Operasional Lainnya-LO</v>
          </cell>
          <cell r="D170">
            <v>0</v>
          </cell>
          <cell r="E170"/>
          <cell r="F170"/>
          <cell r="G170">
            <v>0</v>
          </cell>
        </row>
        <row r="171">
          <cell r="A171" t="str">
            <v>2</v>
          </cell>
          <cell r="B171" t="str">
            <v>7.5</v>
          </cell>
          <cell r="C171" t="str">
            <v>PENDAPATAN LUAR BIASA-LO</v>
          </cell>
          <cell r="D171">
            <v>0</v>
          </cell>
          <cell r="E171"/>
          <cell r="F171"/>
          <cell r="G171">
            <v>0</v>
          </cell>
        </row>
        <row r="172">
          <cell r="A172" t="str">
            <v>3</v>
          </cell>
          <cell r="B172" t="str">
            <v>7.5.01</v>
          </cell>
          <cell r="C172" t="str">
            <v>Pendapatan Luar Biasa-LO</v>
          </cell>
          <cell r="D172">
            <v>0</v>
          </cell>
          <cell r="E172">
            <v>0</v>
          </cell>
          <cell r="F172">
            <v>0</v>
          </cell>
          <cell r="G172">
            <v>0</v>
          </cell>
        </row>
        <row r="173">
          <cell r="A173" t="str">
            <v>1</v>
          </cell>
          <cell r="B173" t="str">
            <v>8</v>
          </cell>
          <cell r="C173" t="str">
            <v>BEBAN DAERAH</v>
          </cell>
          <cell r="D173">
            <v>8246609067252.4805</v>
          </cell>
          <cell r="E173"/>
          <cell r="F173"/>
          <cell r="G173">
            <v>8057023289793.1895</v>
          </cell>
        </row>
        <row r="174">
          <cell r="A174" t="str">
            <v>2</v>
          </cell>
          <cell r="B174" t="str">
            <v>8.1</v>
          </cell>
          <cell r="C174" t="str">
            <v>BEBAN OPERASI</v>
          </cell>
          <cell r="D174">
            <v>6440525746232.4805</v>
          </cell>
          <cell r="E174"/>
          <cell r="F174"/>
          <cell r="G174">
            <v>6250939968773.1895</v>
          </cell>
        </row>
        <row r="175">
          <cell r="A175" t="str">
            <v>3</v>
          </cell>
          <cell r="B175" t="str">
            <v>8.1.01</v>
          </cell>
          <cell r="C175" t="str">
            <v>Beban Pegawai</v>
          </cell>
          <cell r="D175">
            <v>1850545224571.53</v>
          </cell>
          <cell r="E175"/>
          <cell r="F175"/>
          <cell r="G175">
            <v>1850545224571.53</v>
          </cell>
        </row>
        <row r="176">
          <cell r="A176" t="str">
            <v>3</v>
          </cell>
          <cell r="B176" t="str">
            <v>8.1.02</v>
          </cell>
          <cell r="C176" t="str">
            <v>Beban Barang dan Jasa</v>
          </cell>
          <cell r="D176">
            <v>1565320327699.9199</v>
          </cell>
          <cell r="E176"/>
          <cell r="F176">
            <v>644372571.89990234</v>
          </cell>
          <cell r="G176">
            <v>1564675955128.02</v>
          </cell>
        </row>
        <row r="177">
          <cell r="A177" t="str">
            <v>3</v>
          </cell>
          <cell r="B177" t="str">
            <v>8.1.03</v>
          </cell>
          <cell r="C177" t="str">
            <v>Beban Bunga</v>
          </cell>
          <cell r="D177">
            <v>0</v>
          </cell>
          <cell r="E177"/>
          <cell r="F177"/>
          <cell r="G177">
            <v>0</v>
          </cell>
        </row>
        <row r="178">
          <cell r="A178" t="str">
            <v>3</v>
          </cell>
          <cell r="B178" t="str">
            <v>8.1.04</v>
          </cell>
          <cell r="C178" t="str">
            <v>Beban Subsidi</v>
          </cell>
          <cell r="D178">
            <v>3623755746</v>
          </cell>
          <cell r="E178"/>
          <cell r="F178"/>
          <cell r="G178">
            <v>3623755746</v>
          </cell>
        </row>
        <row r="179">
          <cell r="A179" t="str">
            <v>3</v>
          </cell>
          <cell r="B179" t="str">
            <v>8.1.05</v>
          </cell>
          <cell r="C179" t="str">
            <v>Beban Hibah</v>
          </cell>
          <cell r="D179">
            <v>1845446243803</v>
          </cell>
          <cell r="E179"/>
          <cell r="F179">
            <v>198948747600</v>
          </cell>
          <cell r="G179">
            <v>1646497496203</v>
          </cell>
        </row>
        <row r="180">
          <cell r="A180" t="str">
            <v>3</v>
          </cell>
          <cell r="B180" t="str">
            <v>8.1.06</v>
          </cell>
          <cell r="C180" t="str">
            <v>Beban Bantuan Sosial</v>
          </cell>
          <cell r="D180">
            <v>600500000</v>
          </cell>
          <cell r="E180"/>
          <cell r="F180"/>
          <cell r="G180">
            <v>600500000</v>
          </cell>
        </row>
        <row r="181">
          <cell r="A181" t="str">
            <v>3</v>
          </cell>
          <cell r="B181" t="str">
            <v>8.1.07</v>
          </cell>
          <cell r="C181" t="str">
            <v>Beban Penyisihan Piutang</v>
          </cell>
          <cell r="D181">
            <v>723951197970.51001</v>
          </cell>
          <cell r="E181"/>
          <cell r="F181"/>
          <cell r="G181">
            <v>723951197970.51001</v>
          </cell>
        </row>
        <row r="182">
          <cell r="A182" t="str">
            <v>3</v>
          </cell>
          <cell r="B182" t="str">
            <v>8.1.08</v>
          </cell>
          <cell r="C182" t="str">
            <v>Beban Penyusutan dan Amortisasi</v>
          </cell>
          <cell r="D182">
            <v>451038496441.52002</v>
          </cell>
          <cell r="E182">
            <v>10007342712.610001</v>
          </cell>
          <cell r="F182"/>
          <cell r="G182">
            <v>461045839154.13</v>
          </cell>
        </row>
        <row r="183">
          <cell r="A183" t="str">
            <v>2</v>
          </cell>
          <cell r="B183" t="str">
            <v>8.3</v>
          </cell>
          <cell r="C183" t="str">
            <v>BEBAN TRANSFER</v>
          </cell>
          <cell r="D183">
            <v>1806083321020</v>
          </cell>
          <cell r="E183"/>
          <cell r="F183"/>
          <cell r="G183">
            <v>1806083321020</v>
          </cell>
        </row>
        <row r="184">
          <cell r="A184" t="str">
            <v>3</v>
          </cell>
          <cell r="B184" t="str">
            <v>8.3.01</v>
          </cell>
          <cell r="C184" t="str">
            <v>Beban Bagi Hasil</v>
          </cell>
          <cell r="D184">
            <v>816384858301</v>
          </cell>
          <cell r="E184"/>
          <cell r="F184"/>
          <cell r="G184">
            <v>816384858301</v>
          </cell>
        </row>
        <row r="185">
          <cell r="A185" t="str">
            <v>3</v>
          </cell>
          <cell r="B185" t="str">
            <v>8.3.02</v>
          </cell>
          <cell r="C185" t="str">
            <v>Beban Bantuan Keuangan</v>
          </cell>
          <cell r="D185">
            <v>989698462719</v>
          </cell>
          <cell r="E185"/>
          <cell r="F185"/>
          <cell r="G185">
            <v>989698462719</v>
          </cell>
        </row>
        <row r="186">
          <cell r="A186" t="str">
            <v>2</v>
          </cell>
          <cell r="B186" t="str">
            <v>8.4</v>
          </cell>
          <cell r="C186" t="str">
            <v>DEFISIT NON OPERASIONAL-LO</v>
          </cell>
          <cell r="D186">
            <v>22302198626.540001</v>
          </cell>
          <cell r="E186"/>
          <cell r="F186"/>
          <cell r="G186">
            <v>22968447684.670002</v>
          </cell>
        </row>
        <row r="187">
          <cell r="A187" t="str">
            <v>3</v>
          </cell>
          <cell r="B187" t="str">
            <v>8.4.01</v>
          </cell>
          <cell r="C187" t="str">
            <v>Defisit Penjualan/Pertukaran/Pelepasan Aset Non Lancar-LO</v>
          </cell>
          <cell r="D187">
            <v>22302198626.540001</v>
          </cell>
          <cell r="E187"/>
          <cell r="F187"/>
          <cell r="G187">
            <v>22302198626.540001</v>
          </cell>
        </row>
        <row r="188">
          <cell r="A188" t="str">
            <v>3</v>
          </cell>
          <cell r="B188" t="str">
            <v>8.4.02</v>
          </cell>
          <cell r="C188" t="str">
            <v>Defisit Penyelesaian Kewajiban Jangka Panjang-LO</v>
          </cell>
          <cell r="D188">
            <v>0</v>
          </cell>
          <cell r="E188"/>
          <cell r="F188"/>
          <cell r="G188">
            <v>0</v>
          </cell>
        </row>
        <row r="189">
          <cell r="A189" t="str">
            <v>3</v>
          </cell>
          <cell r="B189" t="str">
            <v>8.4.03</v>
          </cell>
          <cell r="C189" t="str">
            <v>Defisit dari Kegiatan Non Operasional Lainnya- LO</v>
          </cell>
          <cell r="D189">
            <v>0</v>
          </cell>
          <cell r="E189">
            <v>666249058.13</v>
          </cell>
          <cell r="F189"/>
          <cell r="G189">
            <v>666249058.13</v>
          </cell>
        </row>
        <row r="190">
          <cell r="A190" t="str">
            <v>2</v>
          </cell>
          <cell r="B190" t="str">
            <v>8.5</v>
          </cell>
          <cell r="C190" t="str">
            <v>BEBAN LUAR BIASA</v>
          </cell>
          <cell r="D190">
            <v>7856395999.9799995</v>
          </cell>
          <cell r="E190"/>
          <cell r="F190"/>
          <cell r="G190">
            <v>7856395999.9799995</v>
          </cell>
        </row>
        <row r="191">
          <cell r="A191" t="str">
            <v>3</v>
          </cell>
          <cell r="B191" t="str">
            <v>8.5.01</v>
          </cell>
          <cell r="C191" t="str">
            <v>Beban Luar Biasa</v>
          </cell>
          <cell r="D191">
            <v>7856395999.9799995</v>
          </cell>
          <cell r="E191"/>
          <cell r="F191"/>
          <cell r="G191">
            <v>7856395999.9799995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11</v>
  </rv>
</rvData>
</file>

<file path=xl/richData/rdrichvaluestructure.xml><?xml version="1.0" encoding="utf-8"?>
<rvStructures xmlns="http://schemas.microsoft.com/office/spreadsheetml/2017/richdata" count="1">
  <s t="_error">
    <k n="error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9CF63-32FD-49E3-A9CC-995E0FC0B4DD}">
  <sheetPr>
    <pageSetUpPr fitToPage="1"/>
  </sheetPr>
  <dimension ref="A1:J113"/>
  <sheetViews>
    <sheetView tabSelected="1" view="pageBreakPreview" topLeftCell="A10" zoomScale="70" zoomScaleNormal="70" zoomScaleSheetLayoutView="70" workbookViewId="0">
      <selection activeCell="C19" sqref="C19"/>
    </sheetView>
  </sheetViews>
  <sheetFormatPr defaultColWidth="9.21875" defaultRowHeight="13.8" x14ac:dyDescent="0.3"/>
  <cols>
    <col min="1" max="1" width="60.88671875" style="62" bestFit="1" customWidth="1"/>
    <col min="2" max="2" width="13.6640625" style="62" bestFit="1" customWidth="1"/>
    <col min="3" max="3" width="25.88671875" style="63" bestFit="1" customWidth="1"/>
    <col min="4" max="4" width="25.109375" style="64" bestFit="1" customWidth="1"/>
    <col min="5" max="5" width="9.33203125" style="61" bestFit="1" customWidth="1"/>
    <col min="6" max="6" width="25.109375" style="2" bestFit="1" customWidth="1"/>
    <col min="7" max="7" width="41" style="1" bestFit="1" customWidth="1"/>
    <col min="8" max="8" width="22.21875" style="1" customWidth="1"/>
    <col min="9" max="9" width="22.21875" style="1" bestFit="1" customWidth="1"/>
    <col min="10" max="10" width="29.77734375" style="2" customWidth="1"/>
    <col min="11" max="249" width="9.21875" style="2"/>
    <col min="250" max="250" width="1.44140625" style="2" customWidth="1"/>
    <col min="251" max="252" width="0.77734375" style="2" customWidth="1"/>
    <col min="253" max="254" width="1.21875" style="2" customWidth="1"/>
    <col min="255" max="255" width="43" style="2" bestFit="1" customWidth="1"/>
    <col min="256" max="256" width="9.77734375" style="2" bestFit="1" customWidth="1"/>
    <col min="257" max="258" width="18.44140625" style="2" bestFit="1" customWidth="1"/>
    <col min="259" max="259" width="8.44140625" style="2" bestFit="1" customWidth="1"/>
    <col min="260" max="260" width="18.44140625" style="2" bestFit="1" customWidth="1"/>
    <col min="261" max="505" width="9.21875" style="2"/>
    <col min="506" max="506" width="1.44140625" style="2" customWidth="1"/>
    <col min="507" max="508" width="0.77734375" style="2" customWidth="1"/>
    <col min="509" max="510" width="1.21875" style="2" customWidth="1"/>
    <col min="511" max="511" width="43" style="2" bestFit="1" customWidth="1"/>
    <col min="512" max="512" width="9.77734375" style="2" bestFit="1" customWidth="1"/>
    <col min="513" max="514" width="18.44140625" style="2" bestFit="1" customWidth="1"/>
    <col min="515" max="515" width="8.44140625" style="2" bestFit="1" customWidth="1"/>
    <col min="516" max="516" width="18.44140625" style="2" bestFit="1" customWidth="1"/>
    <col min="517" max="761" width="9.21875" style="2"/>
    <col min="762" max="762" width="1.44140625" style="2" customWidth="1"/>
    <col min="763" max="764" width="0.77734375" style="2" customWidth="1"/>
    <col min="765" max="766" width="1.21875" style="2" customWidth="1"/>
    <col min="767" max="767" width="43" style="2" bestFit="1" customWidth="1"/>
    <col min="768" max="768" width="9.77734375" style="2" bestFit="1" customWidth="1"/>
    <col min="769" max="770" width="18.44140625" style="2" bestFit="1" customWidth="1"/>
    <col min="771" max="771" width="8.44140625" style="2" bestFit="1" customWidth="1"/>
    <col min="772" max="772" width="18.44140625" style="2" bestFit="1" customWidth="1"/>
    <col min="773" max="1017" width="9.21875" style="2"/>
    <col min="1018" max="1018" width="1.44140625" style="2" customWidth="1"/>
    <col min="1019" max="1020" width="0.77734375" style="2" customWidth="1"/>
    <col min="1021" max="1022" width="1.21875" style="2" customWidth="1"/>
    <col min="1023" max="1023" width="43" style="2" bestFit="1" customWidth="1"/>
    <col min="1024" max="1024" width="9.77734375" style="2" bestFit="1" customWidth="1"/>
    <col min="1025" max="1026" width="18.44140625" style="2" bestFit="1" customWidth="1"/>
    <col min="1027" max="1027" width="8.44140625" style="2" bestFit="1" customWidth="1"/>
    <col min="1028" max="1028" width="18.44140625" style="2" bestFit="1" customWidth="1"/>
    <col min="1029" max="1273" width="9.21875" style="2"/>
    <col min="1274" max="1274" width="1.44140625" style="2" customWidth="1"/>
    <col min="1275" max="1276" width="0.77734375" style="2" customWidth="1"/>
    <col min="1277" max="1278" width="1.21875" style="2" customWidth="1"/>
    <col min="1279" max="1279" width="43" style="2" bestFit="1" customWidth="1"/>
    <col min="1280" max="1280" width="9.77734375" style="2" bestFit="1" customWidth="1"/>
    <col min="1281" max="1282" width="18.44140625" style="2" bestFit="1" customWidth="1"/>
    <col min="1283" max="1283" width="8.44140625" style="2" bestFit="1" customWidth="1"/>
    <col min="1284" max="1284" width="18.44140625" style="2" bestFit="1" customWidth="1"/>
    <col min="1285" max="1529" width="9.21875" style="2"/>
    <col min="1530" max="1530" width="1.44140625" style="2" customWidth="1"/>
    <col min="1531" max="1532" width="0.77734375" style="2" customWidth="1"/>
    <col min="1533" max="1534" width="1.21875" style="2" customWidth="1"/>
    <col min="1535" max="1535" width="43" style="2" bestFit="1" customWidth="1"/>
    <col min="1536" max="1536" width="9.77734375" style="2" bestFit="1" customWidth="1"/>
    <col min="1537" max="1538" width="18.44140625" style="2" bestFit="1" customWidth="1"/>
    <col min="1539" max="1539" width="8.44140625" style="2" bestFit="1" customWidth="1"/>
    <col min="1540" max="1540" width="18.44140625" style="2" bestFit="1" customWidth="1"/>
    <col min="1541" max="1785" width="9.21875" style="2"/>
    <col min="1786" max="1786" width="1.44140625" style="2" customWidth="1"/>
    <col min="1787" max="1788" width="0.77734375" style="2" customWidth="1"/>
    <col min="1789" max="1790" width="1.21875" style="2" customWidth="1"/>
    <col min="1791" max="1791" width="43" style="2" bestFit="1" customWidth="1"/>
    <col min="1792" max="1792" width="9.77734375" style="2" bestFit="1" customWidth="1"/>
    <col min="1793" max="1794" width="18.44140625" style="2" bestFit="1" customWidth="1"/>
    <col min="1795" max="1795" width="8.44140625" style="2" bestFit="1" customWidth="1"/>
    <col min="1796" max="1796" width="18.44140625" style="2" bestFit="1" customWidth="1"/>
    <col min="1797" max="2041" width="9.21875" style="2"/>
    <col min="2042" max="2042" width="1.44140625" style="2" customWidth="1"/>
    <col min="2043" max="2044" width="0.77734375" style="2" customWidth="1"/>
    <col min="2045" max="2046" width="1.21875" style="2" customWidth="1"/>
    <col min="2047" max="2047" width="43" style="2" bestFit="1" customWidth="1"/>
    <col min="2048" max="2048" width="9.77734375" style="2" bestFit="1" customWidth="1"/>
    <col min="2049" max="2050" width="18.44140625" style="2" bestFit="1" customWidth="1"/>
    <col min="2051" max="2051" width="8.44140625" style="2" bestFit="1" customWidth="1"/>
    <col min="2052" max="2052" width="18.44140625" style="2" bestFit="1" customWidth="1"/>
    <col min="2053" max="2297" width="9.21875" style="2"/>
    <col min="2298" max="2298" width="1.44140625" style="2" customWidth="1"/>
    <col min="2299" max="2300" width="0.77734375" style="2" customWidth="1"/>
    <col min="2301" max="2302" width="1.21875" style="2" customWidth="1"/>
    <col min="2303" max="2303" width="43" style="2" bestFit="1" customWidth="1"/>
    <col min="2304" max="2304" width="9.77734375" style="2" bestFit="1" customWidth="1"/>
    <col min="2305" max="2306" width="18.44140625" style="2" bestFit="1" customWidth="1"/>
    <col min="2307" max="2307" width="8.44140625" style="2" bestFit="1" customWidth="1"/>
    <col min="2308" max="2308" width="18.44140625" style="2" bestFit="1" customWidth="1"/>
    <col min="2309" max="2553" width="9.21875" style="2"/>
    <col min="2554" max="2554" width="1.44140625" style="2" customWidth="1"/>
    <col min="2555" max="2556" width="0.77734375" style="2" customWidth="1"/>
    <col min="2557" max="2558" width="1.21875" style="2" customWidth="1"/>
    <col min="2559" max="2559" width="43" style="2" bestFit="1" customWidth="1"/>
    <col min="2560" max="2560" width="9.77734375" style="2" bestFit="1" customWidth="1"/>
    <col min="2561" max="2562" width="18.44140625" style="2" bestFit="1" customWidth="1"/>
    <col min="2563" max="2563" width="8.44140625" style="2" bestFit="1" customWidth="1"/>
    <col min="2564" max="2564" width="18.44140625" style="2" bestFit="1" customWidth="1"/>
    <col min="2565" max="2809" width="9.21875" style="2"/>
    <col min="2810" max="2810" width="1.44140625" style="2" customWidth="1"/>
    <col min="2811" max="2812" width="0.77734375" style="2" customWidth="1"/>
    <col min="2813" max="2814" width="1.21875" style="2" customWidth="1"/>
    <col min="2815" max="2815" width="43" style="2" bestFit="1" customWidth="1"/>
    <col min="2816" max="2816" width="9.77734375" style="2" bestFit="1" customWidth="1"/>
    <col min="2817" max="2818" width="18.44140625" style="2" bestFit="1" customWidth="1"/>
    <col min="2819" max="2819" width="8.44140625" style="2" bestFit="1" customWidth="1"/>
    <col min="2820" max="2820" width="18.44140625" style="2" bestFit="1" customWidth="1"/>
    <col min="2821" max="3065" width="9.21875" style="2"/>
    <col min="3066" max="3066" width="1.44140625" style="2" customWidth="1"/>
    <col min="3067" max="3068" width="0.77734375" style="2" customWidth="1"/>
    <col min="3069" max="3070" width="1.21875" style="2" customWidth="1"/>
    <col min="3071" max="3071" width="43" style="2" bestFit="1" customWidth="1"/>
    <col min="3072" max="3072" width="9.77734375" style="2" bestFit="1" customWidth="1"/>
    <col min="3073" max="3074" width="18.44140625" style="2" bestFit="1" customWidth="1"/>
    <col min="3075" max="3075" width="8.44140625" style="2" bestFit="1" customWidth="1"/>
    <col min="3076" max="3076" width="18.44140625" style="2" bestFit="1" customWidth="1"/>
    <col min="3077" max="3321" width="9.21875" style="2"/>
    <col min="3322" max="3322" width="1.44140625" style="2" customWidth="1"/>
    <col min="3323" max="3324" width="0.77734375" style="2" customWidth="1"/>
    <col min="3325" max="3326" width="1.21875" style="2" customWidth="1"/>
    <col min="3327" max="3327" width="43" style="2" bestFit="1" customWidth="1"/>
    <col min="3328" max="3328" width="9.77734375" style="2" bestFit="1" customWidth="1"/>
    <col min="3329" max="3330" width="18.44140625" style="2" bestFit="1" customWidth="1"/>
    <col min="3331" max="3331" width="8.44140625" style="2" bestFit="1" customWidth="1"/>
    <col min="3332" max="3332" width="18.44140625" style="2" bestFit="1" customWidth="1"/>
    <col min="3333" max="3577" width="9.21875" style="2"/>
    <col min="3578" max="3578" width="1.44140625" style="2" customWidth="1"/>
    <col min="3579" max="3580" width="0.77734375" style="2" customWidth="1"/>
    <col min="3581" max="3582" width="1.21875" style="2" customWidth="1"/>
    <col min="3583" max="3583" width="43" style="2" bestFit="1" customWidth="1"/>
    <col min="3584" max="3584" width="9.77734375" style="2" bestFit="1" customWidth="1"/>
    <col min="3585" max="3586" width="18.44140625" style="2" bestFit="1" customWidth="1"/>
    <col min="3587" max="3587" width="8.44140625" style="2" bestFit="1" customWidth="1"/>
    <col min="3588" max="3588" width="18.44140625" style="2" bestFit="1" customWidth="1"/>
    <col min="3589" max="3833" width="9.21875" style="2"/>
    <col min="3834" max="3834" width="1.44140625" style="2" customWidth="1"/>
    <col min="3835" max="3836" width="0.77734375" style="2" customWidth="1"/>
    <col min="3837" max="3838" width="1.21875" style="2" customWidth="1"/>
    <col min="3839" max="3839" width="43" style="2" bestFit="1" customWidth="1"/>
    <col min="3840" max="3840" width="9.77734375" style="2" bestFit="1" customWidth="1"/>
    <col min="3841" max="3842" width="18.44140625" style="2" bestFit="1" customWidth="1"/>
    <col min="3843" max="3843" width="8.44140625" style="2" bestFit="1" customWidth="1"/>
    <col min="3844" max="3844" width="18.44140625" style="2" bestFit="1" customWidth="1"/>
    <col min="3845" max="4089" width="9.21875" style="2"/>
    <col min="4090" max="4090" width="1.44140625" style="2" customWidth="1"/>
    <col min="4091" max="4092" width="0.77734375" style="2" customWidth="1"/>
    <col min="4093" max="4094" width="1.21875" style="2" customWidth="1"/>
    <col min="4095" max="4095" width="43" style="2" bestFit="1" customWidth="1"/>
    <col min="4096" max="4096" width="9.77734375" style="2" bestFit="1" customWidth="1"/>
    <col min="4097" max="4098" width="18.44140625" style="2" bestFit="1" customWidth="1"/>
    <col min="4099" max="4099" width="8.44140625" style="2" bestFit="1" customWidth="1"/>
    <col min="4100" max="4100" width="18.44140625" style="2" bestFit="1" customWidth="1"/>
    <col min="4101" max="4345" width="9.21875" style="2"/>
    <col min="4346" max="4346" width="1.44140625" style="2" customWidth="1"/>
    <col min="4347" max="4348" width="0.77734375" style="2" customWidth="1"/>
    <col min="4349" max="4350" width="1.21875" style="2" customWidth="1"/>
    <col min="4351" max="4351" width="43" style="2" bestFit="1" customWidth="1"/>
    <col min="4352" max="4352" width="9.77734375" style="2" bestFit="1" customWidth="1"/>
    <col min="4353" max="4354" width="18.44140625" style="2" bestFit="1" customWidth="1"/>
    <col min="4355" max="4355" width="8.44140625" style="2" bestFit="1" customWidth="1"/>
    <col min="4356" max="4356" width="18.44140625" style="2" bestFit="1" customWidth="1"/>
    <col min="4357" max="4601" width="9.21875" style="2"/>
    <col min="4602" max="4602" width="1.44140625" style="2" customWidth="1"/>
    <col min="4603" max="4604" width="0.77734375" style="2" customWidth="1"/>
    <col min="4605" max="4606" width="1.21875" style="2" customWidth="1"/>
    <col min="4607" max="4607" width="43" style="2" bestFit="1" customWidth="1"/>
    <col min="4608" max="4608" width="9.77734375" style="2" bestFit="1" customWidth="1"/>
    <col min="4609" max="4610" width="18.44140625" style="2" bestFit="1" customWidth="1"/>
    <col min="4611" max="4611" width="8.44140625" style="2" bestFit="1" customWidth="1"/>
    <col min="4612" max="4612" width="18.44140625" style="2" bestFit="1" customWidth="1"/>
    <col min="4613" max="4857" width="9.21875" style="2"/>
    <col min="4858" max="4858" width="1.44140625" style="2" customWidth="1"/>
    <col min="4859" max="4860" width="0.77734375" style="2" customWidth="1"/>
    <col min="4861" max="4862" width="1.21875" style="2" customWidth="1"/>
    <col min="4863" max="4863" width="43" style="2" bestFit="1" customWidth="1"/>
    <col min="4864" max="4864" width="9.77734375" style="2" bestFit="1" customWidth="1"/>
    <col min="4865" max="4866" width="18.44140625" style="2" bestFit="1" customWidth="1"/>
    <col min="4867" max="4867" width="8.44140625" style="2" bestFit="1" customWidth="1"/>
    <col min="4868" max="4868" width="18.44140625" style="2" bestFit="1" customWidth="1"/>
    <col min="4869" max="5113" width="9.21875" style="2"/>
    <col min="5114" max="5114" width="1.44140625" style="2" customWidth="1"/>
    <col min="5115" max="5116" width="0.77734375" style="2" customWidth="1"/>
    <col min="5117" max="5118" width="1.21875" style="2" customWidth="1"/>
    <col min="5119" max="5119" width="43" style="2" bestFit="1" customWidth="1"/>
    <col min="5120" max="5120" width="9.77734375" style="2" bestFit="1" customWidth="1"/>
    <col min="5121" max="5122" width="18.44140625" style="2" bestFit="1" customWidth="1"/>
    <col min="5123" max="5123" width="8.44140625" style="2" bestFit="1" customWidth="1"/>
    <col min="5124" max="5124" width="18.44140625" style="2" bestFit="1" customWidth="1"/>
    <col min="5125" max="5369" width="9.21875" style="2"/>
    <col min="5370" max="5370" width="1.44140625" style="2" customWidth="1"/>
    <col min="5371" max="5372" width="0.77734375" style="2" customWidth="1"/>
    <col min="5373" max="5374" width="1.21875" style="2" customWidth="1"/>
    <col min="5375" max="5375" width="43" style="2" bestFit="1" customWidth="1"/>
    <col min="5376" max="5376" width="9.77734375" style="2" bestFit="1" customWidth="1"/>
    <col min="5377" max="5378" width="18.44140625" style="2" bestFit="1" customWidth="1"/>
    <col min="5379" max="5379" width="8.44140625" style="2" bestFit="1" customWidth="1"/>
    <col min="5380" max="5380" width="18.44140625" style="2" bestFit="1" customWidth="1"/>
    <col min="5381" max="5625" width="9.21875" style="2"/>
    <col min="5626" max="5626" width="1.44140625" style="2" customWidth="1"/>
    <col min="5627" max="5628" width="0.77734375" style="2" customWidth="1"/>
    <col min="5629" max="5630" width="1.21875" style="2" customWidth="1"/>
    <col min="5631" max="5631" width="43" style="2" bestFit="1" customWidth="1"/>
    <col min="5632" max="5632" width="9.77734375" style="2" bestFit="1" customWidth="1"/>
    <col min="5633" max="5634" width="18.44140625" style="2" bestFit="1" customWidth="1"/>
    <col min="5635" max="5635" width="8.44140625" style="2" bestFit="1" customWidth="1"/>
    <col min="5636" max="5636" width="18.44140625" style="2" bestFit="1" customWidth="1"/>
    <col min="5637" max="5881" width="9.21875" style="2"/>
    <col min="5882" max="5882" width="1.44140625" style="2" customWidth="1"/>
    <col min="5883" max="5884" width="0.77734375" style="2" customWidth="1"/>
    <col min="5885" max="5886" width="1.21875" style="2" customWidth="1"/>
    <col min="5887" max="5887" width="43" style="2" bestFit="1" customWidth="1"/>
    <col min="5888" max="5888" width="9.77734375" style="2" bestFit="1" customWidth="1"/>
    <col min="5889" max="5890" width="18.44140625" style="2" bestFit="1" customWidth="1"/>
    <col min="5891" max="5891" width="8.44140625" style="2" bestFit="1" customWidth="1"/>
    <col min="5892" max="5892" width="18.44140625" style="2" bestFit="1" customWidth="1"/>
    <col min="5893" max="6137" width="9.21875" style="2"/>
    <col min="6138" max="6138" width="1.44140625" style="2" customWidth="1"/>
    <col min="6139" max="6140" width="0.77734375" style="2" customWidth="1"/>
    <col min="6141" max="6142" width="1.21875" style="2" customWidth="1"/>
    <col min="6143" max="6143" width="43" style="2" bestFit="1" customWidth="1"/>
    <col min="6144" max="6144" width="9.77734375" style="2" bestFit="1" customWidth="1"/>
    <col min="6145" max="6146" width="18.44140625" style="2" bestFit="1" customWidth="1"/>
    <col min="6147" max="6147" width="8.44140625" style="2" bestFit="1" customWidth="1"/>
    <col min="6148" max="6148" width="18.44140625" style="2" bestFit="1" customWidth="1"/>
    <col min="6149" max="6393" width="9.21875" style="2"/>
    <col min="6394" max="6394" width="1.44140625" style="2" customWidth="1"/>
    <col min="6395" max="6396" width="0.77734375" style="2" customWidth="1"/>
    <col min="6397" max="6398" width="1.21875" style="2" customWidth="1"/>
    <col min="6399" max="6399" width="43" style="2" bestFit="1" customWidth="1"/>
    <col min="6400" max="6400" width="9.77734375" style="2" bestFit="1" customWidth="1"/>
    <col min="6401" max="6402" width="18.44140625" style="2" bestFit="1" customWidth="1"/>
    <col min="6403" max="6403" width="8.44140625" style="2" bestFit="1" customWidth="1"/>
    <col min="6404" max="6404" width="18.44140625" style="2" bestFit="1" customWidth="1"/>
    <col min="6405" max="6649" width="9.21875" style="2"/>
    <col min="6650" max="6650" width="1.44140625" style="2" customWidth="1"/>
    <col min="6651" max="6652" width="0.77734375" style="2" customWidth="1"/>
    <col min="6653" max="6654" width="1.21875" style="2" customWidth="1"/>
    <col min="6655" max="6655" width="43" style="2" bestFit="1" customWidth="1"/>
    <col min="6656" max="6656" width="9.77734375" style="2" bestFit="1" customWidth="1"/>
    <col min="6657" max="6658" width="18.44140625" style="2" bestFit="1" customWidth="1"/>
    <col min="6659" max="6659" width="8.44140625" style="2" bestFit="1" customWidth="1"/>
    <col min="6660" max="6660" width="18.44140625" style="2" bestFit="1" customWidth="1"/>
    <col min="6661" max="6905" width="9.21875" style="2"/>
    <col min="6906" max="6906" width="1.44140625" style="2" customWidth="1"/>
    <col min="6907" max="6908" width="0.77734375" style="2" customWidth="1"/>
    <col min="6909" max="6910" width="1.21875" style="2" customWidth="1"/>
    <col min="6911" max="6911" width="43" style="2" bestFit="1" customWidth="1"/>
    <col min="6912" max="6912" width="9.77734375" style="2" bestFit="1" customWidth="1"/>
    <col min="6913" max="6914" width="18.44140625" style="2" bestFit="1" customWidth="1"/>
    <col min="6915" max="6915" width="8.44140625" style="2" bestFit="1" customWidth="1"/>
    <col min="6916" max="6916" width="18.44140625" style="2" bestFit="1" customWidth="1"/>
    <col min="6917" max="7161" width="9.21875" style="2"/>
    <col min="7162" max="7162" width="1.44140625" style="2" customWidth="1"/>
    <col min="7163" max="7164" width="0.77734375" style="2" customWidth="1"/>
    <col min="7165" max="7166" width="1.21875" style="2" customWidth="1"/>
    <col min="7167" max="7167" width="43" style="2" bestFit="1" customWidth="1"/>
    <col min="7168" max="7168" width="9.77734375" style="2" bestFit="1" customWidth="1"/>
    <col min="7169" max="7170" width="18.44140625" style="2" bestFit="1" customWidth="1"/>
    <col min="7171" max="7171" width="8.44140625" style="2" bestFit="1" customWidth="1"/>
    <col min="7172" max="7172" width="18.44140625" style="2" bestFit="1" customWidth="1"/>
    <col min="7173" max="7417" width="9.21875" style="2"/>
    <col min="7418" max="7418" width="1.44140625" style="2" customWidth="1"/>
    <col min="7419" max="7420" width="0.77734375" style="2" customWidth="1"/>
    <col min="7421" max="7422" width="1.21875" style="2" customWidth="1"/>
    <col min="7423" max="7423" width="43" style="2" bestFit="1" customWidth="1"/>
    <col min="7424" max="7424" width="9.77734375" style="2" bestFit="1" customWidth="1"/>
    <col min="7425" max="7426" width="18.44140625" style="2" bestFit="1" customWidth="1"/>
    <col min="7427" max="7427" width="8.44140625" style="2" bestFit="1" customWidth="1"/>
    <col min="7428" max="7428" width="18.44140625" style="2" bestFit="1" customWidth="1"/>
    <col min="7429" max="7673" width="9.21875" style="2"/>
    <col min="7674" max="7674" width="1.44140625" style="2" customWidth="1"/>
    <col min="7675" max="7676" width="0.77734375" style="2" customWidth="1"/>
    <col min="7677" max="7678" width="1.21875" style="2" customWidth="1"/>
    <col min="7679" max="7679" width="43" style="2" bestFit="1" customWidth="1"/>
    <col min="7680" max="7680" width="9.77734375" style="2" bestFit="1" customWidth="1"/>
    <col min="7681" max="7682" width="18.44140625" style="2" bestFit="1" customWidth="1"/>
    <col min="7683" max="7683" width="8.44140625" style="2" bestFit="1" customWidth="1"/>
    <col min="7684" max="7684" width="18.44140625" style="2" bestFit="1" customWidth="1"/>
    <col min="7685" max="7929" width="9.21875" style="2"/>
    <col min="7930" max="7930" width="1.44140625" style="2" customWidth="1"/>
    <col min="7931" max="7932" width="0.77734375" style="2" customWidth="1"/>
    <col min="7933" max="7934" width="1.21875" style="2" customWidth="1"/>
    <col min="7935" max="7935" width="43" style="2" bestFit="1" customWidth="1"/>
    <col min="7936" max="7936" width="9.77734375" style="2" bestFit="1" customWidth="1"/>
    <col min="7937" max="7938" width="18.44140625" style="2" bestFit="1" customWidth="1"/>
    <col min="7939" max="7939" width="8.44140625" style="2" bestFit="1" customWidth="1"/>
    <col min="7940" max="7940" width="18.44140625" style="2" bestFit="1" customWidth="1"/>
    <col min="7941" max="8185" width="9.21875" style="2"/>
    <col min="8186" max="8186" width="1.44140625" style="2" customWidth="1"/>
    <col min="8187" max="8188" width="0.77734375" style="2" customWidth="1"/>
    <col min="8189" max="8190" width="1.21875" style="2" customWidth="1"/>
    <col min="8191" max="8191" width="43" style="2" bestFit="1" customWidth="1"/>
    <col min="8192" max="8192" width="9.77734375" style="2" bestFit="1" customWidth="1"/>
    <col min="8193" max="8194" width="18.44140625" style="2" bestFit="1" customWidth="1"/>
    <col min="8195" max="8195" width="8.44140625" style="2" bestFit="1" customWidth="1"/>
    <col min="8196" max="8196" width="18.44140625" style="2" bestFit="1" customWidth="1"/>
    <col min="8197" max="8441" width="9.21875" style="2"/>
    <col min="8442" max="8442" width="1.44140625" style="2" customWidth="1"/>
    <col min="8443" max="8444" width="0.77734375" style="2" customWidth="1"/>
    <col min="8445" max="8446" width="1.21875" style="2" customWidth="1"/>
    <col min="8447" max="8447" width="43" style="2" bestFit="1" customWidth="1"/>
    <col min="8448" max="8448" width="9.77734375" style="2" bestFit="1" customWidth="1"/>
    <col min="8449" max="8450" width="18.44140625" style="2" bestFit="1" customWidth="1"/>
    <col min="8451" max="8451" width="8.44140625" style="2" bestFit="1" customWidth="1"/>
    <col min="8452" max="8452" width="18.44140625" style="2" bestFit="1" customWidth="1"/>
    <col min="8453" max="8697" width="9.21875" style="2"/>
    <col min="8698" max="8698" width="1.44140625" style="2" customWidth="1"/>
    <col min="8699" max="8700" width="0.77734375" style="2" customWidth="1"/>
    <col min="8701" max="8702" width="1.21875" style="2" customWidth="1"/>
    <col min="8703" max="8703" width="43" style="2" bestFit="1" customWidth="1"/>
    <col min="8704" max="8704" width="9.77734375" style="2" bestFit="1" customWidth="1"/>
    <col min="8705" max="8706" width="18.44140625" style="2" bestFit="1" customWidth="1"/>
    <col min="8707" max="8707" width="8.44140625" style="2" bestFit="1" customWidth="1"/>
    <col min="8708" max="8708" width="18.44140625" style="2" bestFit="1" customWidth="1"/>
    <col min="8709" max="8953" width="9.21875" style="2"/>
    <col min="8954" max="8954" width="1.44140625" style="2" customWidth="1"/>
    <col min="8955" max="8956" width="0.77734375" style="2" customWidth="1"/>
    <col min="8957" max="8958" width="1.21875" style="2" customWidth="1"/>
    <col min="8959" max="8959" width="43" style="2" bestFit="1" customWidth="1"/>
    <col min="8960" max="8960" width="9.77734375" style="2" bestFit="1" customWidth="1"/>
    <col min="8961" max="8962" width="18.44140625" style="2" bestFit="1" customWidth="1"/>
    <col min="8963" max="8963" width="8.44140625" style="2" bestFit="1" customWidth="1"/>
    <col min="8964" max="8964" width="18.44140625" style="2" bestFit="1" customWidth="1"/>
    <col min="8965" max="9209" width="9.21875" style="2"/>
    <col min="9210" max="9210" width="1.44140625" style="2" customWidth="1"/>
    <col min="9211" max="9212" width="0.77734375" style="2" customWidth="1"/>
    <col min="9213" max="9214" width="1.21875" style="2" customWidth="1"/>
    <col min="9215" max="9215" width="43" style="2" bestFit="1" customWidth="1"/>
    <col min="9216" max="9216" width="9.77734375" style="2" bestFit="1" customWidth="1"/>
    <col min="9217" max="9218" width="18.44140625" style="2" bestFit="1" customWidth="1"/>
    <col min="9219" max="9219" width="8.44140625" style="2" bestFit="1" customWidth="1"/>
    <col min="9220" max="9220" width="18.44140625" style="2" bestFit="1" customWidth="1"/>
    <col min="9221" max="9465" width="9.21875" style="2"/>
    <col min="9466" max="9466" width="1.44140625" style="2" customWidth="1"/>
    <col min="9467" max="9468" width="0.77734375" style="2" customWidth="1"/>
    <col min="9469" max="9470" width="1.21875" style="2" customWidth="1"/>
    <col min="9471" max="9471" width="43" style="2" bestFit="1" customWidth="1"/>
    <col min="9472" max="9472" width="9.77734375" style="2" bestFit="1" customWidth="1"/>
    <col min="9473" max="9474" width="18.44140625" style="2" bestFit="1" customWidth="1"/>
    <col min="9475" max="9475" width="8.44140625" style="2" bestFit="1" customWidth="1"/>
    <col min="9476" max="9476" width="18.44140625" style="2" bestFit="1" customWidth="1"/>
    <col min="9477" max="9721" width="9.21875" style="2"/>
    <col min="9722" max="9722" width="1.44140625" style="2" customWidth="1"/>
    <col min="9723" max="9724" width="0.77734375" style="2" customWidth="1"/>
    <col min="9725" max="9726" width="1.21875" style="2" customWidth="1"/>
    <col min="9727" max="9727" width="43" style="2" bestFit="1" customWidth="1"/>
    <col min="9728" max="9728" width="9.77734375" style="2" bestFit="1" customWidth="1"/>
    <col min="9729" max="9730" width="18.44140625" style="2" bestFit="1" customWidth="1"/>
    <col min="9731" max="9731" width="8.44140625" style="2" bestFit="1" customWidth="1"/>
    <col min="9732" max="9732" width="18.44140625" style="2" bestFit="1" customWidth="1"/>
    <col min="9733" max="9977" width="9.21875" style="2"/>
    <col min="9978" max="9978" width="1.44140625" style="2" customWidth="1"/>
    <col min="9979" max="9980" width="0.77734375" style="2" customWidth="1"/>
    <col min="9981" max="9982" width="1.21875" style="2" customWidth="1"/>
    <col min="9983" max="9983" width="43" style="2" bestFit="1" customWidth="1"/>
    <col min="9984" max="9984" width="9.77734375" style="2" bestFit="1" customWidth="1"/>
    <col min="9985" max="9986" width="18.44140625" style="2" bestFit="1" customWidth="1"/>
    <col min="9987" max="9987" width="8.44140625" style="2" bestFit="1" customWidth="1"/>
    <col min="9988" max="9988" width="18.44140625" style="2" bestFit="1" customWidth="1"/>
    <col min="9989" max="10233" width="9.21875" style="2"/>
    <col min="10234" max="10234" width="1.44140625" style="2" customWidth="1"/>
    <col min="10235" max="10236" width="0.77734375" style="2" customWidth="1"/>
    <col min="10237" max="10238" width="1.21875" style="2" customWidth="1"/>
    <col min="10239" max="10239" width="43" style="2" bestFit="1" customWidth="1"/>
    <col min="10240" max="10240" width="9.77734375" style="2" bestFit="1" customWidth="1"/>
    <col min="10241" max="10242" width="18.44140625" style="2" bestFit="1" customWidth="1"/>
    <col min="10243" max="10243" width="8.44140625" style="2" bestFit="1" customWidth="1"/>
    <col min="10244" max="10244" width="18.44140625" style="2" bestFit="1" customWidth="1"/>
    <col min="10245" max="10489" width="9.21875" style="2"/>
    <col min="10490" max="10490" width="1.44140625" style="2" customWidth="1"/>
    <col min="10491" max="10492" width="0.77734375" style="2" customWidth="1"/>
    <col min="10493" max="10494" width="1.21875" style="2" customWidth="1"/>
    <col min="10495" max="10495" width="43" style="2" bestFit="1" customWidth="1"/>
    <col min="10496" max="10496" width="9.77734375" style="2" bestFit="1" customWidth="1"/>
    <col min="10497" max="10498" width="18.44140625" style="2" bestFit="1" customWidth="1"/>
    <col min="10499" max="10499" width="8.44140625" style="2" bestFit="1" customWidth="1"/>
    <col min="10500" max="10500" width="18.44140625" style="2" bestFit="1" customWidth="1"/>
    <col min="10501" max="10745" width="9.21875" style="2"/>
    <col min="10746" max="10746" width="1.44140625" style="2" customWidth="1"/>
    <col min="10747" max="10748" width="0.77734375" style="2" customWidth="1"/>
    <col min="10749" max="10750" width="1.21875" style="2" customWidth="1"/>
    <col min="10751" max="10751" width="43" style="2" bestFit="1" customWidth="1"/>
    <col min="10752" max="10752" width="9.77734375" style="2" bestFit="1" customWidth="1"/>
    <col min="10753" max="10754" width="18.44140625" style="2" bestFit="1" customWidth="1"/>
    <col min="10755" max="10755" width="8.44140625" style="2" bestFit="1" customWidth="1"/>
    <col min="10756" max="10756" width="18.44140625" style="2" bestFit="1" customWidth="1"/>
    <col min="10757" max="11001" width="9.21875" style="2"/>
    <col min="11002" max="11002" width="1.44140625" style="2" customWidth="1"/>
    <col min="11003" max="11004" width="0.77734375" style="2" customWidth="1"/>
    <col min="11005" max="11006" width="1.21875" style="2" customWidth="1"/>
    <col min="11007" max="11007" width="43" style="2" bestFit="1" customWidth="1"/>
    <col min="11008" max="11008" width="9.77734375" style="2" bestFit="1" customWidth="1"/>
    <col min="11009" max="11010" width="18.44140625" style="2" bestFit="1" customWidth="1"/>
    <col min="11011" max="11011" width="8.44140625" style="2" bestFit="1" customWidth="1"/>
    <col min="11012" max="11012" width="18.44140625" style="2" bestFit="1" customWidth="1"/>
    <col min="11013" max="11257" width="9.21875" style="2"/>
    <col min="11258" max="11258" width="1.44140625" style="2" customWidth="1"/>
    <col min="11259" max="11260" width="0.77734375" style="2" customWidth="1"/>
    <col min="11261" max="11262" width="1.21875" style="2" customWidth="1"/>
    <col min="11263" max="11263" width="43" style="2" bestFit="1" customWidth="1"/>
    <col min="11264" max="11264" width="9.77734375" style="2" bestFit="1" customWidth="1"/>
    <col min="11265" max="11266" width="18.44140625" style="2" bestFit="1" customWidth="1"/>
    <col min="11267" max="11267" width="8.44140625" style="2" bestFit="1" customWidth="1"/>
    <col min="11268" max="11268" width="18.44140625" style="2" bestFit="1" customWidth="1"/>
    <col min="11269" max="11513" width="9.21875" style="2"/>
    <col min="11514" max="11514" width="1.44140625" style="2" customWidth="1"/>
    <col min="11515" max="11516" width="0.77734375" style="2" customWidth="1"/>
    <col min="11517" max="11518" width="1.21875" style="2" customWidth="1"/>
    <col min="11519" max="11519" width="43" style="2" bestFit="1" customWidth="1"/>
    <col min="11520" max="11520" width="9.77734375" style="2" bestFit="1" customWidth="1"/>
    <col min="11521" max="11522" width="18.44140625" style="2" bestFit="1" customWidth="1"/>
    <col min="11523" max="11523" width="8.44140625" style="2" bestFit="1" customWidth="1"/>
    <col min="11524" max="11524" width="18.44140625" style="2" bestFit="1" customWidth="1"/>
    <col min="11525" max="11769" width="9.21875" style="2"/>
    <col min="11770" max="11770" width="1.44140625" style="2" customWidth="1"/>
    <col min="11771" max="11772" width="0.77734375" style="2" customWidth="1"/>
    <col min="11773" max="11774" width="1.21875" style="2" customWidth="1"/>
    <col min="11775" max="11775" width="43" style="2" bestFit="1" customWidth="1"/>
    <col min="11776" max="11776" width="9.77734375" style="2" bestFit="1" customWidth="1"/>
    <col min="11777" max="11778" width="18.44140625" style="2" bestFit="1" customWidth="1"/>
    <col min="11779" max="11779" width="8.44140625" style="2" bestFit="1" customWidth="1"/>
    <col min="11780" max="11780" width="18.44140625" style="2" bestFit="1" customWidth="1"/>
    <col min="11781" max="12025" width="9.21875" style="2"/>
    <col min="12026" max="12026" width="1.44140625" style="2" customWidth="1"/>
    <col min="12027" max="12028" width="0.77734375" style="2" customWidth="1"/>
    <col min="12029" max="12030" width="1.21875" style="2" customWidth="1"/>
    <col min="12031" max="12031" width="43" style="2" bestFit="1" customWidth="1"/>
    <col min="12032" max="12032" width="9.77734375" style="2" bestFit="1" customWidth="1"/>
    <col min="12033" max="12034" width="18.44140625" style="2" bestFit="1" customWidth="1"/>
    <col min="12035" max="12035" width="8.44140625" style="2" bestFit="1" customWidth="1"/>
    <col min="12036" max="12036" width="18.44140625" style="2" bestFit="1" customWidth="1"/>
    <col min="12037" max="12281" width="9.21875" style="2"/>
    <col min="12282" max="12282" width="1.44140625" style="2" customWidth="1"/>
    <col min="12283" max="12284" width="0.77734375" style="2" customWidth="1"/>
    <col min="12285" max="12286" width="1.21875" style="2" customWidth="1"/>
    <col min="12287" max="12287" width="43" style="2" bestFit="1" customWidth="1"/>
    <col min="12288" max="12288" width="9.77734375" style="2" bestFit="1" customWidth="1"/>
    <col min="12289" max="12290" width="18.44140625" style="2" bestFit="1" customWidth="1"/>
    <col min="12291" max="12291" width="8.44140625" style="2" bestFit="1" customWidth="1"/>
    <col min="12292" max="12292" width="18.44140625" style="2" bestFit="1" customWidth="1"/>
    <col min="12293" max="12537" width="9.21875" style="2"/>
    <col min="12538" max="12538" width="1.44140625" style="2" customWidth="1"/>
    <col min="12539" max="12540" width="0.77734375" style="2" customWidth="1"/>
    <col min="12541" max="12542" width="1.21875" style="2" customWidth="1"/>
    <col min="12543" max="12543" width="43" style="2" bestFit="1" customWidth="1"/>
    <col min="12544" max="12544" width="9.77734375" style="2" bestFit="1" customWidth="1"/>
    <col min="12545" max="12546" width="18.44140625" style="2" bestFit="1" customWidth="1"/>
    <col min="12547" max="12547" width="8.44140625" style="2" bestFit="1" customWidth="1"/>
    <col min="12548" max="12548" width="18.44140625" style="2" bestFit="1" customWidth="1"/>
    <col min="12549" max="12793" width="9.21875" style="2"/>
    <col min="12794" max="12794" width="1.44140625" style="2" customWidth="1"/>
    <col min="12795" max="12796" width="0.77734375" style="2" customWidth="1"/>
    <col min="12797" max="12798" width="1.21875" style="2" customWidth="1"/>
    <col min="12799" max="12799" width="43" style="2" bestFit="1" customWidth="1"/>
    <col min="12800" max="12800" width="9.77734375" style="2" bestFit="1" customWidth="1"/>
    <col min="12801" max="12802" width="18.44140625" style="2" bestFit="1" customWidth="1"/>
    <col min="12803" max="12803" width="8.44140625" style="2" bestFit="1" customWidth="1"/>
    <col min="12804" max="12804" width="18.44140625" style="2" bestFit="1" customWidth="1"/>
    <col min="12805" max="13049" width="9.21875" style="2"/>
    <col min="13050" max="13050" width="1.44140625" style="2" customWidth="1"/>
    <col min="13051" max="13052" width="0.77734375" style="2" customWidth="1"/>
    <col min="13053" max="13054" width="1.21875" style="2" customWidth="1"/>
    <col min="13055" max="13055" width="43" style="2" bestFit="1" customWidth="1"/>
    <col min="13056" max="13056" width="9.77734375" style="2" bestFit="1" customWidth="1"/>
    <col min="13057" max="13058" width="18.44140625" style="2" bestFit="1" customWidth="1"/>
    <col min="13059" max="13059" width="8.44140625" style="2" bestFit="1" customWidth="1"/>
    <col min="13060" max="13060" width="18.44140625" style="2" bestFit="1" customWidth="1"/>
    <col min="13061" max="13305" width="9.21875" style="2"/>
    <col min="13306" max="13306" width="1.44140625" style="2" customWidth="1"/>
    <col min="13307" max="13308" width="0.77734375" style="2" customWidth="1"/>
    <col min="13309" max="13310" width="1.21875" style="2" customWidth="1"/>
    <col min="13311" max="13311" width="43" style="2" bestFit="1" customWidth="1"/>
    <col min="13312" max="13312" width="9.77734375" style="2" bestFit="1" customWidth="1"/>
    <col min="13313" max="13314" width="18.44140625" style="2" bestFit="1" customWidth="1"/>
    <col min="13315" max="13315" width="8.44140625" style="2" bestFit="1" customWidth="1"/>
    <col min="13316" max="13316" width="18.44140625" style="2" bestFit="1" customWidth="1"/>
    <col min="13317" max="13561" width="9.21875" style="2"/>
    <col min="13562" max="13562" width="1.44140625" style="2" customWidth="1"/>
    <col min="13563" max="13564" width="0.77734375" style="2" customWidth="1"/>
    <col min="13565" max="13566" width="1.21875" style="2" customWidth="1"/>
    <col min="13567" max="13567" width="43" style="2" bestFit="1" customWidth="1"/>
    <col min="13568" max="13568" width="9.77734375" style="2" bestFit="1" customWidth="1"/>
    <col min="13569" max="13570" width="18.44140625" style="2" bestFit="1" customWidth="1"/>
    <col min="13571" max="13571" width="8.44140625" style="2" bestFit="1" customWidth="1"/>
    <col min="13572" max="13572" width="18.44140625" style="2" bestFit="1" customWidth="1"/>
    <col min="13573" max="13817" width="9.21875" style="2"/>
    <col min="13818" max="13818" width="1.44140625" style="2" customWidth="1"/>
    <col min="13819" max="13820" width="0.77734375" style="2" customWidth="1"/>
    <col min="13821" max="13822" width="1.21875" style="2" customWidth="1"/>
    <col min="13823" max="13823" width="43" style="2" bestFit="1" customWidth="1"/>
    <col min="13824" max="13824" width="9.77734375" style="2" bestFit="1" customWidth="1"/>
    <col min="13825" max="13826" width="18.44140625" style="2" bestFit="1" customWidth="1"/>
    <col min="13827" max="13827" width="8.44140625" style="2" bestFit="1" customWidth="1"/>
    <col min="13828" max="13828" width="18.44140625" style="2" bestFit="1" customWidth="1"/>
    <col min="13829" max="14073" width="9.21875" style="2"/>
    <col min="14074" max="14074" width="1.44140625" style="2" customWidth="1"/>
    <col min="14075" max="14076" width="0.77734375" style="2" customWidth="1"/>
    <col min="14077" max="14078" width="1.21875" style="2" customWidth="1"/>
    <col min="14079" max="14079" width="43" style="2" bestFit="1" customWidth="1"/>
    <col min="14080" max="14080" width="9.77734375" style="2" bestFit="1" customWidth="1"/>
    <col min="14081" max="14082" width="18.44140625" style="2" bestFit="1" customWidth="1"/>
    <col min="14083" max="14083" width="8.44140625" style="2" bestFit="1" customWidth="1"/>
    <col min="14084" max="14084" width="18.44140625" style="2" bestFit="1" customWidth="1"/>
    <col min="14085" max="14329" width="9.21875" style="2"/>
    <col min="14330" max="14330" width="1.44140625" style="2" customWidth="1"/>
    <col min="14331" max="14332" width="0.77734375" style="2" customWidth="1"/>
    <col min="14333" max="14334" width="1.21875" style="2" customWidth="1"/>
    <col min="14335" max="14335" width="43" style="2" bestFit="1" customWidth="1"/>
    <col min="14336" max="14336" width="9.77734375" style="2" bestFit="1" customWidth="1"/>
    <col min="14337" max="14338" width="18.44140625" style="2" bestFit="1" customWidth="1"/>
    <col min="14339" max="14339" width="8.44140625" style="2" bestFit="1" customWidth="1"/>
    <col min="14340" max="14340" width="18.44140625" style="2" bestFit="1" customWidth="1"/>
    <col min="14341" max="14585" width="9.21875" style="2"/>
    <col min="14586" max="14586" width="1.44140625" style="2" customWidth="1"/>
    <col min="14587" max="14588" width="0.77734375" style="2" customWidth="1"/>
    <col min="14589" max="14590" width="1.21875" style="2" customWidth="1"/>
    <col min="14591" max="14591" width="43" style="2" bestFit="1" customWidth="1"/>
    <col min="14592" max="14592" width="9.77734375" style="2" bestFit="1" customWidth="1"/>
    <col min="14593" max="14594" width="18.44140625" style="2" bestFit="1" customWidth="1"/>
    <col min="14595" max="14595" width="8.44140625" style="2" bestFit="1" customWidth="1"/>
    <col min="14596" max="14596" width="18.44140625" style="2" bestFit="1" customWidth="1"/>
    <col min="14597" max="14841" width="9.21875" style="2"/>
    <col min="14842" max="14842" width="1.44140625" style="2" customWidth="1"/>
    <col min="14843" max="14844" width="0.77734375" style="2" customWidth="1"/>
    <col min="14845" max="14846" width="1.21875" style="2" customWidth="1"/>
    <col min="14847" max="14847" width="43" style="2" bestFit="1" customWidth="1"/>
    <col min="14848" max="14848" width="9.77734375" style="2" bestFit="1" customWidth="1"/>
    <col min="14849" max="14850" width="18.44140625" style="2" bestFit="1" customWidth="1"/>
    <col min="14851" max="14851" width="8.44140625" style="2" bestFit="1" customWidth="1"/>
    <col min="14852" max="14852" width="18.44140625" style="2" bestFit="1" customWidth="1"/>
    <col min="14853" max="15097" width="9.21875" style="2"/>
    <col min="15098" max="15098" width="1.44140625" style="2" customWidth="1"/>
    <col min="15099" max="15100" width="0.77734375" style="2" customWidth="1"/>
    <col min="15101" max="15102" width="1.21875" style="2" customWidth="1"/>
    <col min="15103" max="15103" width="43" style="2" bestFit="1" customWidth="1"/>
    <col min="15104" max="15104" width="9.77734375" style="2" bestFit="1" customWidth="1"/>
    <col min="15105" max="15106" width="18.44140625" style="2" bestFit="1" customWidth="1"/>
    <col min="15107" max="15107" width="8.44140625" style="2" bestFit="1" customWidth="1"/>
    <col min="15108" max="15108" width="18.44140625" style="2" bestFit="1" customWidth="1"/>
    <col min="15109" max="15353" width="9.21875" style="2"/>
    <col min="15354" max="15354" width="1.44140625" style="2" customWidth="1"/>
    <col min="15355" max="15356" width="0.77734375" style="2" customWidth="1"/>
    <col min="15357" max="15358" width="1.21875" style="2" customWidth="1"/>
    <col min="15359" max="15359" width="43" style="2" bestFit="1" customWidth="1"/>
    <col min="15360" max="15360" width="9.77734375" style="2" bestFit="1" customWidth="1"/>
    <col min="15361" max="15362" width="18.44140625" style="2" bestFit="1" customWidth="1"/>
    <col min="15363" max="15363" width="8.44140625" style="2" bestFit="1" customWidth="1"/>
    <col min="15364" max="15364" width="18.44140625" style="2" bestFit="1" customWidth="1"/>
    <col min="15365" max="15609" width="9.21875" style="2"/>
    <col min="15610" max="15610" width="1.44140625" style="2" customWidth="1"/>
    <col min="15611" max="15612" width="0.77734375" style="2" customWidth="1"/>
    <col min="15613" max="15614" width="1.21875" style="2" customWidth="1"/>
    <col min="15615" max="15615" width="43" style="2" bestFit="1" customWidth="1"/>
    <col min="15616" max="15616" width="9.77734375" style="2" bestFit="1" customWidth="1"/>
    <col min="15617" max="15618" width="18.44140625" style="2" bestFit="1" customWidth="1"/>
    <col min="15619" max="15619" width="8.44140625" style="2" bestFit="1" customWidth="1"/>
    <col min="15620" max="15620" width="18.44140625" style="2" bestFit="1" customWidth="1"/>
    <col min="15621" max="15865" width="9.21875" style="2"/>
    <col min="15866" max="15866" width="1.44140625" style="2" customWidth="1"/>
    <col min="15867" max="15868" width="0.77734375" style="2" customWidth="1"/>
    <col min="15869" max="15870" width="1.21875" style="2" customWidth="1"/>
    <col min="15871" max="15871" width="43" style="2" bestFit="1" customWidth="1"/>
    <col min="15872" max="15872" width="9.77734375" style="2" bestFit="1" customWidth="1"/>
    <col min="15873" max="15874" width="18.44140625" style="2" bestFit="1" customWidth="1"/>
    <col min="15875" max="15875" width="8.44140625" style="2" bestFit="1" customWidth="1"/>
    <col min="15876" max="15876" width="18.44140625" style="2" bestFit="1" customWidth="1"/>
    <col min="15877" max="16121" width="9.21875" style="2"/>
    <col min="16122" max="16122" width="1.44140625" style="2" customWidth="1"/>
    <col min="16123" max="16124" width="0.77734375" style="2" customWidth="1"/>
    <col min="16125" max="16126" width="1.21875" style="2" customWidth="1"/>
    <col min="16127" max="16127" width="43" style="2" bestFit="1" customWidth="1"/>
    <col min="16128" max="16128" width="9.77734375" style="2" bestFit="1" customWidth="1"/>
    <col min="16129" max="16130" width="18.44140625" style="2" bestFit="1" customWidth="1"/>
    <col min="16131" max="16131" width="8.44140625" style="2" bestFit="1" customWidth="1"/>
    <col min="16132" max="16132" width="18.44140625" style="2" bestFit="1" customWidth="1"/>
    <col min="16133" max="16384" width="9.21875" style="2"/>
  </cols>
  <sheetData>
    <row r="1" spans="1:10" ht="14.85" customHeight="1" x14ac:dyDescent="0.3">
      <c r="A1" s="329" t="e" vm="1">
        <v>#VALUE!</v>
      </c>
      <c r="B1" s="329"/>
      <c r="C1" s="329"/>
      <c r="D1" s="329"/>
      <c r="E1" s="329"/>
      <c r="F1" s="329"/>
    </row>
    <row r="2" spans="1:10" x14ac:dyDescent="0.3">
      <c r="A2" s="329"/>
      <c r="B2" s="329"/>
      <c r="C2" s="329"/>
      <c r="D2" s="329"/>
      <c r="E2" s="329"/>
      <c r="F2" s="329"/>
    </row>
    <row r="3" spans="1:10" x14ac:dyDescent="0.3">
      <c r="A3" s="329"/>
      <c r="B3" s="329"/>
      <c r="C3" s="329"/>
      <c r="D3" s="329"/>
      <c r="E3" s="329"/>
      <c r="F3" s="329"/>
    </row>
    <row r="4" spans="1:10" x14ac:dyDescent="0.3">
      <c r="A4" s="329"/>
      <c r="B4" s="329"/>
      <c r="C4" s="329"/>
      <c r="D4" s="329"/>
      <c r="E4" s="329"/>
      <c r="F4" s="329"/>
    </row>
    <row r="5" spans="1:10" x14ac:dyDescent="0.3">
      <c r="A5" s="329"/>
      <c r="B5" s="329"/>
      <c r="C5" s="329"/>
      <c r="D5" s="329"/>
      <c r="E5" s="329"/>
      <c r="F5" s="329"/>
    </row>
    <row r="6" spans="1:10" x14ac:dyDescent="0.3">
      <c r="A6" s="329"/>
      <c r="B6" s="329"/>
      <c r="C6" s="329"/>
      <c r="D6" s="329"/>
      <c r="E6" s="329"/>
      <c r="F6" s="329"/>
    </row>
    <row r="7" spans="1:10" x14ac:dyDescent="0.3">
      <c r="A7" s="330" t="s">
        <v>271</v>
      </c>
      <c r="B7" s="330"/>
      <c r="C7" s="330"/>
      <c r="D7" s="330"/>
      <c r="E7" s="330"/>
      <c r="F7" s="330"/>
    </row>
    <row r="8" spans="1:10" x14ac:dyDescent="0.3">
      <c r="A8" s="330" t="s">
        <v>0</v>
      </c>
      <c r="B8" s="330"/>
      <c r="C8" s="330"/>
      <c r="D8" s="330"/>
      <c r="E8" s="330"/>
      <c r="F8" s="330"/>
    </row>
    <row r="9" spans="1:10" x14ac:dyDescent="0.3">
      <c r="A9" s="330" t="s">
        <v>272</v>
      </c>
      <c r="B9" s="330"/>
      <c r="C9" s="330"/>
      <c r="D9" s="330"/>
      <c r="E9" s="330"/>
      <c r="F9" s="330"/>
    </row>
    <row r="10" spans="1:10" s="4" customFormat="1" x14ac:dyDescent="0.3">
      <c r="A10" s="331"/>
      <c r="B10" s="331"/>
      <c r="C10" s="331"/>
      <c r="D10" s="331"/>
      <c r="E10" s="331"/>
      <c r="F10" s="331"/>
      <c r="G10" s="3"/>
      <c r="H10" s="3"/>
      <c r="I10" s="3"/>
    </row>
    <row r="11" spans="1:10" s="4" customFormat="1" x14ac:dyDescent="0.3">
      <c r="A11" s="332"/>
      <c r="B11" s="332"/>
      <c r="C11" s="332"/>
      <c r="D11" s="332"/>
      <c r="E11" s="332" t="s">
        <v>1</v>
      </c>
      <c r="F11" s="332"/>
      <c r="G11" s="3"/>
      <c r="H11" s="326"/>
      <c r="I11" s="326"/>
    </row>
    <row r="12" spans="1:10" ht="26.1" customHeight="1" x14ac:dyDescent="0.3">
      <c r="A12" s="5" t="s">
        <v>2</v>
      </c>
      <c r="B12" s="6" t="s">
        <v>3</v>
      </c>
      <c r="C12" s="7" t="s">
        <v>273</v>
      </c>
      <c r="D12" s="7" t="s">
        <v>274</v>
      </c>
      <c r="E12" s="7" t="s">
        <v>4</v>
      </c>
      <c r="F12" s="6" t="s">
        <v>275</v>
      </c>
      <c r="H12" s="8"/>
      <c r="I12" s="9"/>
    </row>
    <row r="13" spans="1:10" ht="14.4" x14ac:dyDescent="0.3">
      <c r="A13" s="10"/>
      <c r="B13" s="11"/>
      <c r="C13" s="12"/>
      <c r="D13" s="13"/>
      <c r="E13" s="14"/>
      <c r="F13" s="15"/>
      <c r="H13" s="8"/>
      <c r="I13" s="9"/>
    </row>
    <row r="14" spans="1:10" ht="14.4" x14ac:dyDescent="0.3">
      <c r="A14" s="16" t="s">
        <v>5</v>
      </c>
      <c r="B14" s="17" t="s">
        <v>314</v>
      </c>
      <c r="C14" s="18">
        <v>2081414946120</v>
      </c>
      <c r="D14" s="18">
        <v>2060940144640.1201</v>
      </c>
      <c r="E14" s="18">
        <v>99.02</v>
      </c>
      <c r="F14" s="18">
        <v>2090724830810.4299</v>
      </c>
      <c r="H14" s="19"/>
      <c r="I14" s="20"/>
      <c r="J14" s="21"/>
    </row>
    <row r="15" spans="1:10" x14ac:dyDescent="0.3">
      <c r="A15" s="22"/>
      <c r="B15" s="23"/>
      <c r="C15" s="24"/>
      <c r="D15" s="24"/>
      <c r="E15" s="24"/>
      <c r="F15" s="24"/>
      <c r="J15" s="21"/>
    </row>
    <row r="16" spans="1:10" ht="14.4" x14ac:dyDescent="0.3">
      <c r="A16" s="25" t="s">
        <v>6</v>
      </c>
      <c r="B16" s="26" t="s">
        <v>428</v>
      </c>
      <c r="C16" s="27">
        <v>220092202270</v>
      </c>
      <c r="D16" s="27">
        <v>209559079716.12</v>
      </c>
      <c r="E16" s="27">
        <v>95.21</v>
      </c>
      <c r="F16" s="27">
        <v>169925922940.42999</v>
      </c>
      <c r="H16" s="19"/>
      <c r="I16" s="20"/>
      <c r="J16" s="21"/>
    </row>
    <row r="17" spans="1:10" ht="14.4" x14ac:dyDescent="0.3">
      <c r="A17" s="28" t="s">
        <v>7</v>
      </c>
      <c r="B17" s="29" t="s">
        <v>315</v>
      </c>
      <c r="C17" s="30">
        <v>42085649257</v>
      </c>
      <c r="D17" s="30">
        <v>35786367464.910004</v>
      </c>
      <c r="E17" s="30">
        <v>85.03</v>
      </c>
      <c r="F17" s="30">
        <v>16684150219.549999</v>
      </c>
      <c r="H17"/>
      <c r="I17" s="31"/>
      <c r="J17" s="21"/>
    </row>
    <row r="18" spans="1:10" ht="14.4" x14ac:dyDescent="0.3">
      <c r="A18" s="28" t="s">
        <v>8</v>
      </c>
      <c r="B18" s="29" t="s">
        <v>316</v>
      </c>
      <c r="C18" s="30">
        <v>155006553013</v>
      </c>
      <c r="D18" s="30">
        <v>156436905965.89999</v>
      </c>
      <c r="E18" s="30">
        <v>100.92</v>
      </c>
      <c r="F18" s="30">
        <v>17699305005</v>
      </c>
      <c r="H18"/>
      <c r="I18" s="31"/>
      <c r="J18" s="21"/>
    </row>
    <row r="19" spans="1:10" ht="14.4" x14ac:dyDescent="0.3">
      <c r="A19" s="28" t="s">
        <v>9</v>
      </c>
      <c r="B19" s="29" t="s">
        <v>317</v>
      </c>
      <c r="C19" s="30">
        <v>7510000000</v>
      </c>
      <c r="D19" s="30">
        <v>8443342308</v>
      </c>
      <c r="E19" s="30">
        <v>112.43</v>
      </c>
      <c r="F19" s="30">
        <v>8152466371</v>
      </c>
      <c r="H19" s="33"/>
      <c r="I19" s="31"/>
      <c r="J19" s="21"/>
    </row>
    <row r="20" spans="1:10" ht="14.4" x14ac:dyDescent="0.3">
      <c r="A20" s="28" t="s">
        <v>10</v>
      </c>
      <c r="B20" s="29" t="s">
        <v>318</v>
      </c>
      <c r="C20" s="30">
        <v>15490000000</v>
      </c>
      <c r="D20" s="32">
        <v>8892463977.3100014</v>
      </c>
      <c r="E20" s="32">
        <v>57.41</v>
      </c>
      <c r="F20" s="32">
        <v>127390001344.87999</v>
      </c>
      <c r="H20" s="33"/>
      <c r="I20" s="31"/>
      <c r="J20" s="21"/>
    </row>
    <row r="21" spans="1:10" ht="14.4" x14ac:dyDescent="0.3">
      <c r="A21" s="34"/>
      <c r="B21" s="35"/>
      <c r="C21" s="30"/>
      <c r="D21" s="30"/>
      <c r="E21" s="30"/>
      <c r="F21" s="30"/>
      <c r="H21" s="19"/>
      <c r="I21" s="20"/>
      <c r="J21" s="21"/>
    </row>
    <row r="22" spans="1:10" ht="14.4" x14ac:dyDescent="0.3">
      <c r="A22" s="25" t="s">
        <v>11</v>
      </c>
      <c r="B22" s="26" t="s">
        <v>319</v>
      </c>
      <c r="C22" s="27">
        <v>1834998222557</v>
      </c>
      <c r="D22" s="27">
        <v>1825056543631</v>
      </c>
      <c r="E22" s="27">
        <v>99.46</v>
      </c>
      <c r="F22" s="27">
        <v>1832006301746</v>
      </c>
      <c r="H22" s="19"/>
      <c r="I22" s="20"/>
      <c r="J22" s="21"/>
    </row>
    <row r="23" spans="1:10" ht="14.4" x14ac:dyDescent="0.3">
      <c r="A23" s="36" t="s">
        <v>12</v>
      </c>
      <c r="B23" s="37" t="s">
        <v>320</v>
      </c>
      <c r="C23" s="38">
        <v>1588998746000</v>
      </c>
      <c r="D23" s="38">
        <v>1606622496700</v>
      </c>
      <c r="E23" s="38">
        <v>101.11</v>
      </c>
      <c r="F23" s="38">
        <v>1559907817899</v>
      </c>
      <c r="H23" s="19"/>
      <c r="I23" s="20"/>
      <c r="J23" s="21"/>
    </row>
    <row r="24" spans="1:10" ht="14.4" hidden="1" x14ac:dyDescent="0.3">
      <c r="A24" s="40" t="s">
        <v>13</v>
      </c>
      <c r="B24" s="35"/>
      <c r="C24" s="30">
        <v>0</v>
      </c>
      <c r="D24" s="30">
        <v>0</v>
      </c>
      <c r="E24" s="30">
        <v>0</v>
      </c>
      <c r="F24" s="30"/>
      <c r="G24" s="294" t="s">
        <v>327</v>
      </c>
      <c r="H24"/>
      <c r="I24" s="31"/>
      <c r="J24" s="21"/>
    </row>
    <row r="25" spans="1:10" ht="14.4" hidden="1" x14ac:dyDescent="0.3">
      <c r="A25" s="40" t="s">
        <v>14</v>
      </c>
      <c r="B25" s="35"/>
      <c r="C25" s="30">
        <v>0</v>
      </c>
      <c r="D25" s="32">
        <v>0</v>
      </c>
      <c r="E25" s="32">
        <v>0</v>
      </c>
      <c r="F25" s="32">
        <v>0</v>
      </c>
      <c r="H25"/>
      <c r="I25" s="31"/>
      <c r="J25" s="21"/>
    </row>
    <row r="26" spans="1:10" ht="14.4" hidden="1" x14ac:dyDescent="0.3">
      <c r="A26" s="40" t="s">
        <v>15</v>
      </c>
      <c r="B26" s="35"/>
      <c r="C26" s="30">
        <v>0</v>
      </c>
      <c r="D26" s="30">
        <v>0</v>
      </c>
      <c r="E26" s="30">
        <v>0</v>
      </c>
      <c r="F26" s="30">
        <v>0</v>
      </c>
      <c r="H26"/>
      <c r="I26" s="31"/>
      <c r="J26" s="21"/>
    </row>
    <row r="27" spans="1:10" ht="14.4" hidden="1" x14ac:dyDescent="0.3">
      <c r="A27" s="40" t="s">
        <v>16</v>
      </c>
      <c r="B27" s="35"/>
      <c r="C27" s="30">
        <v>0</v>
      </c>
      <c r="D27" s="30">
        <v>0</v>
      </c>
      <c r="E27" s="30">
        <v>0</v>
      </c>
      <c r="F27" s="30">
        <v>0</v>
      </c>
      <c r="H27"/>
      <c r="I27" s="31"/>
      <c r="J27" s="21"/>
    </row>
    <row r="28" spans="1:10" ht="14.4" x14ac:dyDescent="0.3">
      <c r="A28" s="40" t="s">
        <v>19</v>
      </c>
      <c r="B28" s="29" t="s">
        <v>321</v>
      </c>
      <c r="C28" s="30">
        <v>103870024000</v>
      </c>
      <c r="D28" s="30">
        <v>102288736300</v>
      </c>
      <c r="E28" s="30">
        <v>98.48</v>
      </c>
      <c r="F28" s="30">
        <v>71419690000</v>
      </c>
      <c r="H28"/>
      <c r="I28" s="31"/>
      <c r="J28" s="21"/>
    </row>
    <row r="29" spans="1:10" ht="14.4" x14ac:dyDescent="0.3">
      <c r="A29" s="40" t="s">
        <v>20</v>
      </c>
      <c r="B29" s="29" t="s">
        <v>322</v>
      </c>
      <c r="C29" s="30">
        <v>1130073280000</v>
      </c>
      <c r="D29" s="30">
        <v>1160437521669</v>
      </c>
      <c r="E29" s="30">
        <v>102.69</v>
      </c>
      <c r="F29" s="30">
        <v>1069469209836</v>
      </c>
      <c r="H29"/>
      <c r="I29" s="31"/>
      <c r="J29" s="21"/>
    </row>
    <row r="30" spans="1:10" ht="14.4" x14ac:dyDescent="0.3">
      <c r="A30" s="40" t="s">
        <v>21</v>
      </c>
      <c r="B30" s="29" t="s">
        <v>323</v>
      </c>
      <c r="C30" s="30">
        <v>355055442000</v>
      </c>
      <c r="D30" s="30">
        <v>343896238731</v>
      </c>
      <c r="E30" s="30">
        <v>96.86</v>
      </c>
      <c r="F30" s="30">
        <v>419018918063</v>
      </c>
      <c r="H30"/>
      <c r="I30" s="31"/>
      <c r="J30" s="21"/>
    </row>
    <row r="31" spans="1:10" s="51" customFormat="1" ht="19.8" customHeight="1" x14ac:dyDescent="0.3">
      <c r="A31" s="36" t="s">
        <v>283</v>
      </c>
      <c r="B31" s="37" t="s">
        <v>324</v>
      </c>
      <c r="C31" s="39">
        <v>180596441000</v>
      </c>
      <c r="D31" s="39">
        <v>154098266180</v>
      </c>
      <c r="E31" s="39">
        <v>85.33</v>
      </c>
      <c r="F31" s="39">
        <v>193976859000</v>
      </c>
      <c r="G31" s="273"/>
      <c r="H31" s="274"/>
      <c r="I31" s="275"/>
      <c r="J31" s="276"/>
    </row>
    <row r="32" spans="1:10" ht="14.4" x14ac:dyDescent="0.3">
      <c r="A32" s="40" t="s">
        <v>17</v>
      </c>
      <c r="B32" s="35" t="s">
        <v>326</v>
      </c>
      <c r="C32" s="30">
        <v>180596441000</v>
      </c>
      <c r="D32" s="30">
        <v>154098266180</v>
      </c>
      <c r="E32" s="30">
        <v>85.33</v>
      </c>
      <c r="F32" s="30">
        <v>187145184000</v>
      </c>
      <c r="H32"/>
      <c r="I32" s="31"/>
      <c r="J32" s="21"/>
    </row>
    <row r="33" spans="1:10" ht="14.4" x14ac:dyDescent="0.3">
      <c r="A33" s="40" t="s">
        <v>18</v>
      </c>
      <c r="B33" s="35" t="s">
        <v>328</v>
      </c>
      <c r="C33" s="30">
        <v>0</v>
      </c>
      <c r="D33" s="30">
        <v>0</v>
      </c>
      <c r="E33" s="30">
        <v>0</v>
      </c>
      <c r="F33" s="30">
        <v>6831675000</v>
      </c>
      <c r="H33"/>
      <c r="I33" s="31"/>
      <c r="J33" s="21"/>
    </row>
    <row r="34" spans="1:10" ht="14.4" x14ac:dyDescent="0.3">
      <c r="A34" s="36" t="s">
        <v>22</v>
      </c>
      <c r="B34" s="37" t="s">
        <v>325</v>
      </c>
      <c r="C34" s="38">
        <v>65403035557</v>
      </c>
      <c r="D34" s="38">
        <v>64335780751</v>
      </c>
      <c r="E34" s="38">
        <v>98.37</v>
      </c>
      <c r="F34" s="38">
        <v>78121624847</v>
      </c>
      <c r="H34"/>
      <c r="I34" s="31"/>
      <c r="J34" s="21"/>
    </row>
    <row r="35" spans="1:10" ht="14.4" x14ac:dyDescent="0.3">
      <c r="A35" s="40" t="s">
        <v>23</v>
      </c>
      <c r="B35" s="29" t="s">
        <v>329</v>
      </c>
      <c r="C35" s="30">
        <v>65403035557</v>
      </c>
      <c r="D35" s="32">
        <v>64144780751</v>
      </c>
      <c r="E35" s="32">
        <v>98.08</v>
      </c>
      <c r="F35" s="32">
        <v>78121624847</v>
      </c>
      <c r="H35"/>
      <c r="I35" s="31"/>
      <c r="J35" s="21"/>
    </row>
    <row r="36" spans="1:10" ht="14.4" x14ac:dyDescent="0.3">
      <c r="A36" s="40" t="s">
        <v>24</v>
      </c>
      <c r="B36" s="29" t="s">
        <v>330</v>
      </c>
      <c r="C36" s="30">
        <v>0</v>
      </c>
      <c r="D36" s="32">
        <v>191000000</v>
      </c>
      <c r="E36" s="32">
        <v>0</v>
      </c>
      <c r="F36" s="32">
        <v>0</v>
      </c>
      <c r="H36"/>
      <c r="I36" s="31"/>
      <c r="J36" s="21"/>
    </row>
    <row r="37" spans="1:10" ht="14.4" x14ac:dyDescent="0.3">
      <c r="A37" s="34"/>
      <c r="B37" s="35"/>
      <c r="C37" s="30"/>
      <c r="D37" s="30"/>
      <c r="E37" s="30"/>
      <c r="F37" s="30"/>
      <c r="H37" s="19"/>
      <c r="I37" s="20"/>
      <c r="J37" s="21"/>
    </row>
    <row r="38" spans="1:10" ht="14.4" x14ac:dyDescent="0.3">
      <c r="A38" s="25" t="s">
        <v>25</v>
      </c>
      <c r="B38" s="26" t="s">
        <v>331</v>
      </c>
      <c r="C38" s="27">
        <v>26324521293</v>
      </c>
      <c r="D38" s="27">
        <v>26324521293</v>
      </c>
      <c r="E38" s="27">
        <v>100</v>
      </c>
      <c r="F38" s="27">
        <v>88792606124</v>
      </c>
      <c r="H38" s="19"/>
      <c r="I38" s="20"/>
      <c r="J38" s="21"/>
    </row>
    <row r="39" spans="1:10" ht="14.4" x14ac:dyDescent="0.3">
      <c r="A39" s="28" t="s">
        <v>26</v>
      </c>
      <c r="B39" s="35" t="s">
        <v>332</v>
      </c>
      <c r="C39" s="30">
        <v>0</v>
      </c>
      <c r="D39" s="32">
        <v>0</v>
      </c>
      <c r="E39" s="32">
        <v>0</v>
      </c>
      <c r="F39" s="32">
        <v>18572830000</v>
      </c>
      <c r="H39"/>
      <c r="I39" s="31"/>
      <c r="J39" s="21"/>
    </row>
    <row r="40" spans="1:10" hidden="1" x14ac:dyDescent="0.3">
      <c r="A40" s="28" t="s">
        <v>27</v>
      </c>
      <c r="B40" s="35"/>
      <c r="C40" s="30">
        <v>0</v>
      </c>
      <c r="D40" s="32">
        <v>0</v>
      </c>
      <c r="E40" s="32">
        <v>0</v>
      </c>
      <c r="F40" s="32">
        <v>0</v>
      </c>
      <c r="J40" s="21"/>
    </row>
    <row r="41" spans="1:10" ht="27.6" x14ac:dyDescent="0.3">
      <c r="A41" s="28" t="s">
        <v>28</v>
      </c>
      <c r="B41" s="35" t="s">
        <v>333</v>
      </c>
      <c r="C41" s="30">
        <v>26324521293</v>
      </c>
      <c r="D41" s="32">
        <v>26324521293</v>
      </c>
      <c r="E41" s="32">
        <v>100</v>
      </c>
      <c r="F41" s="32">
        <v>70219776124</v>
      </c>
      <c r="H41"/>
      <c r="I41" s="31"/>
      <c r="J41" s="21"/>
    </row>
    <row r="42" spans="1:10" x14ac:dyDescent="0.3">
      <c r="A42" s="41"/>
      <c r="B42" s="42"/>
      <c r="C42" s="30"/>
      <c r="D42" s="30"/>
      <c r="E42" s="30"/>
      <c r="F42" s="30"/>
      <c r="J42" s="21"/>
    </row>
    <row r="43" spans="1:10" ht="14.4" x14ac:dyDescent="0.3">
      <c r="A43" s="16" t="s">
        <v>29</v>
      </c>
      <c r="B43" s="17" t="s">
        <v>334</v>
      </c>
      <c r="C43" s="18">
        <v>2120341439656.96</v>
      </c>
      <c r="D43" s="18">
        <v>2032254013530.9399</v>
      </c>
      <c r="E43" s="18">
        <v>95.85</v>
      </c>
      <c r="F43" s="18">
        <v>2079876540631.9199</v>
      </c>
      <c r="H43" s="19"/>
      <c r="I43" s="20"/>
      <c r="J43" s="21"/>
    </row>
    <row r="44" spans="1:10" x14ac:dyDescent="0.3">
      <c r="A44" s="41"/>
      <c r="B44" s="42"/>
      <c r="C44" s="30"/>
      <c r="D44" s="30"/>
      <c r="E44" s="30"/>
      <c r="F44" s="30"/>
      <c r="J44" s="21"/>
    </row>
    <row r="45" spans="1:10" ht="14.4" x14ac:dyDescent="0.3">
      <c r="A45" s="296" t="s">
        <v>30</v>
      </c>
      <c r="B45" s="37" t="s">
        <v>335</v>
      </c>
      <c r="C45" s="38">
        <v>1620643248454.8599</v>
      </c>
      <c r="D45" s="38">
        <v>1579146679246.9399</v>
      </c>
      <c r="E45" s="38">
        <v>97.44</v>
      </c>
      <c r="F45" s="38">
        <v>1567972000927.9199</v>
      </c>
      <c r="H45" s="295"/>
      <c r="I45" s="20"/>
      <c r="J45" s="21"/>
    </row>
    <row r="46" spans="1:10" ht="14.4" x14ac:dyDescent="0.3">
      <c r="A46" s="28" t="s">
        <v>31</v>
      </c>
      <c r="B46" s="29" t="s">
        <v>336</v>
      </c>
      <c r="C46" s="30">
        <v>1083594408101.8599</v>
      </c>
      <c r="D46" s="32">
        <v>1059733779975</v>
      </c>
      <c r="E46" s="32">
        <v>97.8</v>
      </c>
      <c r="F46" s="32">
        <v>959315205223.09998</v>
      </c>
      <c r="H46"/>
      <c r="I46" s="31"/>
      <c r="J46" s="21"/>
    </row>
    <row r="47" spans="1:10" ht="14.4" x14ac:dyDescent="0.3">
      <c r="A47" s="28" t="s">
        <v>32</v>
      </c>
      <c r="B47" s="29" t="s">
        <v>337</v>
      </c>
      <c r="C47" s="30">
        <v>505098630353</v>
      </c>
      <c r="D47" s="32">
        <v>488796577286.94</v>
      </c>
      <c r="E47" s="32">
        <v>96.77</v>
      </c>
      <c r="F47" s="32">
        <v>543166017911.81995</v>
      </c>
      <c r="H47"/>
      <c r="I47" s="31"/>
      <c r="J47" s="21"/>
    </row>
    <row r="48" spans="1:10" hidden="1" x14ac:dyDescent="0.3">
      <c r="A48" s="28" t="s">
        <v>33</v>
      </c>
      <c r="B48" s="35"/>
      <c r="C48" s="30">
        <v>0</v>
      </c>
      <c r="D48" s="32">
        <v>0</v>
      </c>
      <c r="E48" s="32">
        <v>0</v>
      </c>
      <c r="F48" s="32">
        <v>0</v>
      </c>
      <c r="J48" s="21"/>
    </row>
    <row r="49" spans="1:10" ht="14.4" hidden="1" x14ac:dyDescent="0.3">
      <c r="A49" s="28" t="s">
        <v>34</v>
      </c>
      <c r="B49" s="29"/>
      <c r="C49" s="30">
        <v>0</v>
      </c>
      <c r="D49" s="32">
        <v>0</v>
      </c>
      <c r="E49" s="32">
        <v>0</v>
      </c>
      <c r="F49" s="32">
        <v>0</v>
      </c>
      <c r="H49"/>
      <c r="I49" s="31"/>
      <c r="J49" s="21"/>
    </row>
    <row r="50" spans="1:10" ht="14.4" x14ac:dyDescent="0.3">
      <c r="A50" s="28" t="s">
        <v>35</v>
      </c>
      <c r="B50" s="29" t="s">
        <v>338</v>
      </c>
      <c r="C50" s="30">
        <v>31499210000</v>
      </c>
      <c r="D50" s="32">
        <v>30165321985</v>
      </c>
      <c r="E50" s="32">
        <v>95.77</v>
      </c>
      <c r="F50" s="32">
        <v>65180177793</v>
      </c>
      <c r="H50"/>
      <c r="I50" s="31"/>
      <c r="J50" s="21"/>
    </row>
    <row r="51" spans="1:10" ht="14.4" x14ac:dyDescent="0.3">
      <c r="A51" s="28" t="s">
        <v>36</v>
      </c>
      <c r="B51" s="29" t="s">
        <v>339</v>
      </c>
      <c r="C51" s="30">
        <v>451000000</v>
      </c>
      <c r="D51" s="32">
        <v>451000000</v>
      </c>
      <c r="E51" s="32">
        <v>100</v>
      </c>
      <c r="F51" s="32">
        <v>310600000</v>
      </c>
      <c r="H51"/>
      <c r="I51" s="31"/>
      <c r="J51" s="21"/>
    </row>
    <row r="52" spans="1:10" ht="14.4" hidden="1" x14ac:dyDescent="0.3">
      <c r="A52" s="28" t="s">
        <v>37</v>
      </c>
      <c r="B52" s="29"/>
      <c r="C52" s="30">
        <v>0</v>
      </c>
      <c r="D52" s="32">
        <v>0</v>
      </c>
      <c r="E52" s="32">
        <v>0</v>
      </c>
      <c r="F52" s="32">
        <v>0</v>
      </c>
      <c r="H52"/>
      <c r="I52" s="31"/>
      <c r="J52" s="21"/>
    </row>
    <row r="53" spans="1:10" ht="14.4" x14ac:dyDescent="0.3">
      <c r="A53" s="41"/>
      <c r="B53" s="43"/>
      <c r="C53" s="30"/>
      <c r="D53" s="30"/>
      <c r="E53" s="30"/>
      <c r="F53" s="30"/>
      <c r="H53" s="19"/>
      <c r="I53" s="20"/>
      <c r="J53" s="21"/>
    </row>
    <row r="54" spans="1:10" ht="14.4" x14ac:dyDescent="0.3">
      <c r="A54" s="296" t="s">
        <v>38</v>
      </c>
      <c r="B54" s="37" t="s">
        <v>340</v>
      </c>
      <c r="C54" s="38">
        <v>181580744245.79999</v>
      </c>
      <c r="D54" s="38">
        <v>163126710730</v>
      </c>
      <c r="E54" s="38">
        <v>89.84</v>
      </c>
      <c r="F54" s="38">
        <v>212987711149</v>
      </c>
      <c r="H54" s="19"/>
      <c r="I54" s="20"/>
      <c r="J54" s="21"/>
    </row>
    <row r="55" spans="1:10" ht="14.4" x14ac:dyDescent="0.3">
      <c r="A55" s="28" t="s">
        <v>39</v>
      </c>
      <c r="B55" s="29" t="s">
        <v>341</v>
      </c>
      <c r="C55" s="30">
        <v>276500000</v>
      </c>
      <c r="D55" s="32">
        <v>273738000</v>
      </c>
      <c r="E55" s="32">
        <v>99</v>
      </c>
      <c r="F55" s="32">
        <v>241362000</v>
      </c>
      <c r="H55"/>
      <c r="I55" s="31"/>
      <c r="J55" s="21"/>
    </row>
    <row r="56" spans="1:10" ht="14.4" x14ac:dyDescent="0.3">
      <c r="A56" s="28" t="s">
        <v>40</v>
      </c>
      <c r="B56" s="29" t="s">
        <v>342</v>
      </c>
      <c r="C56" s="30">
        <v>39525733415.800003</v>
      </c>
      <c r="D56" s="32">
        <v>36383268312</v>
      </c>
      <c r="E56" s="32">
        <v>92.05</v>
      </c>
      <c r="F56" s="32">
        <v>45626675608</v>
      </c>
      <c r="H56"/>
      <c r="I56" s="31"/>
      <c r="J56" s="21"/>
    </row>
    <row r="57" spans="1:10" ht="14.4" x14ac:dyDescent="0.3">
      <c r="A57" s="28" t="s">
        <v>41</v>
      </c>
      <c r="B57" s="29" t="s">
        <v>343</v>
      </c>
      <c r="C57" s="30">
        <v>80385336167</v>
      </c>
      <c r="D57" s="32">
        <v>70165358002</v>
      </c>
      <c r="E57" s="32">
        <v>87.29</v>
      </c>
      <c r="F57" s="32">
        <v>111617512105</v>
      </c>
      <c r="H57"/>
      <c r="I57" s="31"/>
      <c r="J57" s="21"/>
    </row>
    <row r="58" spans="1:10" ht="14.4" x14ac:dyDescent="0.3">
      <c r="A58" s="28" t="s">
        <v>42</v>
      </c>
      <c r="B58" s="29" t="s">
        <v>344</v>
      </c>
      <c r="C58" s="30">
        <v>53730804468</v>
      </c>
      <c r="D58" s="32">
        <v>48711569675</v>
      </c>
      <c r="E58" s="32">
        <v>90.66</v>
      </c>
      <c r="F58" s="32">
        <v>52778791401</v>
      </c>
      <c r="H58"/>
      <c r="I58" s="31"/>
      <c r="J58" s="21"/>
    </row>
    <row r="59" spans="1:10" ht="14.4" x14ac:dyDescent="0.3">
      <c r="A59" s="28" t="s">
        <v>43</v>
      </c>
      <c r="B59" s="29" t="s">
        <v>345</v>
      </c>
      <c r="C59" s="30">
        <v>7662370195</v>
      </c>
      <c r="D59" s="32">
        <v>7592776741</v>
      </c>
      <c r="E59" s="32">
        <v>99.09</v>
      </c>
      <c r="F59" s="32">
        <v>2667420035</v>
      </c>
      <c r="H59"/>
      <c r="I59" s="31"/>
      <c r="J59" s="21"/>
    </row>
    <row r="60" spans="1:10" ht="14.4" x14ac:dyDescent="0.3">
      <c r="A60" s="28" t="s">
        <v>44</v>
      </c>
      <c r="B60" s="29" t="s">
        <v>346</v>
      </c>
      <c r="C60" s="30">
        <v>0</v>
      </c>
      <c r="D60" s="32">
        <v>0</v>
      </c>
      <c r="E60" s="32">
        <v>0</v>
      </c>
      <c r="F60" s="32">
        <v>55950000</v>
      </c>
      <c r="H60"/>
      <c r="I60" s="31"/>
      <c r="J60" s="21"/>
    </row>
    <row r="61" spans="1:10" ht="14.4" x14ac:dyDescent="0.3">
      <c r="A61" s="44"/>
      <c r="B61" s="42"/>
      <c r="C61" s="30"/>
      <c r="D61" s="30"/>
      <c r="E61" s="30"/>
      <c r="F61" s="30"/>
      <c r="H61"/>
      <c r="I61" s="31"/>
      <c r="J61" s="21"/>
    </row>
    <row r="62" spans="1:10" ht="14.4" x14ac:dyDescent="0.3">
      <c r="A62" s="296" t="s">
        <v>45</v>
      </c>
      <c r="B62" s="37" t="s">
        <v>347</v>
      </c>
      <c r="C62" s="38">
        <v>4500000000</v>
      </c>
      <c r="D62" s="38">
        <v>3938150000</v>
      </c>
      <c r="E62" s="38">
        <v>87.51</v>
      </c>
      <c r="F62" s="38">
        <v>1621640000</v>
      </c>
      <c r="H62" s="19"/>
      <c r="I62" s="20"/>
      <c r="J62" s="21"/>
    </row>
    <row r="63" spans="1:10" ht="14.4" x14ac:dyDescent="0.3">
      <c r="A63" s="28" t="s">
        <v>46</v>
      </c>
      <c r="B63" s="29" t="s">
        <v>348</v>
      </c>
      <c r="C63" s="30">
        <v>4500000000</v>
      </c>
      <c r="D63" s="32">
        <v>3938150000</v>
      </c>
      <c r="E63" s="32">
        <v>87.51</v>
      </c>
      <c r="F63" s="32">
        <v>1621640000</v>
      </c>
      <c r="H63"/>
      <c r="I63" s="31"/>
      <c r="J63" s="21"/>
    </row>
    <row r="64" spans="1:10" ht="14.4" x14ac:dyDescent="0.3">
      <c r="A64" s="44"/>
      <c r="B64" s="42"/>
      <c r="C64" s="30"/>
      <c r="D64" s="30"/>
      <c r="E64" s="30"/>
      <c r="F64" s="30"/>
      <c r="H64" s="19"/>
      <c r="I64" s="20"/>
      <c r="J64" s="21"/>
    </row>
    <row r="65" spans="1:10" ht="14.4" x14ac:dyDescent="0.3">
      <c r="A65" s="296" t="s">
        <v>47</v>
      </c>
      <c r="B65" s="37" t="s">
        <v>349</v>
      </c>
      <c r="C65" s="38">
        <v>313617446956.29999</v>
      </c>
      <c r="D65" s="38">
        <v>286042473554</v>
      </c>
      <c r="E65" s="38">
        <v>91.21</v>
      </c>
      <c r="F65" s="38">
        <v>297295188555</v>
      </c>
      <c r="H65" s="19"/>
      <c r="I65" s="20"/>
      <c r="J65" s="21"/>
    </row>
    <row r="66" spans="1:10" ht="14.4" x14ac:dyDescent="0.3">
      <c r="A66" s="36" t="s">
        <v>48</v>
      </c>
      <c r="B66" s="29" t="s">
        <v>350</v>
      </c>
      <c r="C66" s="38">
        <v>5750828136.3000002</v>
      </c>
      <c r="D66" s="38">
        <v>4252200290</v>
      </c>
      <c r="E66" s="38">
        <v>73.94</v>
      </c>
      <c r="F66" s="38">
        <v>3318345692</v>
      </c>
      <c r="H66" s="19"/>
      <c r="I66" s="20"/>
      <c r="J66" s="21"/>
    </row>
    <row r="67" spans="1:10" ht="27.6" x14ac:dyDescent="0.3">
      <c r="A67" s="40" t="s">
        <v>49</v>
      </c>
      <c r="B67" s="35"/>
      <c r="C67" s="30">
        <v>4271136636.3000002</v>
      </c>
      <c r="D67" s="30">
        <v>2983619018</v>
      </c>
      <c r="E67" s="30">
        <v>69.86</v>
      </c>
      <c r="F67" s="30">
        <v>0</v>
      </c>
      <c r="H67"/>
      <c r="I67" s="31"/>
      <c r="J67" s="21"/>
    </row>
    <row r="68" spans="1:10" ht="27.6" x14ac:dyDescent="0.3">
      <c r="A68" s="40" t="s">
        <v>50</v>
      </c>
      <c r="B68" s="35"/>
      <c r="C68" s="30">
        <v>1479691500</v>
      </c>
      <c r="D68" s="30">
        <v>1268581272</v>
      </c>
      <c r="E68" s="30">
        <v>85.73</v>
      </c>
      <c r="F68" s="30">
        <v>3318345692</v>
      </c>
      <c r="H68"/>
      <c r="I68" s="31"/>
      <c r="J68" s="21"/>
    </row>
    <row r="69" spans="1:10" ht="14.4" x14ac:dyDescent="0.3">
      <c r="A69" s="36" t="s">
        <v>51</v>
      </c>
      <c r="B69" s="29" t="s">
        <v>351</v>
      </c>
      <c r="C69" s="38">
        <v>307866618820</v>
      </c>
      <c r="D69" s="38">
        <v>281790273264</v>
      </c>
      <c r="E69" s="38">
        <v>91.53</v>
      </c>
      <c r="F69" s="38">
        <v>293976842863</v>
      </c>
      <c r="H69"/>
      <c r="I69" s="31"/>
      <c r="J69" s="21"/>
    </row>
    <row r="70" spans="1:10" ht="14.4" x14ac:dyDescent="0.3">
      <c r="A70" s="40" t="s">
        <v>52</v>
      </c>
      <c r="B70" s="35"/>
      <c r="C70" s="30">
        <v>0</v>
      </c>
      <c r="D70" s="30">
        <v>0</v>
      </c>
      <c r="E70" s="30">
        <v>0</v>
      </c>
      <c r="F70" s="30">
        <v>0</v>
      </c>
      <c r="H70"/>
      <c r="I70" s="31"/>
      <c r="J70" s="21"/>
    </row>
    <row r="71" spans="1:10" ht="14.4" x14ac:dyDescent="0.3">
      <c r="A71" s="40" t="s">
        <v>53</v>
      </c>
      <c r="B71" s="35"/>
      <c r="C71" s="30">
        <v>0</v>
      </c>
      <c r="D71" s="30">
        <v>0</v>
      </c>
      <c r="E71" s="30">
        <v>0</v>
      </c>
      <c r="F71" s="30">
        <v>0</v>
      </c>
      <c r="H71" s="19"/>
      <c r="I71" s="20"/>
      <c r="J71" s="21"/>
    </row>
    <row r="72" spans="1:10" ht="14.4" x14ac:dyDescent="0.3">
      <c r="A72" s="40" t="s">
        <v>54</v>
      </c>
      <c r="B72" s="35"/>
      <c r="C72" s="30">
        <v>0</v>
      </c>
      <c r="D72" s="30">
        <v>0</v>
      </c>
      <c r="E72" s="30">
        <v>0</v>
      </c>
      <c r="F72" s="30">
        <v>0</v>
      </c>
      <c r="H72" s="19"/>
      <c r="I72" s="20"/>
      <c r="J72" s="21"/>
    </row>
    <row r="73" spans="1:10" ht="14.4" x14ac:dyDescent="0.3">
      <c r="A73" s="40" t="s">
        <v>55</v>
      </c>
      <c r="B73" s="35"/>
      <c r="C73" s="30">
        <v>0</v>
      </c>
      <c r="D73" s="30">
        <v>0</v>
      </c>
      <c r="E73" s="30">
        <v>0</v>
      </c>
      <c r="F73" s="30">
        <v>0</v>
      </c>
      <c r="H73" s="19"/>
      <c r="I73" s="20"/>
      <c r="J73" s="21"/>
    </row>
    <row r="74" spans="1:10" ht="27.6" x14ac:dyDescent="0.3">
      <c r="A74" s="40" t="s">
        <v>56</v>
      </c>
      <c r="B74" s="35"/>
      <c r="C74" s="30">
        <v>307866618820</v>
      </c>
      <c r="D74" s="30">
        <v>281790273264</v>
      </c>
      <c r="E74" s="30">
        <v>91.53</v>
      </c>
      <c r="F74" s="30">
        <v>293976842863</v>
      </c>
      <c r="H74" s="19"/>
      <c r="I74" s="20"/>
      <c r="J74" s="21"/>
    </row>
    <row r="75" spans="1:10" ht="27.6" x14ac:dyDescent="0.3">
      <c r="A75" s="40" t="s">
        <v>57</v>
      </c>
      <c r="B75" s="35"/>
      <c r="C75" s="30">
        <v>0</v>
      </c>
      <c r="D75" s="30">
        <v>0</v>
      </c>
      <c r="E75" s="30">
        <v>0</v>
      </c>
      <c r="F75" s="30">
        <v>0</v>
      </c>
      <c r="H75" s="19"/>
      <c r="I75" s="20"/>
      <c r="J75" s="21"/>
    </row>
    <row r="76" spans="1:10" ht="14.4" x14ac:dyDescent="0.3">
      <c r="A76" s="41"/>
      <c r="B76" s="42"/>
      <c r="C76" s="30"/>
      <c r="D76" s="30"/>
      <c r="E76" s="30"/>
      <c r="F76" s="30"/>
      <c r="H76"/>
      <c r="I76" s="31"/>
      <c r="J76" s="21"/>
    </row>
    <row r="77" spans="1:10" ht="14.4" x14ac:dyDescent="0.3">
      <c r="A77" s="297" t="s">
        <v>58</v>
      </c>
      <c r="B77" s="298"/>
      <c r="C77" s="299">
        <v>-38926493536.959961</v>
      </c>
      <c r="D77" s="299">
        <v>28686131109.180176</v>
      </c>
      <c r="E77" s="299">
        <v>-73.69</v>
      </c>
      <c r="F77" s="299">
        <v>10848290178.51001</v>
      </c>
      <c r="H77" s="19"/>
      <c r="I77" s="20"/>
      <c r="J77" s="21"/>
    </row>
    <row r="78" spans="1:10" ht="14.4" x14ac:dyDescent="0.3">
      <c r="A78" s="45"/>
      <c r="B78" s="46"/>
      <c r="C78" s="24"/>
      <c r="D78" s="24"/>
      <c r="E78" s="24"/>
      <c r="F78" s="30"/>
      <c r="H78" s="19"/>
      <c r="I78" s="20"/>
      <c r="J78" s="21"/>
    </row>
    <row r="79" spans="1:10" ht="14.4" x14ac:dyDescent="0.3">
      <c r="A79" s="300" t="s">
        <v>59</v>
      </c>
      <c r="B79" s="301" t="s">
        <v>352</v>
      </c>
      <c r="C79" s="302">
        <v>38926493536.959999</v>
      </c>
      <c r="D79" s="302">
        <v>39729751363.520004</v>
      </c>
      <c r="E79" s="302">
        <v>102.06</v>
      </c>
      <c r="F79" s="302">
        <v>29078203358.449997</v>
      </c>
      <c r="H79" s="19"/>
      <c r="I79" s="20"/>
      <c r="J79" s="21"/>
    </row>
    <row r="80" spans="1:10" ht="14.4" x14ac:dyDescent="0.3">
      <c r="A80" s="41"/>
      <c r="B80" s="42"/>
      <c r="C80" s="30"/>
      <c r="D80" s="30"/>
      <c r="E80" s="30"/>
      <c r="F80" s="30"/>
      <c r="H80" s="19"/>
      <c r="I80" s="20"/>
      <c r="J80" s="21"/>
    </row>
    <row r="81" spans="1:10" ht="14.4" x14ac:dyDescent="0.3">
      <c r="A81" s="296" t="s">
        <v>60</v>
      </c>
      <c r="B81" s="37" t="s">
        <v>353</v>
      </c>
      <c r="C81" s="38">
        <v>39926493536.959999</v>
      </c>
      <c r="D81" s="38">
        <v>39929751363.520004</v>
      </c>
      <c r="E81" s="38">
        <v>100.01</v>
      </c>
      <c r="F81" s="38">
        <v>30078203358.449997</v>
      </c>
      <c r="H81" s="19"/>
      <c r="I81" s="20"/>
      <c r="J81" s="21"/>
    </row>
    <row r="82" spans="1:10" ht="14.4" x14ac:dyDescent="0.3">
      <c r="A82" s="28" t="s">
        <v>61</v>
      </c>
      <c r="B82" s="35" t="s">
        <v>354</v>
      </c>
      <c r="C82" s="30">
        <v>39926493536.959999</v>
      </c>
      <c r="D82" s="32">
        <v>39926272899.520004</v>
      </c>
      <c r="E82" s="32">
        <v>100</v>
      </c>
      <c r="F82" s="32">
        <v>30071323358.449997</v>
      </c>
      <c r="H82"/>
      <c r="I82" s="31"/>
      <c r="J82" s="21"/>
    </row>
    <row r="83" spans="1:10" ht="14.4" hidden="1" x14ac:dyDescent="0.3">
      <c r="A83" s="28" t="s">
        <v>62</v>
      </c>
      <c r="B83" s="35"/>
      <c r="C83" s="30">
        <v>0</v>
      </c>
      <c r="D83" s="32">
        <v>0</v>
      </c>
      <c r="E83" s="32">
        <v>0</v>
      </c>
      <c r="F83" s="32">
        <v>0</v>
      </c>
      <c r="H83" s="19"/>
      <c r="I83" s="20"/>
      <c r="J83" s="21"/>
    </row>
    <row r="84" spans="1:10" ht="14.4" hidden="1" x14ac:dyDescent="0.3">
      <c r="A84" s="28" t="s">
        <v>63</v>
      </c>
      <c r="B84" s="35"/>
      <c r="C84" s="30">
        <v>0</v>
      </c>
      <c r="D84" s="32">
        <v>0</v>
      </c>
      <c r="E84" s="32">
        <v>0</v>
      </c>
      <c r="F84" s="32">
        <v>0</v>
      </c>
      <c r="H84" s="19"/>
      <c r="I84" s="20"/>
      <c r="J84" s="21"/>
    </row>
    <row r="85" spans="1:10" hidden="1" x14ac:dyDescent="0.3">
      <c r="A85" s="28" t="s">
        <v>64</v>
      </c>
      <c r="B85" s="35"/>
      <c r="C85" s="30">
        <v>0</v>
      </c>
      <c r="D85" s="32">
        <v>0</v>
      </c>
      <c r="E85" s="32">
        <v>0</v>
      </c>
      <c r="F85" s="32">
        <v>0</v>
      </c>
      <c r="J85" s="21"/>
    </row>
    <row r="86" spans="1:10" x14ac:dyDescent="0.3">
      <c r="A86" s="28" t="s">
        <v>65</v>
      </c>
      <c r="B86" s="35" t="s">
        <v>355</v>
      </c>
      <c r="C86" s="30">
        <v>0</v>
      </c>
      <c r="D86" s="32">
        <v>3478464</v>
      </c>
      <c r="E86" s="32">
        <v>0</v>
      </c>
      <c r="F86" s="32">
        <v>6880000</v>
      </c>
      <c r="J86" s="21"/>
    </row>
    <row r="87" spans="1:10" ht="27.6" hidden="1" x14ac:dyDescent="0.3">
      <c r="A87" s="28" t="s">
        <v>66</v>
      </c>
      <c r="B87" s="47"/>
      <c r="C87" s="30">
        <v>0</v>
      </c>
      <c r="D87" s="32">
        <v>0</v>
      </c>
      <c r="E87" s="30">
        <v>0</v>
      </c>
      <c r="F87" s="32">
        <v>0</v>
      </c>
      <c r="H87" s="19"/>
      <c r="I87" s="20"/>
      <c r="J87" s="21"/>
    </row>
    <row r="88" spans="1:10" x14ac:dyDescent="0.3">
      <c r="A88" s="48"/>
      <c r="B88" s="47"/>
      <c r="C88" s="30"/>
      <c r="D88" s="30"/>
      <c r="E88" s="30"/>
      <c r="F88" s="30"/>
      <c r="J88" s="21"/>
    </row>
    <row r="89" spans="1:10" ht="14.4" x14ac:dyDescent="0.3">
      <c r="A89" s="296" t="s">
        <v>67</v>
      </c>
      <c r="B89" s="37" t="s">
        <v>356</v>
      </c>
      <c r="C89" s="38">
        <v>1000000000</v>
      </c>
      <c r="D89" s="38">
        <v>200000000</v>
      </c>
      <c r="E89" s="38">
        <v>20</v>
      </c>
      <c r="F89" s="38">
        <v>1000000000</v>
      </c>
      <c r="H89" s="19"/>
      <c r="I89" s="20"/>
      <c r="J89" s="21"/>
    </row>
    <row r="90" spans="1:10" ht="14.4" hidden="1" x14ac:dyDescent="0.3">
      <c r="A90" s="28" t="s">
        <v>68</v>
      </c>
      <c r="B90" s="35"/>
      <c r="C90" s="30">
        <v>0</v>
      </c>
      <c r="D90" s="32">
        <v>0</v>
      </c>
      <c r="E90" s="32">
        <v>0</v>
      </c>
      <c r="F90" s="32">
        <v>0</v>
      </c>
      <c r="H90" s="19"/>
      <c r="I90" s="20"/>
      <c r="J90" s="21"/>
    </row>
    <row r="91" spans="1:10" ht="14.4" x14ac:dyDescent="0.3">
      <c r="A91" s="28" t="s">
        <v>69</v>
      </c>
      <c r="B91" s="35" t="s">
        <v>357</v>
      </c>
      <c r="C91" s="30">
        <v>1000000000</v>
      </c>
      <c r="D91" s="32">
        <v>200000000</v>
      </c>
      <c r="E91" s="32">
        <v>20</v>
      </c>
      <c r="F91" s="32">
        <v>1000000000</v>
      </c>
      <c r="H91"/>
      <c r="I91" s="31"/>
      <c r="J91" s="21"/>
    </row>
    <row r="92" spans="1:10" hidden="1" x14ac:dyDescent="0.3">
      <c r="A92" s="28" t="s">
        <v>70</v>
      </c>
      <c r="B92" s="35"/>
      <c r="C92" s="30">
        <v>0</v>
      </c>
      <c r="D92" s="32">
        <v>0</v>
      </c>
      <c r="E92" s="32">
        <v>0</v>
      </c>
      <c r="F92" s="32">
        <v>0</v>
      </c>
      <c r="J92" s="21"/>
    </row>
    <row r="93" spans="1:10" ht="14.4" hidden="1" x14ac:dyDescent="0.3">
      <c r="A93" s="28" t="s">
        <v>71</v>
      </c>
      <c r="B93" s="35"/>
      <c r="C93" s="30">
        <v>0</v>
      </c>
      <c r="D93" s="32">
        <v>0</v>
      </c>
      <c r="E93" s="32">
        <v>0</v>
      </c>
      <c r="F93" s="32">
        <v>0</v>
      </c>
      <c r="H93" s="19"/>
      <c r="I93" s="20"/>
      <c r="J93" s="21"/>
    </row>
    <row r="94" spans="1:10" ht="27.6" hidden="1" x14ac:dyDescent="0.3">
      <c r="A94" s="28" t="s">
        <v>72</v>
      </c>
      <c r="B94" s="35"/>
      <c r="C94" s="30">
        <v>0</v>
      </c>
      <c r="D94" s="32">
        <v>0</v>
      </c>
      <c r="E94" s="32">
        <v>0</v>
      </c>
      <c r="F94" s="32">
        <v>0</v>
      </c>
      <c r="H94" s="19"/>
      <c r="I94" s="20"/>
      <c r="J94" s="21"/>
    </row>
    <row r="95" spans="1:10" x14ac:dyDescent="0.3">
      <c r="A95" s="44"/>
      <c r="B95" s="42"/>
      <c r="C95" s="30"/>
      <c r="D95" s="30"/>
      <c r="E95" s="30"/>
      <c r="F95" s="303"/>
      <c r="I95" s="49"/>
      <c r="J95" s="21"/>
    </row>
    <row r="96" spans="1:10" ht="14.4" x14ac:dyDescent="0.3">
      <c r="A96" s="297" t="s">
        <v>73</v>
      </c>
      <c r="B96" s="298"/>
      <c r="C96" s="299">
        <v>38926493536.959999</v>
      </c>
      <c r="D96" s="299">
        <v>39729751363.520004</v>
      </c>
      <c r="E96" s="299">
        <v>102.06</v>
      </c>
      <c r="F96" s="299">
        <v>29078203358.449997</v>
      </c>
      <c r="H96" s="19"/>
      <c r="I96" s="20"/>
      <c r="J96" s="21"/>
    </row>
    <row r="97" spans="1:10" ht="14.4" x14ac:dyDescent="0.3">
      <c r="A97" s="28"/>
      <c r="B97" s="35"/>
      <c r="C97" s="30"/>
      <c r="D97" s="32"/>
      <c r="E97" s="32"/>
      <c r="F97" s="32"/>
      <c r="H97" s="19"/>
      <c r="I97" s="20"/>
      <c r="J97" s="21"/>
    </row>
    <row r="98" spans="1:10" ht="27.6" hidden="1" x14ac:dyDescent="0.3">
      <c r="A98" s="297" t="s">
        <v>74</v>
      </c>
      <c r="B98" s="298"/>
      <c r="C98" s="299">
        <v>0</v>
      </c>
      <c r="D98" s="299">
        <v>68415882472.70018</v>
      </c>
      <c r="E98" s="299">
        <v>0</v>
      </c>
      <c r="F98" s="299">
        <v>39926493536.960007</v>
      </c>
      <c r="H98" s="19"/>
      <c r="I98" s="20"/>
      <c r="J98" s="21"/>
    </row>
    <row r="99" spans="1:10" ht="14.4" hidden="1" x14ac:dyDescent="0.3">
      <c r="A99" s="28"/>
      <c r="B99" s="35"/>
      <c r="C99" s="30"/>
      <c r="D99" s="32"/>
      <c r="E99" s="32"/>
      <c r="F99" s="32"/>
      <c r="H99" s="19"/>
      <c r="I99" s="20"/>
      <c r="J99" s="21"/>
    </row>
    <row r="100" spans="1:10" ht="14.4" hidden="1" x14ac:dyDescent="0.3">
      <c r="A100" s="304" t="s">
        <v>75</v>
      </c>
      <c r="B100" s="298" t="s">
        <v>358</v>
      </c>
      <c r="C100" s="299">
        <v>0</v>
      </c>
      <c r="D100" s="299">
        <v>-220637.44</v>
      </c>
      <c r="E100" s="299">
        <v>0</v>
      </c>
      <c r="F100" s="299">
        <v>0</v>
      </c>
      <c r="H100" s="19"/>
      <c r="I100" s="20"/>
      <c r="J100" s="21"/>
    </row>
    <row r="101" spans="1:10" ht="14.4" hidden="1" x14ac:dyDescent="0.3">
      <c r="A101" s="28"/>
      <c r="B101" s="35"/>
      <c r="C101" s="30"/>
      <c r="D101" s="32"/>
      <c r="E101" s="32"/>
      <c r="F101" s="32"/>
      <c r="H101" s="19"/>
      <c r="I101" s="20"/>
      <c r="J101" s="21"/>
    </row>
    <row r="102" spans="1:10" s="319" customFormat="1" ht="47.1" customHeight="1" x14ac:dyDescent="0.3">
      <c r="A102" s="312" t="s">
        <v>76</v>
      </c>
      <c r="B102" s="313" t="s">
        <v>358</v>
      </c>
      <c r="C102" s="314">
        <v>0</v>
      </c>
      <c r="D102" s="314">
        <v>68415882472.70018</v>
      </c>
      <c r="E102" s="314">
        <v>0</v>
      </c>
      <c r="F102" s="314">
        <v>39926493536.960007</v>
      </c>
      <c r="G102" s="315"/>
      <c r="H102" s="316"/>
      <c r="I102" s="317"/>
      <c r="J102" s="318"/>
    </row>
    <row r="103" spans="1:10" ht="5.0999999999999996" customHeight="1" x14ac:dyDescent="0.3">
      <c r="A103" s="51"/>
      <c r="B103" s="52"/>
      <c r="C103" s="53"/>
      <c r="D103" s="53"/>
      <c r="E103" s="54"/>
      <c r="F103" s="55"/>
    </row>
    <row r="104" spans="1:10" x14ac:dyDescent="0.3">
      <c r="A104" s="327" t="s">
        <v>77</v>
      </c>
      <c r="B104" s="327"/>
      <c r="C104" s="327"/>
      <c r="D104" s="327"/>
      <c r="E104" s="327"/>
      <c r="F104" s="327"/>
    </row>
    <row r="105" spans="1:10" x14ac:dyDescent="0.3">
      <c r="A105" s="327"/>
      <c r="B105" s="327"/>
      <c r="C105" s="327"/>
      <c r="D105" s="327"/>
      <c r="E105" s="327"/>
      <c r="F105" s="327"/>
    </row>
    <row r="106" spans="1:10" x14ac:dyDescent="0.3">
      <c r="A106" s="51"/>
      <c r="B106" s="52"/>
      <c r="C106" s="53"/>
      <c r="D106" s="53"/>
      <c r="E106" s="54"/>
      <c r="F106" s="55"/>
    </row>
    <row r="107" spans="1:10" ht="17.399999999999999" x14ac:dyDescent="0.3">
      <c r="A107" s="51"/>
      <c r="B107" s="52"/>
      <c r="C107" s="53"/>
      <c r="D107" s="328" t="s">
        <v>276</v>
      </c>
      <c r="E107" s="328"/>
      <c r="F107" s="328"/>
    </row>
    <row r="108" spans="1:10" ht="17.399999999999999" x14ac:dyDescent="0.3">
      <c r="A108" s="51"/>
      <c r="B108" s="52"/>
      <c r="C108" s="53"/>
      <c r="D108" s="56"/>
      <c r="E108" s="57"/>
      <c r="F108" s="58"/>
    </row>
    <row r="109" spans="1:10" ht="17.399999999999999" x14ac:dyDescent="0.3">
      <c r="A109" s="51"/>
      <c r="B109" s="52"/>
      <c r="C109" s="53"/>
      <c r="D109" s="56"/>
      <c r="E109" s="57"/>
      <c r="F109" s="58"/>
    </row>
    <row r="110" spans="1:10" ht="17.399999999999999" x14ac:dyDescent="0.3">
      <c r="A110" s="51"/>
      <c r="B110" s="52"/>
      <c r="C110" s="53"/>
      <c r="D110" s="56"/>
      <c r="E110" s="57"/>
      <c r="F110" s="58"/>
    </row>
    <row r="111" spans="1:10" ht="17.399999999999999" x14ac:dyDescent="0.3">
      <c r="A111" s="51"/>
      <c r="B111" s="52"/>
      <c r="C111" s="53"/>
      <c r="D111" s="56"/>
      <c r="E111" s="57"/>
      <c r="F111" s="58"/>
    </row>
    <row r="112" spans="1:10" ht="17.399999999999999" x14ac:dyDescent="0.3">
      <c r="A112" s="51"/>
      <c r="B112" s="52"/>
      <c r="C112" s="53"/>
      <c r="D112" s="328">
        <v>0</v>
      </c>
      <c r="E112" s="328"/>
      <c r="F112" s="328"/>
    </row>
    <row r="113" spans="1:6" x14ac:dyDescent="0.3">
      <c r="A113" s="51"/>
      <c r="B113" s="52"/>
      <c r="C113" s="59"/>
      <c r="D113" s="60"/>
      <c r="F113" s="55"/>
    </row>
  </sheetData>
  <sheetProtection formatCells="0" formatColumns="0" formatRows="0"/>
  <mergeCells count="12">
    <mergeCell ref="H11:I11"/>
    <mergeCell ref="A104:F105"/>
    <mergeCell ref="D107:F107"/>
    <mergeCell ref="D112:F112"/>
    <mergeCell ref="A1:F6"/>
    <mergeCell ref="A7:F7"/>
    <mergeCell ref="A8:F8"/>
    <mergeCell ref="A9:F9"/>
    <mergeCell ref="A10:F10"/>
    <mergeCell ref="A11:B11"/>
    <mergeCell ref="C11:D11"/>
    <mergeCell ref="E11:F11"/>
  </mergeCells>
  <printOptions horizontalCentered="1"/>
  <pageMargins left="1.1811023622047245" right="0.78740157480314965" top="0.59055118110236227" bottom="1.1811023622047245" header="0.39370078740157483" footer="0.59055118110236227"/>
  <pageSetup paperSize="9" scale="50" fitToHeight="0" orientation="portrait" useFirstPageNumber="1" r:id="rId1"/>
  <headerFooter scaleWithDoc="0"/>
  <rowBreaks count="1" manualBreakCount="1">
    <brk id="77"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14768-287A-41B8-8803-FE0CAA2A45BF}">
  <sheetPr codeName="Sheet18">
    <tabColor rgb="FF1B6744"/>
    <pageSetUpPr fitToPage="1"/>
  </sheetPr>
  <dimension ref="A1:I47"/>
  <sheetViews>
    <sheetView view="pageBreakPreview" zoomScale="89" zoomScaleNormal="78" workbookViewId="0">
      <selection activeCell="D32" sqref="D32"/>
    </sheetView>
  </sheetViews>
  <sheetFormatPr defaultColWidth="8.77734375" defaultRowHeight="13.8" x14ac:dyDescent="0.3"/>
  <cols>
    <col min="1" max="1" width="40.21875" style="65" customWidth="1"/>
    <col min="2" max="2" width="13.44140625" style="65" customWidth="1"/>
    <col min="3" max="3" width="22.44140625" style="65" bestFit="1" customWidth="1"/>
    <col min="4" max="4" width="23.21875" style="65" bestFit="1" customWidth="1"/>
    <col min="5" max="5" width="8.77734375" style="65"/>
    <col min="6" max="6" width="19.77734375" style="66" bestFit="1" customWidth="1"/>
    <col min="7" max="7" width="21.44140625" style="66" bestFit="1" customWidth="1"/>
    <col min="8" max="9" width="20.21875" style="65" bestFit="1" customWidth="1"/>
    <col min="10" max="256" width="8.77734375" style="65"/>
    <col min="257" max="257" width="68.44140625" style="65" customWidth="1"/>
    <col min="258" max="258" width="8.77734375" style="65"/>
    <col min="259" max="260" width="18.21875" style="65" bestFit="1" customWidth="1"/>
    <col min="261" max="261" width="8.77734375" style="65"/>
    <col min="262" max="262" width="18.77734375" style="65" bestFit="1" customWidth="1"/>
    <col min="263" max="263" width="15" style="65" bestFit="1" customWidth="1"/>
    <col min="264" max="512" width="8.77734375" style="65"/>
    <col min="513" max="513" width="68.44140625" style="65" customWidth="1"/>
    <col min="514" max="514" width="8.77734375" style="65"/>
    <col min="515" max="516" width="18.21875" style="65" bestFit="1" customWidth="1"/>
    <col min="517" max="517" width="8.77734375" style="65"/>
    <col min="518" max="518" width="18.77734375" style="65" bestFit="1" customWidth="1"/>
    <col min="519" max="519" width="15" style="65" bestFit="1" customWidth="1"/>
    <col min="520" max="768" width="8.77734375" style="65"/>
    <col min="769" max="769" width="68.44140625" style="65" customWidth="1"/>
    <col min="770" max="770" width="8.77734375" style="65"/>
    <col min="771" max="772" width="18.21875" style="65" bestFit="1" customWidth="1"/>
    <col min="773" max="773" width="8.77734375" style="65"/>
    <col min="774" max="774" width="18.77734375" style="65" bestFit="1" customWidth="1"/>
    <col min="775" max="775" width="15" style="65" bestFit="1" customWidth="1"/>
    <col min="776" max="1024" width="8.77734375" style="65"/>
    <col min="1025" max="1025" width="68.44140625" style="65" customWidth="1"/>
    <col min="1026" max="1026" width="8.77734375" style="65"/>
    <col min="1027" max="1028" width="18.21875" style="65" bestFit="1" customWidth="1"/>
    <col min="1029" max="1029" width="8.77734375" style="65"/>
    <col min="1030" max="1030" width="18.77734375" style="65" bestFit="1" customWidth="1"/>
    <col min="1031" max="1031" width="15" style="65" bestFit="1" customWidth="1"/>
    <col min="1032" max="1280" width="8.77734375" style="65"/>
    <col min="1281" max="1281" width="68.44140625" style="65" customWidth="1"/>
    <col min="1282" max="1282" width="8.77734375" style="65"/>
    <col min="1283" max="1284" width="18.21875" style="65" bestFit="1" customWidth="1"/>
    <col min="1285" max="1285" width="8.77734375" style="65"/>
    <col min="1286" max="1286" width="18.77734375" style="65" bestFit="1" customWidth="1"/>
    <col min="1287" max="1287" width="15" style="65" bestFit="1" customWidth="1"/>
    <col min="1288" max="1536" width="8.77734375" style="65"/>
    <col min="1537" max="1537" width="68.44140625" style="65" customWidth="1"/>
    <col min="1538" max="1538" width="8.77734375" style="65"/>
    <col min="1539" max="1540" width="18.21875" style="65" bestFit="1" customWidth="1"/>
    <col min="1541" max="1541" width="8.77734375" style="65"/>
    <col min="1542" max="1542" width="18.77734375" style="65" bestFit="1" customWidth="1"/>
    <col min="1543" max="1543" width="15" style="65" bestFit="1" customWidth="1"/>
    <col min="1544" max="1792" width="8.77734375" style="65"/>
    <col min="1793" max="1793" width="68.44140625" style="65" customWidth="1"/>
    <col min="1794" max="1794" width="8.77734375" style="65"/>
    <col min="1795" max="1796" width="18.21875" style="65" bestFit="1" customWidth="1"/>
    <col min="1797" max="1797" width="8.77734375" style="65"/>
    <col min="1798" max="1798" width="18.77734375" style="65" bestFit="1" customWidth="1"/>
    <col min="1799" max="1799" width="15" style="65" bestFit="1" customWidth="1"/>
    <col min="1800" max="2048" width="8.77734375" style="65"/>
    <col min="2049" max="2049" width="68.44140625" style="65" customWidth="1"/>
    <col min="2050" max="2050" width="8.77734375" style="65"/>
    <col min="2051" max="2052" width="18.21875" style="65" bestFit="1" customWidth="1"/>
    <col min="2053" max="2053" width="8.77734375" style="65"/>
    <col min="2054" max="2054" width="18.77734375" style="65" bestFit="1" customWidth="1"/>
    <col min="2055" max="2055" width="15" style="65" bestFit="1" customWidth="1"/>
    <col min="2056" max="2304" width="8.77734375" style="65"/>
    <col min="2305" max="2305" width="68.44140625" style="65" customWidth="1"/>
    <col min="2306" max="2306" width="8.77734375" style="65"/>
    <col min="2307" max="2308" width="18.21875" style="65" bestFit="1" customWidth="1"/>
    <col min="2309" max="2309" width="8.77734375" style="65"/>
    <col min="2310" max="2310" width="18.77734375" style="65" bestFit="1" customWidth="1"/>
    <col min="2311" max="2311" width="15" style="65" bestFit="1" customWidth="1"/>
    <col min="2312" max="2560" width="8.77734375" style="65"/>
    <col min="2561" max="2561" width="68.44140625" style="65" customWidth="1"/>
    <col min="2562" max="2562" width="8.77734375" style="65"/>
    <col min="2563" max="2564" width="18.21875" style="65" bestFit="1" customWidth="1"/>
    <col min="2565" max="2565" width="8.77734375" style="65"/>
    <col min="2566" max="2566" width="18.77734375" style="65" bestFit="1" customWidth="1"/>
    <col min="2567" max="2567" width="15" style="65" bestFit="1" customWidth="1"/>
    <col min="2568" max="2816" width="8.77734375" style="65"/>
    <col min="2817" max="2817" width="68.44140625" style="65" customWidth="1"/>
    <col min="2818" max="2818" width="8.77734375" style="65"/>
    <col min="2819" max="2820" width="18.21875" style="65" bestFit="1" customWidth="1"/>
    <col min="2821" max="2821" width="8.77734375" style="65"/>
    <col min="2822" max="2822" width="18.77734375" style="65" bestFit="1" customWidth="1"/>
    <col min="2823" max="2823" width="15" style="65" bestFit="1" customWidth="1"/>
    <col min="2824" max="3072" width="8.77734375" style="65"/>
    <col min="3073" max="3073" width="68.44140625" style="65" customWidth="1"/>
    <col min="3074" max="3074" width="8.77734375" style="65"/>
    <col min="3075" max="3076" width="18.21875" style="65" bestFit="1" customWidth="1"/>
    <col min="3077" max="3077" width="8.77734375" style="65"/>
    <col min="3078" max="3078" width="18.77734375" style="65" bestFit="1" customWidth="1"/>
    <col min="3079" max="3079" width="15" style="65" bestFit="1" customWidth="1"/>
    <col min="3080" max="3328" width="8.77734375" style="65"/>
    <col min="3329" max="3329" width="68.44140625" style="65" customWidth="1"/>
    <col min="3330" max="3330" width="8.77734375" style="65"/>
    <col min="3331" max="3332" width="18.21875" style="65" bestFit="1" customWidth="1"/>
    <col min="3333" max="3333" width="8.77734375" style="65"/>
    <col min="3334" max="3334" width="18.77734375" style="65" bestFit="1" customWidth="1"/>
    <col min="3335" max="3335" width="15" style="65" bestFit="1" customWidth="1"/>
    <col min="3336" max="3584" width="8.77734375" style="65"/>
    <col min="3585" max="3585" width="68.44140625" style="65" customWidth="1"/>
    <col min="3586" max="3586" width="8.77734375" style="65"/>
    <col min="3587" max="3588" width="18.21875" style="65" bestFit="1" customWidth="1"/>
    <col min="3589" max="3589" width="8.77734375" style="65"/>
    <col min="3590" max="3590" width="18.77734375" style="65" bestFit="1" customWidth="1"/>
    <col min="3591" max="3591" width="15" style="65" bestFit="1" customWidth="1"/>
    <col min="3592" max="3840" width="8.77734375" style="65"/>
    <col min="3841" max="3841" width="68.44140625" style="65" customWidth="1"/>
    <col min="3842" max="3842" width="8.77734375" style="65"/>
    <col min="3843" max="3844" width="18.21875" style="65" bestFit="1" customWidth="1"/>
    <col min="3845" max="3845" width="8.77734375" style="65"/>
    <col min="3846" max="3846" width="18.77734375" style="65" bestFit="1" customWidth="1"/>
    <col min="3847" max="3847" width="15" style="65" bestFit="1" customWidth="1"/>
    <col min="3848" max="4096" width="8.77734375" style="65"/>
    <col min="4097" max="4097" width="68.44140625" style="65" customWidth="1"/>
    <col min="4098" max="4098" width="8.77734375" style="65"/>
    <col min="4099" max="4100" width="18.21875" style="65" bestFit="1" customWidth="1"/>
    <col min="4101" max="4101" width="8.77734375" style="65"/>
    <col min="4102" max="4102" width="18.77734375" style="65" bestFit="1" customWidth="1"/>
    <col min="4103" max="4103" width="15" style="65" bestFit="1" customWidth="1"/>
    <col min="4104" max="4352" width="8.77734375" style="65"/>
    <col min="4353" max="4353" width="68.44140625" style="65" customWidth="1"/>
    <col min="4354" max="4354" width="8.77734375" style="65"/>
    <col min="4355" max="4356" width="18.21875" style="65" bestFit="1" customWidth="1"/>
    <col min="4357" max="4357" width="8.77734375" style="65"/>
    <col min="4358" max="4358" width="18.77734375" style="65" bestFit="1" customWidth="1"/>
    <col min="4359" max="4359" width="15" style="65" bestFit="1" customWidth="1"/>
    <col min="4360" max="4608" width="8.77734375" style="65"/>
    <col min="4609" max="4609" width="68.44140625" style="65" customWidth="1"/>
    <col min="4610" max="4610" width="8.77734375" style="65"/>
    <col min="4611" max="4612" width="18.21875" style="65" bestFit="1" customWidth="1"/>
    <col min="4613" max="4613" width="8.77734375" style="65"/>
    <col min="4614" max="4614" width="18.77734375" style="65" bestFit="1" customWidth="1"/>
    <col min="4615" max="4615" width="15" style="65" bestFit="1" customWidth="1"/>
    <col min="4616" max="4864" width="8.77734375" style="65"/>
    <col min="4865" max="4865" width="68.44140625" style="65" customWidth="1"/>
    <col min="4866" max="4866" width="8.77734375" style="65"/>
    <col min="4867" max="4868" width="18.21875" style="65" bestFit="1" customWidth="1"/>
    <col min="4869" max="4869" width="8.77734375" style="65"/>
    <col min="4870" max="4870" width="18.77734375" style="65" bestFit="1" customWidth="1"/>
    <col min="4871" max="4871" width="15" style="65" bestFit="1" customWidth="1"/>
    <col min="4872" max="5120" width="8.77734375" style="65"/>
    <col min="5121" max="5121" width="68.44140625" style="65" customWidth="1"/>
    <col min="5122" max="5122" width="8.77734375" style="65"/>
    <col min="5123" max="5124" width="18.21875" style="65" bestFit="1" customWidth="1"/>
    <col min="5125" max="5125" width="8.77734375" style="65"/>
    <col min="5126" max="5126" width="18.77734375" style="65" bestFit="1" customWidth="1"/>
    <col min="5127" max="5127" width="15" style="65" bestFit="1" customWidth="1"/>
    <col min="5128" max="5376" width="8.77734375" style="65"/>
    <col min="5377" max="5377" width="68.44140625" style="65" customWidth="1"/>
    <col min="5378" max="5378" width="8.77734375" style="65"/>
    <col min="5379" max="5380" width="18.21875" style="65" bestFit="1" customWidth="1"/>
    <col min="5381" max="5381" width="8.77734375" style="65"/>
    <col min="5382" max="5382" width="18.77734375" style="65" bestFit="1" customWidth="1"/>
    <col min="5383" max="5383" width="15" style="65" bestFit="1" customWidth="1"/>
    <col min="5384" max="5632" width="8.77734375" style="65"/>
    <col min="5633" max="5633" width="68.44140625" style="65" customWidth="1"/>
    <col min="5634" max="5634" width="8.77734375" style="65"/>
    <col min="5635" max="5636" width="18.21875" style="65" bestFit="1" customWidth="1"/>
    <col min="5637" max="5637" width="8.77734375" style="65"/>
    <col min="5638" max="5638" width="18.77734375" style="65" bestFit="1" customWidth="1"/>
    <col min="5639" max="5639" width="15" style="65" bestFit="1" customWidth="1"/>
    <col min="5640" max="5888" width="8.77734375" style="65"/>
    <col min="5889" max="5889" width="68.44140625" style="65" customWidth="1"/>
    <col min="5890" max="5890" width="8.77734375" style="65"/>
    <col min="5891" max="5892" width="18.21875" style="65" bestFit="1" customWidth="1"/>
    <col min="5893" max="5893" width="8.77734375" style="65"/>
    <col min="5894" max="5894" width="18.77734375" style="65" bestFit="1" customWidth="1"/>
    <col min="5895" max="5895" width="15" style="65" bestFit="1" customWidth="1"/>
    <col min="5896" max="6144" width="8.77734375" style="65"/>
    <col min="6145" max="6145" width="68.44140625" style="65" customWidth="1"/>
    <col min="6146" max="6146" width="8.77734375" style="65"/>
    <col min="6147" max="6148" width="18.21875" style="65" bestFit="1" customWidth="1"/>
    <col min="6149" max="6149" width="8.77734375" style="65"/>
    <col min="6150" max="6150" width="18.77734375" style="65" bestFit="1" customWidth="1"/>
    <col min="6151" max="6151" width="15" style="65" bestFit="1" customWidth="1"/>
    <col min="6152" max="6400" width="8.77734375" style="65"/>
    <col min="6401" max="6401" width="68.44140625" style="65" customWidth="1"/>
    <col min="6402" max="6402" width="8.77734375" style="65"/>
    <col min="6403" max="6404" width="18.21875" style="65" bestFit="1" customWidth="1"/>
    <col min="6405" max="6405" width="8.77734375" style="65"/>
    <col min="6406" max="6406" width="18.77734375" style="65" bestFit="1" customWidth="1"/>
    <col min="6407" max="6407" width="15" style="65" bestFit="1" customWidth="1"/>
    <col min="6408" max="6656" width="8.77734375" style="65"/>
    <col min="6657" max="6657" width="68.44140625" style="65" customWidth="1"/>
    <col min="6658" max="6658" width="8.77734375" style="65"/>
    <col min="6659" max="6660" width="18.21875" style="65" bestFit="1" customWidth="1"/>
    <col min="6661" max="6661" width="8.77734375" style="65"/>
    <col min="6662" max="6662" width="18.77734375" style="65" bestFit="1" customWidth="1"/>
    <col min="6663" max="6663" width="15" style="65" bestFit="1" customWidth="1"/>
    <col min="6664" max="6912" width="8.77734375" style="65"/>
    <col min="6913" max="6913" width="68.44140625" style="65" customWidth="1"/>
    <col min="6914" max="6914" width="8.77734375" style="65"/>
    <col min="6915" max="6916" width="18.21875" style="65" bestFit="1" customWidth="1"/>
    <col min="6917" max="6917" width="8.77734375" style="65"/>
    <col min="6918" max="6918" width="18.77734375" style="65" bestFit="1" customWidth="1"/>
    <col min="6919" max="6919" width="15" style="65" bestFit="1" customWidth="1"/>
    <col min="6920" max="7168" width="8.77734375" style="65"/>
    <col min="7169" max="7169" width="68.44140625" style="65" customWidth="1"/>
    <col min="7170" max="7170" width="8.77734375" style="65"/>
    <col min="7171" max="7172" width="18.21875" style="65" bestFit="1" customWidth="1"/>
    <col min="7173" max="7173" width="8.77734375" style="65"/>
    <col min="7174" max="7174" width="18.77734375" style="65" bestFit="1" customWidth="1"/>
    <col min="7175" max="7175" width="15" style="65" bestFit="1" customWidth="1"/>
    <col min="7176" max="7424" width="8.77734375" style="65"/>
    <col min="7425" max="7425" width="68.44140625" style="65" customWidth="1"/>
    <col min="7426" max="7426" width="8.77734375" style="65"/>
    <col min="7427" max="7428" width="18.21875" style="65" bestFit="1" customWidth="1"/>
    <col min="7429" max="7429" width="8.77734375" style="65"/>
    <col min="7430" max="7430" width="18.77734375" style="65" bestFit="1" customWidth="1"/>
    <col min="7431" max="7431" width="15" style="65" bestFit="1" customWidth="1"/>
    <col min="7432" max="7680" width="8.77734375" style="65"/>
    <col min="7681" max="7681" width="68.44140625" style="65" customWidth="1"/>
    <col min="7682" max="7682" width="8.77734375" style="65"/>
    <col min="7683" max="7684" width="18.21875" style="65" bestFit="1" customWidth="1"/>
    <col min="7685" max="7685" width="8.77734375" style="65"/>
    <col min="7686" max="7686" width="18.77734375" style="65" bestFit="1" customWidth="1"/>
    <col min="7687" max="7687" width="15" style="65" bestFit="1" customWidth="1"/>
    <col min="7688" max="7936" width="8.77734375" style="65"/>
    <col min="7937" max="7937" width="68.44140625" style="65" customWidth="1"/>
    <col min="7938" max="7938" width="8.77734375" style="65"/>
    <col min="7939" max="7940" width="18.21875" style="65" bestFit="1" customWidth="1"/>
    <col min="7941" max="7941" width="8.77734375" style="65"/>
    <col min="7942" max="7942" width="18.77734375" style="65" bestFit="1" customWidth="1"/>
    <col min="7943" max="7943" width="15" style="65" bestFit="1" customWidth="1"/>
    <col min="7944" max="8192" width="8.77734375" style="65"/>
    <col min="8193" max="8193" width="68.44140625" style="65" customWidth="1"/>
    <col min="8194" max="8194" width="8.77734375" style="65"/>
    <col min="8195" max="8196" width="18.21875" style="65" bestFit="1" customWidth="1"/>
    <col min="8197" max="8197" width="8.77734375" style="65"/>
    <col min="8198" max="8198" width="18.77734375" style="65" bestFit="1" customWidth="1"/>
    <col min="8199" max="8199" width="15" style="65" bestFit="1" customWidth="1"/>
    <col min="8200" max="8448" width="8.77734375" style="65"/>
    <col min="8449" max="8449" width="68.44140625" style="65" customWidth="1"/>
    <col min="8450" max="8450" width="8.77734375" style="65"/>
    <col min="8451" max="8452" width="18.21875" style="65" bestFit="1" customWidth="1"/>
    <col min="8453" max="8453" width="8.77734375" style="65"/>
    <col min="8454" max="8454" width="18.77734375" style="65" bestFit="1" customWidth="1"/>
    <col min="8455" max="8455" width="15" style="65" bestFit="1" customWidth="1"/>
    <col min="8456" max="8704" width="8.77734375" style="65"/>
    <col min="8705" max="8705" width="68.44140625" style="65" customWidth="1"/>
    <col min="8706" max="8706" width="8.77734375" style="65"/>
    <col min="8707" max="8708" width="18.21875" style="65" bestFit="1" customWidth="1"/>
    <col min="8709" max="8709" width="8.77734375" style="65"/>
    <col min="8710" max="8710" width="18.77734375" style="65" bestFit="1" customWidth="1"/>
    <col min="8711" max="8711" width="15" style="65" bestFit="1" customWidth="1"/>
    <col min="8712" max="8960" width="8.77734375" style="65"/>
    <col min="8961" max="8961" width="68.44140625" style="65" customWidth="1"/>
    <col min="8962" max="8962" width="8.77734375" style="65"/>
    <col min="8963" max="8964" width="18.21875" style="65" bestFit="1" customWidth="1"/>
    <col min="8965" max="8965" width="8.77734375" style="65"/>
    <col min="8966" max="8966" width="18.77734375" style="65" bestFit="1" customWidth="1"/>
    <col min="8967" max="8967" width="15" style="65" bestFit="1" customWidth="1"/>
    <col min="8968" max="9216" width="8.77734375" style="65"/>
    <col min="9217" max="9217" width="68.44140625" style="65" customWidth="1"/>
    <col min="9218" max="9218" width="8.77734375" style="65"/>
    <col min="9219" max="9220" width="18.21875" style="65" bestFit="1" customWidth="1"/>
    <col min="9221" max="9221" width="8.77734375" style="65"/>
    <col min="9222" max="9222" width="18.77734375" style="65" bestFit="1" customWidth="1"/>
    <col min="9223" max="9223" width="15" style="65" bestFit="1" customWidth="1"/>
    <col min="9224" max="9472" width="8.77734375" style="65"/>
    <col min="9473" max="9473" width="68.44140625" style="65" customWidth="1"/>
    <col min="9474" max="9474" width="8.77734375" style="65"/>
    <col min="9475" max="9476" width="18.21875" style="65" bestFit="1" customWidth="1"/>
    <col min="9477" max="9477" width="8.77734375" style="65"/>
    <col min="9478" max="9478" width="18.77734375" style="65" bestFit="1" customWidth="1"/>
    <col min="9479" max="9479" width="15" style="65" bestFit="1" customWidth="1"/>
    <col min="9480" max="9728" width="8.77734375" style="65"/>
    <col min="9729" max="9729" width="68.44140625" style="65" customWidth="1"/>
    <col min="9730" max="9730" width="8.77734375" style="65"/>
    <col min="9731" max="9732" width="18.21875" style="65" bestFit="1" customWidth="1"/>
    <col min="9733" max="9733" width="8.77734375" style="65"/>
    <col min="9734" max="9734" width="18.77734375" style="65" bestFit="1" customWidth="1"/>
    <col min="9735" max="9735" width="15" style="65" bestFit="1" customWidth="1"/>
    <col min="9736" max="9984" width="8.77734375" style="65"/>
    <col min="9985" max="9985" width="68.44140625" style="65" customWidth="1"/>
    <col min="9986" max="9986" width="8.77734375" style="65"/>
    <col min="9987" max="9988" width="18.21875" style="65" bestFit="1" customWidth="1"/>
    <col min="9989" max="9989" width="8.77734375" style="65"/>
    <col min="9990" max="9990" width="18.77734375" style="65" bestFit="1" customWidth="1"/>
    <col min="9991" max="9991" width="15" style="65" bestFit="1" customWidth="1"/>
    <col min="9992" max="10240" width="8.77734375" style="65"/>
    <col min="10241" max="10241" width="68.44140625" style="65" customWidth="1"/>
    <col min="10242" max="10242" width="8.77734375" style="65"/>
    <col min="10243" max="10244" width="18.21875" style="65" bestFit="1" customWidth="1"/>
    <col min="10245" max="10245" width="8.77734375" style="65"/>
    <col min="10246" max="10246" width="18.77734375" style="65" bestFit="1" customWidth="1"/>
    <col min="10247" max="10247" width="15" style="65" bestFit="1" customWidth="1"/>
    <col min="10248" max="10496" width="8.77734375" style="65"/>
    <col min="10497" max="10497" width="68.44140625" style="65" customWidth="1"/>
    <col min="10498" max="10498" width="8.77734375" style="65"/>
    <col min="10499" max="10500" width="18.21875" style="65" bestFit="1" customWidth="1"/>
    <col min="10501" max="10501" width="8.77734375" style="65"/>
    <col min="10502" max="10502" width="18.77734375" style="65" bestFit="1" customWidth="1"/>
    <col min="10503" max="10503" width="15" style="65" bestFit="1" customWidth="1"/>
    <col min="10504" max="10752" width="8.77734375" style="65"/>
    <col min="10753" max="10753" width="68.44140625" style="65" customWidth="1"/>
    <col min="10754" max="10754" width="8.77734375" style="65"/>
    <col min="10755" max="10756" width="18.21875" style="65" bestFit="1" customWidth="1"/>
    <col min="10757" max="10757" width="8.77734375" style="65"/>
    <col min="10758" max="10758" width="18.77734375" style="65" bestFit="1" customWidth="1"/>
    <col min="10759" max="10759" width="15" style="65" bestFit="1" customWidth="1"/>
    <col min="10760" max="11008" width="8.77734375" style="65"/>
    <col min="11009" max="11009" width="68.44140625" style="65" customWidth="1"/>
    <col min="11010" max="11010" width="8.77734375" style="65"/>
    <col min="11011" max="11012" width="18.21875" style="65" bestFit="1" customWidth="1"/>
    <col min="11013" max="11013" width="8.77734375" style="65"/>
    <col min="11014" max="11014" width="18.77734375" style="65" bestFit="1" customWidth="1"/>
    <col min="11015" max="11015" width="15" style="65" bestFit="1" customWidth="1"/>
    <col min="11016" max="11264" width="8.77734375" style="65"/>
    <col min="11265" max="11265" width="68.44140625" style="65" customWidth="1"/>
    <col min="11266" max="11266" width="8.77734375" style="65"/>
    <col min="11267" max="11268" width="18.21875" style="65" bestFit="1" customWidth="1"/>
    <col min="11269" max="11269" width="8.77734375" style="65"/>
    <col min="11270" max="11270" width="18.77734375" style="65" bestFit="1" customWidth="1"/>
    <col min="11271" max="11271" width="15" style="65" bestFit="1" customWidth="1"/>
    <col min="11272" max="11520" width="8.77734375" style="65"/>
    <col min="11521" max="11521" width="68.44140625" style="65" customWidth="1"/>
    <col min="11522" max="11522" width="8.77734375" style="65"/>
    <col min="11523" max="11524" width="18.21875" style="65" bestFit="1" customWidth="1"/>
    <col min="11525" max="11525" width="8.77734375" style="65"/>
    <col min="11526" max="11526" width="18.77734375" style="65" bestFit="1" customWidth="1"/>
    <col min="11527" max="11527" width="15" style="65" bestFit="1" customWidth="1"/>
    <col min="11528" max="11776" width="8.77734375" style="65"/>
    <col min="11777" max="11777" width="68.44140625" style="65" customWidth="1"/>
    <col min="11778" max="11778" width="8.77734375" style="65"/>
    <col min="11779" max="11780" width="18.21875" style="65" bestFit="1" customWidth="1"/>
    <col min="11781" max="11781" width="8.77734375" style="65"/>
    <col min="11782" max="11782" width="18.77734375" style="65" bestFit="1" customWidth="1"/>
    <col min="11783" max="11783" width="15" style="65" bestFit="1" customWidth="1"/>
    <col min="11784" max="12032" width="8.77734375" style="65"/>
    <col min="12033" max="12033" width="68.44140625" style="65" customWidth="1"/>
    <col min="12034" max="12034" width="8.77734375" style="65"/>
    <col min="12035" max="12036" width="18.21875" style="65" bestFit="1" customWidth="1"/>
    <col min="12037" max="12037" width="8.77734375" style="65"/>
    <col min="12038" max="12038" width="18.77734375" style="65" bestFit="1" customWidth="1"/>
    <col min="12039" max="12039" width="15" style="65" bestFit="1" customWidth="1"/>
    <col min="12040" max="12288" width="8.77734375" style="65"/>
    <col min="12289" max="12289" width="68.44140625" style="65" customWidth="1"/>
    <col min="12290" max="12290" width="8.77734375" style="65"/>
    <col min="12291" max="12292" width="18.21875" style="65" bestFit="1" customWidth="1"/>
    <col min="12293" max="12293" width="8.77734375" style="65"/>
    <col min="12294" max="12294" width="18.77734375" style="65" bestFit="1" customWidth="1"/>
    <col min="12295" max="12295" width="15" style="65" bestFit="1" customWidth="1"/>
    <col min="12296" max="12544" width="8.77734375" style="65"/>
    <col min="12545" max="12545" width="68.44140625" style="65" customWidth="1"/>
    <col min="12546" max="12546" width="8.77734375" style="65"/>
    <col min="12547" max="12548" width="18.21875" style="65" bestFit="1" customWidth="1"/>
    <col min="12549" max="12549" width="8.77734375" style="65"/>
    <col min="12550" max="12550" width="18.77734375" style="65" bestFit="1" customWidth="1"/>
    <col min="12551" max="12551" width="15" style="65" bestFit="1" customWidth="1"/>
    <col min="12552" max="12800" width="8.77734375" style="65"/>
    <col min="12801" max="12801" width="68.44140625" style="65" customWidth="1"/>
    <col min="12802" max="12802" width="8.77734375" style="65"/>
    <col min="12803" max="12804" width="18.21875" style="65" bestFit="1" customWidth="1"/>
    <col min="12805" max="12805" width="8.77734375" style="65"/>
    <col min="12806" max="12806" width="18.77734375" style="65" bestFit="1" customWidth="1"/>
    <col min="12807" max="12807" width="15" style="65" bestFit="1" customWidth="1"/>
    <col min="12808" max="13056" width="8.77734375" style="65"/>
    <col min="13057" max="13057" width="68.44140625" style="65" customWidth="1"/>
    <col min="13058" max="13058" width="8.77734375" style="65"/>
    <col min="13059" max="13060" width="18.21875" style="65" bestFit="1" customWidth="1"/>
    <col min="13061" max="13061" width="8.77734375" style="65"/>
    <col min="13062" max="13062" width="18.77734375" style="65" bestFit="1" customWidth="1"/>
    <col min="13063" max="13063" width="15" style="65" bestFit="1" customWidth="1"/>
    <col min="13064" max="13312" width="8.77734375" style="65"/>
    <col min="13313" max="13313" width="68.44140625" style="65" customWidth="1"/>
    <col min="13314" max="13314" width="8.77734375" style="65"/>
    <col min="13315" max="13316" width="18.21875" style="65" bestFit="1" customWidth="1"/>
    <col min="13317" max="13317" width="8.77734375" style="65"/>
    <col min="13318" max="13318" width="18.77734375" style="65" bestFit="1" customWidth="1"/>
    <col min="13319" max="13319" width="15" style="65" bestFit="1" customWidth="1"/>
    <col min="13320" max="13568" width="8.77734375" style="65"/>
    <col min="13569" max="13569" width="68.44140625" style="65" customWidth="1"/>
    <col min="13570" max="13570" width="8.77734375" style="65"/>
    <col min="13571" max="13572" width="18.21875" style="65" bestFit="1" customWidth="1"/>
    <col min="13573" max="13573" width="8.77734375" style="65"/>
    <col min="13574" max="13574" width="18.77734375" style="65" bestFit="1" customWidth="1"/>
    <col min="13575" max="13575" width="15" style="65" bestFit="1" customWidth="1"/>
    <col min="13576" max="13824" width="8.77734375" style="65"/>
    <col min="13825" max="13825" width="68.44140625" style="65" customWidth="1"/>
    <col min="13826" max="13826" width="8.77734375" style="65"/>
    <col min="13827" max="13828" width="18.21875" style="65" bestFit="1" customWidth="1"/>
    <col min="13829" max="13829" width="8.77734375" style="65"/>
    <col min="13830" max="13830" width="18.77734375" style="65" bestFit="1" customWidth="1"/>
    <col min="13831" max="13831" width="15" style="65" bestFit="1" customWidth="1"/>
    <col min="13832" max="14080" width="8.77734375" style="65"/>
    <col min="14081" max="14081" width="68.44140625" style="65" customWidth="1"/>
    <col min="14082" max="14082" width="8.77734375" style="65"/>
    <col min="14083" max="14084" width="18.21875" style="65" bestFit="1" customWidth="1"/>
    <col min="14085" max="14085" width="8.77734375" style="65"/>
    <col min="14086" max="14086" width="18.77734375" style="65" bestFit="1" customWidth="1"/>
    <col min="14087" max="14087" width="15" style="65" bestFit="1" customWidth="1"/>
    <col min="14088" max="14336" width="8.77734375" style="65"/>
    <col min="14337" max="14337" width="68.44140625" style="65" customWidth="1"/>
    <col min="14338" max="14338" width="8.77734375" style="65"/>
    <col min="14339" max="14340" width="18.21875" style="65" bestFit="1" customWidth="1"/>
    <col min="14341" max="14341" width="8.77734375" style="65"/>
    <col min="14342" max="14342" width="18.77734375" style="65" bestFit="1" customWidth="1"/>
    <col min="14343" max="14343" width="15" style="65" bestFit="1" customWidth="1"/>
    <col min="14344" max="14592" width="8.77734375" style="65"/>
    <col min="14593" max="14593" width="68.44140625" style="65" customWidth="1"/>
    <col min="14594" max="14594" width="8.77734375" style="65"/>
    <col min="14595" max="14596" width="18.21875" style="65" bestFit="1" customWidth="1"/>
    <col min="14597" max="14597" width="8.77734375" style="65"/>
    <col min="14598" max="14598" width="18.77734375" style="65" bestFit="1" customWidth="1"/>
    <col min="14599" max="14599" width="15" style="65" bestFit="1" customWidth="1"/>
    <col min="14600" max="14848" width="8.77734375" style="65"/>
    <col min="14849" max="14849" width="68.44140625" style="65" customWidth="1"/>
    <col min="14850" max="14850" width="8.77734375" style="65"/>
    <col min="14851" max="14852" width="18.21875" style="65" bestFit="1" customWidth="1"/>
    <col min="14853" max="14853" width="8.77734375" style="65"/>
    <col min="14854" max="14854" width="18.77734375" style="65" bestFit="1" customWidth="1"/>
    <col min="14855" max="14855" width="15" style="65" bestFit="1" customWidth="1"/>
    <col min="14856" max="15104" width="8.77734375" style="65"/>
    <col min="15105" max="15105" width="68.44140625" style="65" customWidth="1"/>
    <col min="15106" max="15106" width="8.77734375" style="65"/>
    <col min="15107" max="15108" width="18.21875" style="65" bestFit="1" customWidth="1"/>
    <col min="15109" max="15109" width="8.77734375" style="65"/>
    <col min="15110" max="15110" width="18.77734375" style="65" bestFit="1" customWidth="1"/>
    <col min="15111" max="15111" width="15" style="65" bestFit="1" customWidth="1"/>
    <col min="15112" max="15360" width="8.77734375" style="65"/>
    <col min="15361" max="15361" width="68.44140625" style="65" customWidth="1"/>
    <col min="15362" max="15362" width="8.77734375" style="65"/>
    <col min="15363" max="15364" width="18.21875" style="65" bestFit="1" customWidth="1"/>
    <col min="15365" max="15365" width="8.77734375" style="65"/>
    <col min="15366" max="15366" width="18.77734375" style="65" bestFit="1" customWidth="1"/>
    <col min="15367" max="15367" width="15" style="65" bestFit="1" customWidth="1"/>
    <col min="15368" max="15616" width="8.77734375" style="65"/>
    <col min="15617" max="15617" width="68.44140625" style="65" customWidth="1"/>
    <col min="15618" max="15618" width="8.77734375" style="65"/>
    <col min="15619" max="15620" width="18.21875" style="65" bestFit="1" customWidth="1"/>
    <col min="15621" max="15621" width="8.77734375" style="65"/>
    <col min="15622" max="15622" width="18.77734375" style="65" bestFit="1" customWidth="1"/>
    <col min="15623" max="15623" width="15" style="65" bestFit="1" customWidth="1"/>
    <col min="15624" max="15872" width="8.77734375" style="65"/>
    <col min="15873" max="15873" width="68.44140625" style="65" customWidth="1"/>
    <col min="15874" max="15874" width="8.77734375" style="65"/>
    <col min="15875" max="15876" width="18.21875" style="65" bestFit="1" customWidth="1"/>
    <col min="15877" max="15877" width="8.77734375" style="65"/>
    <col min="15878" max="15878" width="18.77734375" style="65" bestFit="1" customWidth="1"/>
    <col min="15879" max="15879" width="15" style="65" bestFit="1" customWidth="1"/>
    <col min="15880" max="16128" width="8.77734375" style="65"/>
    <col min="16129" max="16129" width="68.44140625" style="65" customWidth="1"/>
    <col min="16130" max="16130" width="8.77734375" style="65"/>
    <col min="16131" max="16132" width="18.21875" style="65" bestFit="1" customWidth="1"/>
    <col min="16133" max="16133" width="8.77734375" style="65"/>
    <col min="16134" max="16134" width="18.77734375" style="65" bestFit="1" customWidth="1"/>
    <col min="16135" max="16135" width="15" style="65" bestFit="1" customWidth="1"/>
    <col min="16136" max="16384" width="8.77734375" style="65"/>
  </cols>
  <sheetData>
    <row r="1" spans="1:9" ht="14.85" customHeight="1" x14ac:dyDescent="0.3">
      <c r="A1" s="336" t="e" vm="1">
        <v>#VALUE!</v>
      </c>
      <c r="B1" s="336"/>
      <c r="C1" s="336"/>
      <c r="D1" s="336"/>
    </row>
    <row r="2" spans="1:9" x14ac:dyDescent="0.3">
      <c r="A2" s="336"/>
      <c r="B2" s="336"/>
      <c r="C2" s="336"/>
      <c r="D2" s="336"/>
    </row>
    <row r="3" spans="1:9" x14ac:dyDescent="0.3">
      <c r="A3" s="336"/>
      <c r="B3" s="336"/>
      <c r="C3" s="336"/>
      <c r="D3" s="336"/>
    </row>
    <row r="4" spans="1:9" x14ac:dyDescent="0.3">
      <c r="A4" s="336"/>
      <c r="B4" s="336"/>
      <c r="C4" s="336"/>
      <c r="D4" s="336"/>
    </row>
    <row r="5" spans="1:9" x14ac:dyDescent="0.3">
      <c r="A5" s="336"/>
      <c r="B5" s="336"/>
      <c r="C5" s="336"/>
      <c r="D5" s="336"/>
    </row>
    <row r="6" spans="1:9" x14ac:dyDescent="0.3">
      <c r="A6" s="336"/>
      <c r="B6" s="336"/>
      <c r="C6" s="336"/>
      <c r="D6" s="336"/>
    </row>
    <row r="7" spans="1:9" x14ac:dyDescent="0.3">
      <c r="A7" s="337" t="s">
        <v>271</v>
      </c>
      <c r="B7" s="337"/>
      <c r="C7" s="337"/>
      <c r="D7" s="337"/>
    </row>
    <row r="8" spans="1:9" x14ac:dyDescent="0.3">
      <c r="A8" s="337" t="s">
        <v>78</v>
      </c>
      <c r="B8" s="337"/>
      <c r="C8" s="337"/>
      <c r="D8" s="337"/>
    </row>
    <row r="9" spans="1:9" x14ac:dyDescent="0.3">
      <c r="A9" s="337" t="s">
        <v>277</v>
      </c>
      <c r="B9" s="337"/>
      <c r="C9" s="337"/>
      <c r="D9" s="337"/>
    </row>
    <row r="10" spans="1:9" s="67" customFormat="1" x14ac:dyDescent="0.3">
      <c r="A10" s="338"/>
      <c r="B10" s="338"/>
      <c r="C10" s="338"/>
      <c r="D10" s="338"/>
      <c r="F10" s="68"/>
      <c r="G10" s="68"/>
    </row>
    <row r="11" spans="1:9" s="67" customFormat="1" x14ac:dyDescent="0.3">
      <c r="C11" s="332" t="s">
        <v>1</v>
      </c>
      <c r="D11" s="332"/>
      <c r="F11" s="68"/>
      <c r="G11" s="68"/>
    </row>
    <row r="12" spans="1:9" ht="26.1" customHeight="1" x14ac:dyDescent="0.3">
      <c r="A12" s="69" t="s">
        <v>2</v>
      </c>
      <c r="B12" s="70" t="s">
        <v>3</v>
      </c>
      <c r="C12" s="69" t="s">
        <v>278</v>
      </c>
      <c r="D12" s="69" t="s">
        <v>279</v>
      </c>
      <c r="F12"/>
      <c r="G12"/>
      <c r="H12"/>
      <c r="I12"/>
    </row>
    <row r="13" spans="1:9" ht="14.4" x14ac:dyDescent="0.3">
      <c r="A13" s="71"/>
      <c r="B13" s="71"/>
      <c r="C13" s="72"/>
      <c r="D13" s="72"/>
      <c r="F13"/>
      <c r="G13"/>
      <c r="H13"/>
      <c r="I13"/>
    </row>
    <row r="14" spans="1:9" ht="14.4" x14ac:dyDescent="0.3">
      <c r="A14" s="73" t="s">
        <v>79</v>
      </c>
      <c r="B14" s="74" t="s">
        <v>290</v>
      </c>
      <c r="C14" s="75">
        <v>39926493536.960007</v>
      </c>
      <c r="D14" s="75">
        <v>29628518109.849998</v>
      </c>
      <c r="F14"/>
      <c r="G14"/>
      <c r="H14"/>
      <c r="I14"/>
    </row>
    <row r="15" spans="1:9" ht="14.4" x14ac:dyDescent="0.3">
      <c r="A15" s="71"/>
      <c r="B15" s="76"/>
      <c r="C15" s="77"/>
      <c r="D15" s="77"/>
      <c r="F15"/>
      <c r="G15"/>
      <c r="H15"/>
      <c r="I15"/>
    </row>
    <row r="16" spans="1:9" ht="27.6" x14ac:dyDescent="0.3">
      <c r="A16" s="73" t="s">
        <v>80</v>
      </c>
      <c r="B16" s="290" t="s">
        <v>291</v>
      </c>
      <c r="C16" s="75">
        <v>39926493536.959999</v>
      </c>
      <c r="D16" s="75">
        <v>30071323358.449997</v>
      </c>
      <c r="F16"/>
      <c r="G16"/>
      <c r="H16"/>
      <c r="I16"/>
    </row>
    <row r="17" spans="1:9" ht="14.4" x14ac:dyDescent="0.3">
      <c r="A17" s="78"/>
      <c r="B17" s="76"/>
      <c r="C17" s="79"/>
      <c r="D17" s="79"/>
      <c r="F17"/>
      <c r="G17"/>
      <c r="H17"/>
      <c r="I17"/>
    </row>
    <row r="18" spans="1:9" ht="14.4" x14ac:dyDescent="0.3">
      <c r="A18" s="80" t="s">
        <v>81</v>
      </c>
      <c r="B18" s="74"/>
      <c r="C18" s="75">
        <f>C14-C16</f>
        <v>0</v>
      </c>
      <c r="D18" s="75">
        <f>D14-D16</f>
        <v>-442805248.59999847</v>
      </c>
      <c r="F18"/>
      <c r="G18"/>
      <c r="H18"/>
      <c r="I18"/>
    </row>
    <row r="19" spans="1:9" ht="14.4" x14ac:dyDescent="0.3">
      <c r="A19" s="78"/>
      <c r="B19" s="76"/>
      <c r="C19" s="79"/>
      <c r="D19" s="79"/>
      <c r="F19"/>
      <c r="G19"/>
      <c r="H19"/>
      <c r="I19"/>
    </row>
    <row r="20" spans="1:9" ht="27.6" x14ac:dyDescent="0.3">
      <c r="A20" s="73" t="s">
        <v>82</v>
      </c>
      <c r="B20" s="290" t="s">
        <v>292</v>
      </c>
      <c r="C20" s="75">
        <v>68416103110.140175</v>
      </c>
      <c r="D20" s="75">
        <v>39926493536.960007</v>
      </c>
      <c r="F20"/>
      <c r="G20"/>
      <c r="H20"/>
      <c r="I20"/>
    </row>
    <row r="21" spans="1:9" ht="14.4" x14ac:dyDescent="0.3">
      <c r="A21" s="71"/>
      <c r="B21" s="76"/>
      <c r="C21" s="77"/>
      <c r="D21" s="77"/>
      <c r="F21"/>
      <c r="G21"/>
      <c r="H21"/>
      <c r="I21"/>
    </row>
    <row r="22" spans="1:9" ht="14.4" x14ac:dyDescent="0.3">
      <c r="A22" s="80" t="s">
        <v>83</v>
      </c>
      <c r="B22" s="74"/>
      <c r="C22" s="75">
        <f>C18+C20</f>
        <v>68416103110.140175</v>
      </c>
      <c r="D22" s="75">
        <f>D18+D20</f>
        <v>39483688288.360008</v>
      </c>
      <c r="F22"/>
      <c r="G22"/>
      <c r="H22"/>
      <c r="I22"/>
    </row>
    <row r="23" spans="1:9" ht="14.4" hidden="1" x14ac:dyDescent="0.3">
      <c r="A23" s="71"/>
      <c r="B23" s="81"/>
      <c r="C23" s="77"/>
      <c r="D23" s="77"/>
      <c r="F23"/>
      <c r="G23"/>
      <c r="H23"/>
      <c r="I23"/>
    </row>
    <row r="24" spans="1:9" ht="14.4" hidden="1" x14ac:dyDescent="0.3">
      <c r="A24" s="71" t="s">
        <v>84</v>
      </c>
      <c r="B24" s="81"/>
      <c r="C24" s="77" t="e">
        <f>INDEX(face_neraca,MATCH(A24,nama_akun_neraca,0),8)</f>
        <v>#NAME?</v>
      </c>
      <c r="D24" s="77" t="e">
        <f>INDEX(face_neraca,MATCH(A24,nama_akun_neraca,0),2)</f>
        <v>#NAME?</v>
      </c>
      <c r="F24"/>
      <c r="G24"/>
      <c r="H24"/>
      <c r="I24"/>
    </row>
    <row r="25" spans="1:9" ht="14.4" hidden="1" x14ac:dyDescent="0.3">
      <c r="A25" s="71"/>
      <c r="B25" s="76"/>
      <c r="C25" s="77"/>
      <c r="D25" s="77"/>
      <c r="F25"/>
      <c r="G25"/>
      <c r="H25"/>
      <c r="I25"/>
    </row>
    <row r="26" spans="1:9" ht="14.4" hidden="1" x14ac:dyDescent="0.3">
      <c r="A26" s="71" t="s">
        <v>85</v>
      </c>
      <c r="B26" s="82"/>
      <c r="C26" s="77" t="e">
        <f>INDEX(face_neraca,MATCH(A26,nama_akun_neraca,0),8)</f>
        <v>#NAME?</v>
      </c>
      <c r="D26" s="77" t="e">
        <f>INDEX(face_neraca,MATCH(A26,nama_akun_neraca,0),2)</f>
        <v>#NAME?</v>
      </c>
      <c r="F26"/>
      <c r="G26"/>
      <c r="H26"/>
      <c r="I26"/>
    </row>
    <row r="27" spans="1:9" ht="14.4" x14ac:dyDescent="0.3">
      <c r="A27" s="71"/>
      <c r="B27" s="82"/>
      <c r="C27" s="77"/>
      <c r="D27" s="77"/>
      <c r="F27"/>
      <c r="G27"/>
      <c r="H27"/>
      <c r="I27"/>
    </row>
    <row r="28" spans="1:9" ht="27.6" x14ac:dyDescent="0.3">
      <c r="A28" s="73" t="s">
        <v>86</v>
      </c>
      <c r="B28" s="290" t="s">
        <v>293</v>
      </c>
      <c r="C28" s="75">
        <v>-220637.44</v>
      </c>
      <c r="D28" s="75">
        <v>442805248.60000002</v>
      </c>
      <c r="F28"/>
      <c r="G28"/>
      <c r="H28"/>
      <c r="I28"/>
    </row>
    <row r="29" spans="1:9" ht="14.4" x14ac:dyDescent="0.3">
      <c r="A29" s="71"/>
      <c r="B29" s="82"/>
      <c r="C29" s="77"/>
      <c r="D29" s="77"/>
      <c r="F29"/>
      <c r="G29"/>
      <c r="H29"/>
      <c r="I29"/>
    </row>
    <row r="30" spans="1:9" ht="14.4" hidden="1" x14ac:dyDescent="0.3">
      <c r="A30" s="73" t="s">
        <v>87</v>
      </c>
      <c r="B30" s="74"/>
      <c r="C30" s="75">
        <v>0</v>
      </c>
      <c r="D30" s="75">
        <v>0</v>
      </c>
      <c r="F30"/>
      <c r="G30"/>
      <c r="H30"/>
      <c r="I30"/>
    </row>
    <row r="31" spans="1:9" ht="14.4" hidden="1" x14ac:dyDescent="0.3">
      <c r="A31" s="71"/>
      <c r="B31" s="76"/>
      <c r="C31" s="77"/>
      <c r="D31" s="77"/>
      <c r="F31"/>
      <c r="G31"/>
      <c r="H31"/>
      <c r="I31"/>
    </row>
    <row r="32" spans="1:9" ht="26.1" customHeight="1" x14ac:dyDescent="0.3">
      <c r="A32" s="69" t="s">
        <v>88</v>
      </c>
      <c r="B32" s="83" t="s">
        <v>359</v>
      </c>
      <c r="C32" s="84">
        <v>68415882472.70018</v>
      </c>
      <c r="D32" s="84">
        <v>39926493536.960007</v>
      </c>
      <c r="E32" s="284"/>
      <c r="F32"/>
      <c r="G32"/>
      <c r="H32"/>
      <c r="I32"/>
    </row>
    <row r="33" spans="1:9" ht="5.85" customHeight="1" x14ac:dyDescent="0.3">
      <c r="A33" s="85"/>
      <c r="B33" s="86"/>
      <c r="C33" s="87"/>
      <c r="D33" s="88"/>
      <c r="F33"/>
      <c r="G33"/>
      <c r="H33"/>
      <c r="I33"/>
    </row>
    <row r="34" spans="1:9" ht="17.100000000000001" customHeight="1" x14ac:dyDescent="0.3">
      <c r="A34" s="333" t="s">
        <v>77</v>
      </c>
      <c r="B34" s="333"/>
      <c r="C34" s="333"/>
      <c r="D34" s="333"/>
      <c r="F34"/>
      <c r="G34"/>
      <c r="H34"/>
      <c r="I34"/>
    </row>
    <row r="35" spans="1:9" ht="17.100000000000001" customHeight="1" x14ac:dyDescent="0.3">
      <c r="A35" s="333"/>
      <c r="B35" s="333"/>
      <c r="C35" s="333"/>
      <c r="D35" s="333"/>
      <c r="F35"/>
      <c r="G35"/>
      <c r="H35"/>
      <c r="I35"/>
    </row>
    <row r="36" spans="1:9" ht="17.100000000000001" customHeight="1" x14ac:dyDescent="0.3">
      <c r="A36" s="89"/>
      <c r="B36" s="89"/>
      <c r="C36" s="89"/>
      <c r="D36" s="89"/>
      <c r="F36"/>
      <c r="G36"/>
      <c r="H36"/>
      <c r="I36"/>
    </row>
    <row r="37" spans="1:9" ht="14.4" x14ac:dyDescent="0.3">
      <c r="C37" s="90"/>
      <c r="F37"/>
      <c r="G37"/>
      <c r="H37"/>
      <c r="I37"/>
    </row>
    <row r="38" spans="1:9" ht="17.399999999999999" x14ac:dyDescent="0.3">
      <c r="C38" s="334" t="s">
        <v>276</v>
      </c>
      <c r="D38" s="335"/>
      <c r="F38"/>
      <c r="G38"/>
      <c r="H38"/>
      <c r="I38"/>
    </row>
    <row r="39" spans="1:9" ht="17.399999999999999" x14ac:dyDescent="0.3">
      <c r="C39" s="91"/>
      <c r="D39" s="91"/>
      <c r="F39"/>
      <c r="G39"/>
      <c r="H39"/>
      <c r="I39"/>
    </row>
    <row r="40" spans="1:9" ht="17.399999999999999" x14ac:dyDescent="0.3">
      <c r="C40" s="91"/>
      <c r="D40" s="91"/>
      <c r="F40"/>
      <c r="G40"/>
      <c r="H40"/>
      <c r="I40"/>
    </row>
    <row r="41" spans="1:9" ht="17.399999999999999" hidden="1" x14ac:dyDescent="0.3">
      <c r="C41" s="91"/>
      <c r="D41" s="91"/>
      <c r="F41"/>
      <c r="G41"/>
      <c r="H41"/>
      <c r="I41"/>
    </row>
    <row r="42" spans="1:9" ht="17.399999999999999" x14ac:dyDescent="0.3">
      <c r="C42" s="91"/>
      <c r="D42" s="91"/>
      <c r="F42"/>
      <c r="G42"/>
      <c r="H42"/>
      <c r="I42"/>
    </row>
    <row r="43" spans="1:9" ht="17.399999999999999" x14ac:dyDescent="0.3">
      <c r="C43" s="335"/>
      <c r="D43" s="335"/>
      <c r="F43"/>
      <c r="G43"/>
      <c r="H43"/>
      <c r="I43"/>
    </row>
    <row r="44" spans="1:9" ht="17.399999999999999" x14ac:dyDescent="0.3">
      <c r="C44" s="334">
        <v>0</v>
      </c>
      <c r="D44" s="335"/>
      <c r="F44"/>
      <c r="G44"/>
      <c r="H44"/>
      <c r="I44"/>
    </row>
    <row r="45" spans="1:9" ht="14.4" x14ac:dyDescent="0.3">
      <c r="C45" s="85"/>
      <c r="D45" s="85"/>
      <c r="F45"/>
      <c r="G45"/>
      <c r="H45"/>
      <c r="I45"/>
    </row>
    <row r="46" spans="1:9" ht="14.4" x14ac:dyDescent="0.3">
      <c r="F46"/>
      <c r="G46"/>
      <c r="H46"/>
      <c r="I46"/>
    </row>
    <row r="47" spans="1:9" ht="14.4" x14ac:dyDescent="0.3">
      <c r="F47"/>
      <c r="G47"/>
      <c r="H47"/>
      <c r="I47"/>
    </row>
  </sheetData>
  <mergeCells count="10">
    <mergeCell ref="A34:D35"/>
    <mergeCell ref="C38:D38"/>
    <mergeCell ref="C43:D43"/>
    <mergeCell ref="C44:D44"/>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80" fitToHeight="0" orientation="portrait" useFirstPageNumber="1" r:id="rId1"/>
  <headerFooter scaleWithDoc="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65214-8CB0-409D-8220-17B0D1EEE0E1}">
  <sheetPr codeName="Sheet15">
    <pageSetUpPr fitToPage="1"/>
  </sheetPr>
  <dimension ref="A1:H122"/>
  <sheetViews>
    <sheetView view="pageBreakPreview" topLeftCell="A12" zoomScale="105" zoomScaleNormal="84" zoomScaleSheetLayoutView="145" workbookViewId="0">
      <selection activeCell="A12" sqref="A1:XFD1048576"/>
    </sheetView>
  </sheetViews>
  <sheetFormatPr defaultColWidth="9.21875" defaultRowHeight="13.8" x14ac:dyDescent="0.3"/>
  <cols>
    <col min="1" max="1" width="43.5546875" style="140" customWidth="1"/>
    <col min="2" max="2" width="11" style="140" customWidth="1"/>
    <col min="3" max="3" width="27.21875" style="136" customWidth="1"/>
    <col min="4" max="4" width="27" style="137" bestFit="1" customWidth="1"/>
    <col min="5" max="5" width="28" style="92" bestFit="1" customWidth="1"/>
    <col min="6" max="6" width="22.21875" style="92" bestFit="1" customWidth="1"/>
    <col min="7" max="8" width="22.21875" style="93" bestFit="1" customWidth="1"/>
    <col min="9" max="9" width="20.44140625" style="93" bestFit="1" customWidth="1"/>
    <col min="10" max="10" width="14.44140625" style="93" bestFit="1" customWidth="1"/>
    <col min="11" max="11" width="26" style="93" customWidth="1"/>
    <col min="12" max="252" width="9.21875" style="93"/>
    <col min="253" max="253" width="2.44140625" style="93" customWidth="1"/>
    <col min="254" max="255" width="1.44140625" style="93" customWidth="1"/>
    <col min="256" max="256" width="2.21875" style="93" customWidth="1"/>
    <col min="257" max="257" width="50.44140625" style="93" bestFit="1" customWidth="1"/>
    <col min="258" max="258" width="12.21875" style="93" customWidth="1"/>
    <col min="259" max="259" width="21.77734375" style="93" bestFit="1" customWidth="1"/>
    <col min="260" max="260" width="21.21875" style="93" bestFit="1" customWidth="1"/>
    <col min="261" max="261" width="20" style="93" customWidth="1"/>
    <col min="262" max="262" width="18.77734375" style="93" customWidth="1"/>
    <col min="263" max="263" width="16.77734375" style="93" bestFit="1" customWidth="1"/>
    <col min="264" max="264" width="20.44140625" style="93" customWidth="1"/>
    <col min="265" max="265" width="20.44140625" style="93" bestFit="1" customWidth="1"/>
    <col min="266" max="266" width="14.44140625" style="93" bestFit="1" customWidth="1"/>
    <col min="267" max="267" width="26" style="93" customWidth="1"/>
    <col min="268" max="508" width="9.21875" style="93"/>
    <col min="509" max="509" width="2.44140625" style="93" customWidth="1"/>
    <col min="510" max="511" width="1.44140625" style="93" customWidth="1"/>
    <col min="512" max="512" width="2.21875" style="93" customWidth="1"/>
    <col min="513" max="513" width="50.44140625" style="93" bestFit="1" customWidth="1"/>
    <col min="514" max="514" width="12.21875" style="93" customWidth="1"/>
    <col min="515" max="515" width="21.77734375" style="93" bestFit="1" customWidth="1"/>
    <col min="516" max="516" width="21.21875" style="93" bestFit="1" customWidth="1"/>
    <col min="517" max="517" width="20" style="93" customWidth="1"/>
    <col min="518" max="518" width="18.77734375" style="93" customWidth="1"/>
    <col min="519" max="519" width="16.77734375" style="93" bestFit="1" customWidth="1"/>
    <col min="520" max="520" width="20.44140625" style="93" customWidth="1"/>
    <col min="521" max="521" width="20.44140625" style="93" bestFit="1" customWidth="1"/>
    <col min="522" max="522" width="14.44140625" style="93" bestFit="1" customWidth="1"/>
    <col min="523" max="523" width="26" style="93" customWidth="1"/>
    <col min="524" max="764" width="9.21875" style="93"/>
    <col min="765" max="765" width="2.44140625" style="93" customWidth="1"/>
    <col min="766" max="767" width="1.44140625" style="93" customWidth="1"/>
    <col min="768" max="768" width="2.21875" style="93" customWidth="1"/>
    <col min="769" max="769" width="50.44140625" style="93" bestFit="1" customWidth="1"/>
    <col min="770" max="770" width="12.21875" style="93" customWidth="1"/>
    <col min="771" max="771" width="21.77734375" style="93" bestFit="1" customWidth="1"/>
    <col min="772" max="772" width="21.21875" style="93" bestFit="1" customWidth="1"/>
    <col min="773" max="773" width="20" style="93" customWidth="1"/>
    <col min="774" max="774" width="18.77734375" style="93" customWidth="1"/>
    <col min="775" max="775" width="16.77734375" style="93" bestFit="1" customWidth="1"/>
    <col min="776" max="776" width="20.44140625" style="93" customWidth="1"/>
    <col min="777" max="777" width="20.44140625" style="93" bestFit="1" customWidth="1"/>
    <col min="778" max="778" width="14.44140625" style="93" bestFit="1" customWidth="1"/>
    <col min="779" max="779" width="26" style="93" customWidth="1"/>
    <col min="780" max="1020" width="9.21875" style="93"/>
    <col min="1021" max="1021" width="2.44140625" style="93" customWidth="1"/>
    <col min="1022" max="1023" width="1.44140625" style="93" customWidth="1"/>
    <col min="1024" max="1024" width="2.21875" style="93" customWidth="1"/>
    <col min="1025" max="1025" width="50.44140625" style="93" bestFit="1" customWidth="1"/>
    <col min="1026" max="1026" width="12.21875" style="93" customWidth="1"/>
    <col min="1027" max="1027" width="21.77734375" style="93" bestFit="1" customWidth="1"/>
    <col min="1028" max="1028" width="21.21875" style="93" bestFit="1" customWidth="1"/>
    <col min="1029" max="1029" width="20" style="93" customWidth="1"/>
    <col min="1030" max="1030" width="18.77734375" style="93" customWidth="1"/>
    <col min="1031" max="1031" width="16.77734375" style="93" bestFit="1" customWidth="1"/>
    <col min="1032" max="1032" width="20.44140625" style="93" customWidth="1"/>
    <col min="1033" max="1033" width="20.44140625" style="93" bestFit="1" customWidth="1"/>
    <col min="1034" max="1034" width="14.44140625" style="93" bestFit="1" customWidth="1"/>
    <col min="1035" max="1035" width="26" style="93" customWidth="1"/>
    <col min="1036" max="1276" width="9.21875" style="93"/>
    <col min="1277" max="1277" width="2.44140625" style="93" customWidth="1"/>
    <col min="1278" max="1279" width="1.44140625" style="93" customWidth="1"/>
    <col min="1280" max="1280" width="2.21875" style="93" customWidth="1"/>
    <col min="1281" max="1281" width="50.44140625" style="93" bestFit="1" customWidth="1"/>
    <col min="1282" max="1282" width="12.21875" style="93" customWidth="1"/>
    <col min="1283" max="1283" width="21.77734375" style="93" bestFit="1" customWidth="1"/>
    <col min="1284" max="1284" width="21.21875" style="93" bestFit="1" customWidth="1"/>
    <col min="1285" max="1285" width="20" style="93" customWidth="1"/>
    <col min="1286" max="1286" width="18.77734375" style="93" customWidth="1"/>
    <col min="1287" max="1287" width="16.77734375" style="93" bestFit="1" customWidth="1"/>
    <col min="1288" max="1288" width="20.44140625" style="93" customWidth="1"/>
    <col min="1289" max="1289" width="20.44140625" style="93" bestFit="1" customWidth="1"/>
    <col min="1290" max="1290" width="14.44140625" style="93" bestFit="1" customWidth="1"/>
    <col min="1291" max="1291" width="26" style="93" customWidth="1"/>
    <col min="1292" max="1532" width="9.21875" style="93"/>
    <col min="1533" max="1533" width="2.44140625" style="93" customWidth="1"/>
    <col min="1534" max="1535" width="1.44140625" style="93" customWidth="1"/>
    <col min="1536" max="1536" width="2.21875" style="93" customWidth="1"/>
    <col min="1537" max="1537" width="50.44140625" style="93" bestFit="1" customWidth="1"/>
    <col min="1538" max="1538" width="12.21875" style="93" customWidth="1"/>
    <col min="1539" max="1539" width="21.77734375" style="93" bestFit="1" customWidth="1"/>
    <col min="1540" max="1540" width="21.21875" style="93" bestFit="1" customWidth="1"/>
    <col min="1541" max="1541" width="20" style="93" customWidth="1"/>
    <col min="1542" max="1542" width="18.77734375" style="93" customWidth="1"/>
    <col min="1543" max="1543" width="16.77734375" style="93" bestFit="1" customWidth="1"/>
    <col min="1544" max="1544" width="20.44140625" style="93" customWidth="1"/>
    <col min="1545" max="1545" width="20.44140625" style="93" bestFit="1" customWidth="1"/>
    <col min="1546" max="1546" width="14.44140625" style="93" bestFit="1" customWidth="1"/>
    <col min="1547" max="1547" width="26" style="93" customWidth="1"/>
    <col min="1548" max="1788" width="9.21875" style="93"/>
    <col min="1789" max="1789" width="2.44140625" style="93" customWidth="1"/>
    <col min="1790" max="1791" width="1.44140625" style="93" customWidth="1"/>
    <col min="1792" max="1792" width="2.21875" style="93" customWidth="1"/>
    <col min="1793" max="1793" width="50.44140625" style="93" bestFit="1" customWidth="1"/>
    <col min="1794" max="1794" width="12.21875" style="93" customWidth="1"/>
    <col min="1795" max="1795" width="21.77734375" style="93" bestFit="1" customWidth="1"/>
    <col min="1796" max="1796" width="21.21875" style="93" bestFit="1" customWidth="1"/>
    <col min="1797" max="1797" width="20" style="93" customWidth="1"/>
    <col min="1798" max="1798" width="18.77734375" style="93" customWidth="1"/>
    <col min="1799" max="1799" width="16.77734375" style="93" bestFit="1" customWidth="1"/>
    <col min="1800" max="1800" width="20.44140625" style="93" customWidth="1"/>
    <col min="1801" max="1801" width="20.44140625" style="93" bestFit="1" customWidth="1"/>
    <col min="1802" max="1802" width="14.44140625" style="93" bestFit="1" customWidth="1"/>
    <col min="1803" max="1803" width="26" style="93" customWidth="1"/>
    <col min="1804" max="2044" width="9.21875" style="93"/>
    <col min="2045" max="2045" width="2.44140625" style="93" customWidth="1"/>
    <col min="2046" max="2047" width="1.44140625" style="93" customWidth="1"/>
    <col min="2048" max="2048" width="2.21875" style="93" customWidth="1"/>
    <col min="2049" max="2049" width="50.44140625" style="93" bestFit="1" customWidth="1"/>
    <col min="2050" max="2050" width="12.21875" style="93" customWidth="1"/>
    <col min="2051" max="2051" width="21.77734375" style="93" bestFit="1" customWidth="1"/>
    <col min="2052" max="2052" width="21.21875" style="93" bestFit="1" customWidth="1"/>
    <col min="2053" max="2053" width="20" style="93" customWidth="1"/>
    <col min="2054" max="2054" width="18.77734375" style="93" customWidth="1"/>
    <col min="2055" max="2055" width="16.77734375" style="93" bestFit="1" customWidth="1"/>
    <col min="2056" max="2056" width="20.44140625" style="93" customWidth="1"/>
    <col min="2057" max="2057" width="20.44140625" style="93" bestFit="1" customWidth="1"/>
    <col min="2058" max="2058" width="14.44140625" style="93" bestFit="1" customWidth="1"/>
    <col min="2059" max="2059" width="26" style="93" customWidth="1"/>
    <col min="2060" max="2300" width="9.21875" style="93"/>
    <col min="2301" max="2301" width="2.44140625" style="93" customWidth="1"/>
    <col min="2302" max="2303" width="1.44140625" style="93" customWidth="1"/>
    <col min="2304" max="2304" width="2.21875" style="93" customWidth="1"/>
    <col min="2305" max="2305" width="50.44140625" style="93" bestFit="1" customWidth="1"/>
    <col min="2306" max="2306" width="12.21875" style="93" customWidth="1"/>
    <col min="2307" max="2307" width="21.77734375" style="93" bestFit="1" customWidth="1"/>
    <col min="2308" max="2308" width="21.21875" style="93" bestFit="1" customWidth="1"/>
    <col min="2309" max="2309" width="20" style="93" customWidth="1"/>
    <col min="2310" max="2310" width="18.77734375" style="93" customWidth="1"/>
    <col min="2311" max="2311" width="16.77734375" style="93" bestFit="1" customWidth="1"/>
    <col min="2312" max="2312" width="20.44140625" style="93" customWidth="1"/>
    <col min="2313" max="2313" width="20.44140625" style="93" bestFit="1" customWidth="1"/>
    <col min="2314" max="2314" width="14.44140625" style="93" bestFit="1" customWidth="1"/>
    <col min="2315" max="2315" width="26" style="93" customWidth="1"/>
    <col min="2316" max="2556" width="9.21875" style="93"/>
    <col min="2557" max="2557" width="2.44140625" style="93" customWidth="1"/>
    <col min="2558" max="2559" width="1.44140625" style="93" customWidth="1"/>
    <col min="2560" max="2560" width="2.21875" style="93" customWidth="1"/>
    <col min="2561" max="2561" width="50.44140625" style="93" bestFit="1" customWidth="1"/>
    <col min="2562" max="2562" width="12.21875" style="93" customWidth="1"/>
    <col min="2563" max="2563" width="21.77734375" style="93" bestFit="1" customWidth="1"/>
    <col min="2564" max="2564" width="21.21875" style="93" bestFit="1" customWidth="1"/>
    <col min="2565" max="2565" width="20" style="93" customWidth="1"/>
    <col min="2566" max="2566" width="18.77734375" style="93" customWidth="1"/>
    <col min="2567" max="2567" width="16.77734375" style="93" bestFit="1" customWidth="1"/>
    <col min="2568" max="2568" width="20.44140625" style="93" customWidth="1"/>
    <col min="2569" max="2569" width="20.44140625" style="93" bestFit="1" customWidth="1"/>
    <col min="2570" max="2570" width="14.44140625" style="93" bestFit="1" customWidth="1"/>
    <col min="2571" max="2571" width="26" style="93" customWidth="1"/>
    <col min="2572" max="2812" width="9.21875" style="93"/>
    <col min="2813" max="2813" width="2.44140625" style="93" customWidth="1"/>
    <col min="2814" max="2815" width="1.44140625" style="93" customWidth="1"/>
    <col min="2816" max="2816" width="2.21875" style="93" customWidth="1"/>
    <col min="2817" max="2817" width="50.44140625" style="93" bestFit="1" customWidth="1"/>
    <col min="2818" max="2818" width="12.21875" style="93" customWidth="1"/>
    <col min="2819" max="2819" width="21.77734375" style="93" bestFit="1" customWidth="1"/>
    <col min="2820" max="2820" width="21.21875" style="93" bestFit="1" customWidth="1"/>
    <col min="2821" max="2821" width="20" style="93" customWidth="1"/>
    <col min="2822" max="2822" width="18.77734375" style="93" customWidth="1"/>
    <col min="2823" max="2823" width="16.77734375" style="93" bestFit="1" customWidth="1"/>
    <col min="2824" max="2824" width="20.44140625" style="93" customWidth="1"/>
    <col min="2825" max="2825" width="20.44140625" style="93" bestFit="1" customWidth="1"/>
    <col min="2826" max="2826" width="14.44140625" style="93" bestFit="1" customWidth="1"/>
    <col min="2827" max="2827" width="26" style="93" customWidth="1"/>
    <col min="2828" max="3068" width="9.21875" style="93"/>
    <col min="3069" max="3069" width="2.44140625" style="93" customWidth="1"/>
    <col min="3070" max="3071" width="1.44140625" style="93" customWidth="1"/>
    <col min="3072" max="3072" width="2.21875" style="93" customWidth="1"/>
    <col min="3073" max="3073" width="50.44140625" style="93" bestFit="1" customWidth="1"/>
    <col min="3074" max="3074" width="12.21875" style="93" customWidth="1"/>
    <col min="3075" max="3075" width="21.77734375" style="93" bestFit="1" customWidth="1"/>
    <col min="3076" max="3076" width="21.21875" style="93" bestFit="1" customWidth="1"/>
    <col min="3077" max="3077" width="20" style="93" customWidth="1"/>
    <col min="3078" max="3078" width="18.77734375" style="93" customWidth="1"/>
    <col min="3079" max="3079" width="16.77734375" style="93" bestFit="1" customWidth="1"/>
    <col min="3080" max="3080" width="20.44140625" style="93" customWidth="1"/>
    <col min="3081" max="3081" width="20.44140625" style="93" bestFit="1" customWidth="1"/>
    <col min="3082" max="3082" width="14.44140625" style="93" bestFit="1" customWidth="1"/>
    <col min="3083" max="3083" width="26" style="93" customWidth="1"/>
    <col min="3084" max="3324" width="9.21875" style="93"/>
    <col min="3325" max="3325" width="2.44140625" style="93" customWidth="1"/>
    <col min="3326" max="3327" width="1.44140625" style="93" customWidth="1"/>
    <col min="3328" max="3328" width="2.21875" style="93" customWidth="1"/>
    <col min="3329" max="3329" width="50.44140625" style="93" bestFit="1" customWidth="1"/>
    <col min="3330" max="3330" width="12.21875" style="93" customWidth="1"/>
    <col min="3331" max="3331" width="21.77734375" style="93" bestFit="1" customWidth="1"/>
    <col min="3332" max="3332" width="21.21875" style="93" bestFit="1" customWidth="1"/>
    <col min="3333" max="3333" width="20" style="93" customWidth="1"/>
    <col min="3334" max="3334" width="18.77734375" style="93" customWidth="1"/>
    <col min="3335" max="3335" width="16.77734375" style="93" bestFit="1" customWidth="1"/>
    <col min="3336" max="3336" width="20.44140625" style="93" customWidth="1"/>
    <col min="3337" max="3337" width="20.44140625" style="93" bestFit="1" customWidth="1"/>
    <col min="3338" max="3338" width="14.44140625" style="93" bestFit="1" customWidth="1"/>
    <col min="3339" max="3339" width="26" style="93" customWidth="1"/>
    <col min="3340" max="3580" width="9.21875" style="93"/>
    <col min="3581" max="3581" width="2.44140625" style="93" customWidth="1"/>
    <col min="3582" max="3583" width="1.44140625" style="93" customWidth="1"/>
    <col min="3584" max="3584" width="2.21875" style="93" customWidth="1"/>
    <col min="3585" max="3585" width="50.44140625" style="93" bestFit="1" customWidth="1"/>
    <col min="3586" max="3586" width="12.21875" style="93" customWidth="1"/>
    <col min="3587" max="3587" width="21.77734375" style="93" bestFit="1" customWidth="1"/>
    <col min="3588" max="3588" width="21.21875" style="93" bestFit="1" customWidth="1"/>
    <col min="3589" max="3589" width="20" style="93" customWidth="1"/>
    <col min="3590" max="3590" width="18.77734375" style="93" customWidth="1"/>
    <col min="3591" max="3591" width="16.77734375" style="93" bestFit="1" customWidth="1"/>
    <col min="3592" max="3592" width="20.44140625" style="93" customWidth="1"/>
    <col min="3593" max="3593" width="20.44140625" style="93" bestFit="1" customWidth="1"/>
    <col min="3594" max="3594" width="14.44140625" style="93" bestFit="1" customWidth="1"/>
    <col min="3595" max="3595" width="26" style="93" customWidth="1"/>
    <col min="3596" max="3836" width="9.21875" style="93"/>
    <col min="3837" max="3837" width="2.44140625" style="93" customWidth="1"/>
    <col min="3838" max="3839" width="1.44140625" style="93" customWidth="1"/>
    <col min="3840" max="3840" width="2.21875" style="93" customWidth="1"/>
    <col min="3841" max="3841" width="50.44140625" style="93" bestFit="1" customWidth="1"/>
    <col min="3842" max="3842" width="12.21875" style="93" customWidth="1"/>
    <col min="3843" max="3843" width="21.77734375" style="93" bestFit="1" customWidth="1"/>
    <col min="3844" max="3844" width="21.21875" style="93" bestFit="1" customWidth="1"/>
    <col min="3845" max="3845" width="20" style="93" customWidth="1"/>
    <col min="3846" max="3846" width="18.77734375" style="93" customWidth="1"/>
    <col min="3847" max="3847" width="16.77734375" style="93" bestFit="1" customWidth="1"/>
    <col min="3848" max="3848" width="20.44140625" style="93" customWidth="1"/>
    <col min="3849" max="3849" width="20.44140625" style="93" bestFit="1" customWidth="1"/>
    <col min="3850" max="3850" width="14.44140625" style="93" bestFit="1" customWidth="1"/>
    <col min="3851" max="3851" width="26" style="93" customWidth="1"/>
    <col min="3852" max="4092" width="9.21875" style="93"/>
    <col min="4093" max="4093" width="2.44140625" style="93" customWidth="1"/>
    <col min="4094" max="4095" width="1.44140625" style="93" customWidth="1"/>
    <col min="4096" max="4096" width="2.21875" style="93" customWidth="1"/>
    <col min="4097" max="4097" width="50.44140625" style="93" bestFit="1" customWidth="1"/>
    <col min="4098" max="4098" width="12.21875" style="93" customWidth="1"/>
    <col min="4099" max="4099" width="21.77734375" style="93" bestFit="1" customWidth="1"/>
    <col min="4100" max="4100" width="21.21875" style="93" bestFit="1" customWidth="1"/>
    <col min="4101" max="4101" width="20" style="93" customWidth="1"/>
    <col min="4102" max="4102" width="18.77734375" style="93" customWidth="1"/>
    <col min="4103" max="4103" width="16.77734375" style="93" bestFit="1" customWidth="1"/>
    <col min="4104" max="4104" width="20.44140625" style="93" customWidth="1"/>
    <col min="4105" max="4105" width="20.44140625" style="93" bestFit="1" customWidth="1"/>
    <col min="4106" max="4106" width="14.44140625" style="93" bestFit="1" customWidth="1"/>
    <col min="4107" max="4107" width="26" style="93" customWidth="1"/>
    <col min="4108" max="4348" width="9.21875" style="93"/>
    <col min="4349" max="4349" width="2.44140625" style="93" customWidth="1"/>
    <col min="4350" max="4351" width="1.44140625" style="93" customWidth="1"/>
    <col min="4352" max="4352" width="2.21875" style="93" customWidth="1"/>
    <col min="4353" max="4353" width="50.44140625" style="93" bestFit="1" customWidth="1"/>
    <col min="4354" max="4354" width="12.21875" style="93" customWidth="1"/>
    <col min="4355" max="4355" width="21.77734375" style="93" bestFit="1" customWidth="1"/>
    <col min="4356" max="4356" width="21.21875" style="93" bestFit="1" customWidth="1"/>
    <col min="4357" max="4357" width="20" style="93" customWidth="1"/>
    <col min="4358" max="4358" width="18.77734375" style="93" customWidth="1"/>
    <col min="4359" max="4359" width="16.77734375" style="93" bestFit="1" customWidth="1"/>
    <col min="4360" max="4360" width="20.44140625" style="93" customWidth="1"/>
    <col min="4361" max="4361" width="20.44140625" style="93" bestFit="1" customWidth="1"/>
    <col min="4362" max="4362" width="14.44140625" style="93" bestFit="1" customWidth="1"/>
    <col min="4363" max="4363" width="26" style="93" customWidth="1"/>
    <col min="4364" max="4604" width="9.21875" style="93"/>
    <col min="4605" max="4605" width="2.44140625" style="93" customWidth="1"/>
    <col min="4606" max="4607" width="1.44140625" style="93" customWidth="1"/>
    <col min="4608" max="4608" width="2.21875" style="93" customWidth="1"/>
    <col min="4609" max="4609" width="50.44140625" style="93" bestFit="1" customWidth="1"/>
    <col min="4610" max="4610" width="12.21875" style="93" customWidth="1"/>
    <col min="4611" max="4611" width="21.77734375" style="93" bestFit="1" customWidth="1"/>
    <col min="4612" max="4612" width="21.21875" style="93" bestFit="1" customWidth="1"/>
    <col min="4613" max="4613" width="20" style="93" customWidth="1"/>
    <col min="4614" max="4614" width="18.77734375" style="93" customWidth="1"/>
    <col min="4615" max="4615" width="16.77734375" style="93" bestFit="1" customWidth="1"/>
    <col min="4616" max="4616" width="20.44140625" style="93" customWidth="1"/>
    <col min="4617" max="4617" width="20.44140625" style="93" bestFit="1" customWidth="1"/>
    <col min="4618" max="4618" width="14.44140625" style="93" bestFit="1" customWidth="1"/>
    <col min="4619" max="4619" width="26" style="93" customWidth="1"/>
    <col min="4620" max="4860" width="9.21875" style="93"/>
    <col min="4861" max="4861" width="2.44140625" style="93" customWidth="1"/>
    <col min="4862" max="4863" width="1.44140625" style="93" customWidth="1"/>
    <col min="4864" max="4864" width="2.21875" style="93" customWidth="1"/>
    <col min="4865" max="4865" width="50.44140625" style="93" bestFit="1" customWidth="1"/>
    <col min="4866" max="4866" width="12.21875" style="93" customWidth="1"/>
    <col min="4867" max="4867" width="21.77734375" style="93" bestFit="1" customWidth="1"/>
    <col min="4868" max="4868" width="21.21875" style="93" bestFit="1" customWidth="1"/>
    <col min="4869" max="4869" width="20" style="93" customWidth="1"/>
    <col min="4870" max="4870" width="18.77734375" style="93" customWidth="1"/>
    <col min="4871" max="4871" width="16.77734375" style="93" bestFit="1" customWidth="1"/>
    <col min="4872" max="4872" width="20.44140625" style="93" customWidth="1"/>
    <col min="4873" max="4873" width="20.44140625" style="93" bestFit="1" customWidth="1"/>
    <col min="4874" max="4874" width="14.44140625" style="93" bestFit="1" customWidth="1"/>
    <col min="4875" max="4875" width="26" style="93" customWidth="1"/>
    <col min="4876" max="5116" width="9.21875" style="93"/>
    <col min="5117" max="5117" width="2.44140625" style="93" customWidth="1"/>
    <col min="5118" max="5119" width="1.44140625" style="93" customWidth="1"/>
    <col min="5120" max="5120" width="2.21875" style="93" customWidth="1"/>
    <col min="5121" max="5121" width="50.44140625" style="93" bestFit="1" customWidth="1"/>
    <col min="5122" max="5122" width="12.21875" style="93" customWidth="1"/>
    <col min="5123" max="5123" width="21.77734375" style="93" bestFit="1" customWidth="1"/>
    <col min="5124" max="5124" width="21.21875" style="93" bestFit="1" customWidth="1"/>
    <col min="5125" max="5125" width="20" style="93" customWidth="1"/>
    <col min="5126" max="5126" width="18.77734375" style="93" customWidth="1"/>
    <col min="5127" max="5127" width="16.77734375" style="93" bestFit="1" customWidth="1"/>
    <col min="5128" max="5128" width="20.44140625" style="93" customWidth="1"/>
    <col min="5129" max="5129" width="20.44140625" style="93" bestFit="1" customWidth="1"/>
    <col min="5130" max="5130" width="14.44140625" style="93" bestFit="1" customWidth="1"/>
    <col min="5131" max="5131" width="26" style="93" customWidth="1"/>
    <col min="5132" max="5372" width="9.21875" style="93"/>
    <col min="5373" max="5373" width="2.44140625" style="93" customWidth="1"/>
    <col min="5374" max="5375" width="1.44140625" style="93" customWidth="1"/>
    <col min="5376" max="5376" width="2.21875" style="93" customWidth="1"/>
    <col min="5377" max="5377" width="50.44140625" style="93" bestFit="1" customWidth="1"/>
    <col min="5378" max="5378" width="12.21875" style="93" customWidth="1"/>
    <col min="5379" max="5379" width="21.77734375" style="93" bestFit="1" customWidth="1"/>
    <col min="5380" max="5380" width="21.21875" style="93" bestFit="1" customWidth="1"/>
    <col min="5381" max="5381" width="20" style="93" customWidth="1"/>
    <col min="5382" max="5382" width="18.77734375" style="93" customWidth="1"/>
    <col min="5383" max="5383" width="16.77734375" style="93" bestFit="1" customWidth="1"/>
    <col min="5384" max="5384" width="20.44140625" style="93" customWidth="1"/>
    <col min="5385" max="5385" width="20.44140625" style="93" bestFit="1" customWidth="1"/>
    <col min="5386" max="5386" width="14.44140625" style="93" bestFit="1" customWidth="1"/>
    <col min="5387" max="5387" width="26" style="93" customWidth="1"/>
    <col min="5388" max="5628" width="9.21875" style="93"/>
    <col min="5629" max="5629" width="2.44140625" style="93" customWidth="1"/>
    <col min="5630" max="5631" width="1.44140625" style="93" customWidth="1"/>
    <col min="5632" max="5632" width="2.21875" style="93" customWidth="1"/>
    <col min="5633" max="5633" width="50.44140625" style="93" bestFit="1" customWidth="1"/>
    <col min="5634" max="5634" width="12.21875" style="93" customWidth="1"/>
    <col min="5635" max="5635" width="21.77734375" style="93" bestFit="1" customWidth="1"/>
    <col min="5636" max="5636" width="21.21875" style="93" bestFit="1" customWidth="1"/>
    <col min="5637" max="5637" width="20" style="93" customWidth="1"/>
    <col min="5638" max="5638" width="18.77734375" style="93" customWidth="1"/>
    <col min="5639" max="5639" width="16.77734375" style="93" bestFit="1" customWidth="1"/>
    <col min="5640" max="5640" width="20.44140625" style="93" customWidth="1"/>
    <col min="5641" max="5641" width="20.44140625" style="93" bestFit="1" customWidth="1"/>
    <col min="5642" max="5642" width="14.44140625" style="93" bestFit="1" customWidth="1"/>
    <col min="5643" max="5643" width="26" style="93" customWidth="1"/>
    <col min="5644" max="5884" width="9.21875" style="93"/>
    <col min="5885" max="5885" width="2.44140625" style="93" customWidth="1"/>
    <col min="5886" max="5887" width="1.44140625" style="93" customWidth="1"/>
    <col min="5888" max="5888" width="2.21875" style="93" customWidth="1"/>
    <col min="5889" max="5889" width="50.44140625" style="93" bestFit="1" customWidth="1"/>
    <col min="5890" max="5890" width="12.21875" style="93" customWidth="1"/>
    <col min="5891" max="5891" width="21.77734375" style="93" bestFit="1" customWidth="1"/>
    <col min="5892" max="5892" width="21.21875" style="93" bestFit="1" customWidth="1"/>
    <col min="5893" max="5893" width="20" style="93" customWidth="1"/>
    <col min="5894" max="5894" width="18.77734375" style="93" customWidth="1"/>
    <col min="5895" max="5895" width="16.77734375" style="93" bestFit="1" customWidth="1"/>
    <col min="5896" max="5896" width="20.44140625" style="93" customWidth="1"/>
    <col min="5897" max="5897" width="20.44140625" style="93" bestFit="1" customWidth="1"/>
    <col min="5898" max="5898" width="14.44140625" style="93" bestFit="1" customWidth="1"/>
    <col min="5899" max="5899" width="26" style="93" customWidth="1"/>
    <col min="5900" max="6140" width="9.21875" style="93"/>
    <col min="6141" max="6141" width="2.44140625" style="93" customWidth="1"/>
    <col min="6142" max="6143" width="1.44140625" style="93" customWidth="1"/>
    <col min="6144" max="6144" width="2.21875" style="93" customWidth="1"/>
    <col min="6145" max="6145" width="50.44140625" style="93" bestFit="1" customWidth="1"/>
    <col min="6146" max="6146" width="12.21875" style="93" customWidth="1"/>
    <col min="6147" max="6147" width="21.77734375" style="93" bestFit="1" customWidth="1"/>
    <col min="6148" max="6148" width="21.21875" style="93" bestFit="1" customWidth="1"/>
    <col min="6149" max="6149" width="20" style="93" customWidth="1"/>
    <col min="6150" max="6150" width="18.77734375" style="93" customWidth="1"/>
    <col min="6151" max="6151" width="16.77734375" style="93" bestFit="1" customWidth="1"/>
    <col min="6152" max="6152" width="20.44140625" style="93" customWidth="1"/>
    <col min="6153" max="6153" width="20.44140625" style="93" bestFit="1" customWidth="1"/>
    <col min="6154" max="6154" width="14.44140625" style="93" bestFit="1" customWidth="1"/>
    <col min="6155" max="6155" width="26" style="93" customWidth="1"/>
    <col min="6156" max="6396" width="9.21875" style="93"/>
    <col min="6397" max="6397" width="2.44140625" style="93" customWidth="1"/>
    <col min="6398" max="6399" width="1.44140625" style="93" customWidth="1"/>
    <col min="6400" max="6400" width="2.21875" style="93" customWidth="1"/>
    <col min="6401" max="6401" width="50.44140625" style="93" bestFit="1" customWidth="1"/>
    <col min="6402" max="6402" width="12.21875" style="93" customWidth="1"/>
    <col min="6403" max="6403" width="21.77734375" style="93" bestFit="1" customWidth="1"/>
    <col min="6404" max="6404" width="21.21875" style="93" bestFit="1" customWidth="1"/>
    <col min="6405" max="6405" width="20" style="93" customWidth="1"/>
    <col min="6406" max="6406" width="18.77734375" style="93" customWidth="1"/>
    <col min="6407" max="6407" width="16.77734375" style="93" bestFit="1" customWidth="1"/>
    <col min="6408" max="6408" width="20.44140625" style="93" customWidth="1"/>
    <col min="6409" max="6409" width="20.44140625" style="93" bestFit="1" customWidth="1"/>
    <col min="6410" max="6410" width="14.44140625" style="93" bestFit="1" customWidth="1"/>
    <col min="6411" max="6411" width="26" style="93" customWidth="1"/>
    <col min="6412" max="6652" width="9.21875" style="93"/>
    <col min="6653" max="6653" width="2.44140625" style="93" customWidth="1"/>
    <col min="6654" max="6655" width="1.44140625" style="93" customWidth="1"/>
    <col min="6656" max="6656" width="2.21875" style="93" customWidth="1"/>
    <col min="6657" max="6657" width="50.44140625" style="93" bestFit="1" customWidth="1"/>
    <col min="6658" max="6658" width="12.21875" style="93" customWidth="1"/>
    <col min="6659" max="6659" width="21.77734375" style="93" bestFit="1" customWidth="1"/>
    <col min="6660" max="6660" width="21.21875" style="93" bestFit="1" customWidth="1"/>
    <col min="6661" max="6661" width="20" style="93" customWidth="1"/>
    <col min="6662" max="6662" width="18.77734375" style="93" customWidth="1"/>
    <col min="6663" max="6663" width="16.77734375" style="93" bestFit="1" customWidth="1"/>
    <col min="6664" max="6664" width="20.44140625" style="93" customWidth="1"/>
    <col min="6665" max="6665" width="20.44140625" style="93" bestFit="1" customWidth="1"/>
    <col min="6666" max="6666" width="14.44140625" style="93" bestFit="1" customWidth="1"/>
    <col min="6667" max="6667" width="26" style="93" customWidth="1"/>
    <col min="6668" max="6908" width="9.21875" style="93"/>
    <col min="6909" max="6909" width="2.44140625" style="93" customWidth="1"/>
    <col min="6910" max="6911" width="1.44140625" style="93" customWidth="1"/>
    <col min="6912" max="6912" width="2.21875" style="93" customWidth="1"/>
    <col min="6913" max="6913" width="50.44140625" style="93" bestFit="1" customWidth="1"/>
    <col min="6914" max="6914" width="12.21875" style="93" customWidth="1"/>
    <col min="6915" max="6915" width="21.77734375" style="93" bestFit="1" customWidth="1"/>
    <col min="6916" max="6916" width="21.21875" style="93" bestFit="1" customWidth="1"/>
    <col min="6917" max="6917" width="20" style="93" customWidth="1"/>
    <col min="6918" max="6918" width="18.77734375" style="93" customWidth="1"/>
    <col min="6919" max="6919" width="16.77734375" style="93" bestFit="1" customWidth="1"/>
    <col min="6920" max="6920" width="20.44140625" style="93" customWidth="1"/>
    <col min="6921" max="6921" width="20.44140625" style="93" bestFit="1" customWidth="1"/>
    <col min="6922" max="6922" width="14.44140625" style="93" bestFit="1" customWidth="1"/>
    <col min="6923" max="6923" width="26" style="93" customWidth="1"/>
    <col min="6924" max="7164" width="9.21875" style="93"/>
    <col min="7165" max="7165" width="2.44140625" style="93" customWidth="1"/>
    <col min="7166" max="7167" width="1.44140625" style="93" customWidth="1"/>
    <col min="7168" max="7168" width="2.21875" style="93" customWidth="1"/>
    <col min="7169" max="7169" width="50.44140625" style="93" bestFit="1" customWidth="1"/>
    <col min="7170" max="7170" width="12.21875" style="93" customWidth="1"/>
    <col min="7171" max="7171" width="21.77734375" style="93" bestFit="1" customWidth="1"/>
    <col min="7172" max="7172" width="21.21875" style="93" bestFit="1" customWidth="1"/>
    <col min="7173" max="7173" width="20" style="93" customWidth="1"/>
    <col min="7174" max="7174" width="18.77734375" style="93" customWidth="1"/>
    <col min="7175" max="7175" width="16.77734375" style="93" bestFit="1" customWidth="1"/>
    <col min="7176" max="7176" width="20.44140625" style="93" customWidth="1"/>
    <col min="7177" max="7177" width="20.44140625" style="93" bestFit="1" customWidth="1"/>
    <col min="7178" max="7178" width="14.44140625" style="93" bestFit="1" customWidth="1"/>
    <col min="7179" max="7179" width="26" style="93" customWidth="1"/>
    <col min="7180" max="7420" width="9.21875" style="93"/>
    <col min="7421" max="7421" width="2.44140625" style="93" customWidth="1"/>
    <col min="7422" max="7423" width="1.44140625" style="93" customWidth="1"/>
    <col min="7424" max="7424" width="2.21875" style="93" customWidth="1"/>
    <col min="7425" max="7425" width="50.44140625" style="93" bestFit="1" customWidth="1"/>
    <col min="7426" max="7426" width="12.21875" style="93" customWidth="1"/>
    <col min="7427" max="7427" width="21.77734375" style="93" bestFit="1" customWidth="1"/>
    <col min="7428" max="7428" width="21.21875" style="93" bestFit="1" customWidth="1"/>
    <col min="7429" max="7429" width="20" style="93" customWidth="1"/>
    <col min="7430" max="7430" width="18.77734375" style="93" customWidth="1"/>
    <col min="7431" max="7431" width="16.77734375" style="93" bestFit="1" customWidth="1"/>
    <col min="7432" max="7432" width="20.44140625" style="93" customWidth="1"/>
    <col min="7433" max="7433" width="20.44140625" style="93" bestFit="1" customWidth="1"/>
    <col min="7434" max="7434" width="14.44140625" style="93" bestFit="1" customWidth="1"/>
    <col min="7435" max="7435" width="26" style="93" customWidth="1"/>
    <col min="7436" max="7676" width="9.21875" style="93"/>
    <col min="7677" max="7677" width="2.44140625" style="93" customWidth="1"/>
    <col min="7678" max="7679" width="1.44140625" style="93" customWidth="1"/>
    <col min="7680" max="7680" width="2.21875" style="93" customWidth="1"/>
    <col min="7681" max="7681" width="50.44140625" style="93" bestFit="1" customWidth="1"/>
    <col min="7682" max="7682" width="12.21875" style="93" customWidth="1"/>
    <col min="7683" max="7683" width="21.77734375" style="93" bestFit="1" customWidth="1"/>
    <col min="7684" max="7684" width="21.21875" style="93" bestFit="1" customWidth="1"/>
    <col min="7685" max="7685" width="20" style="93" customWidth="1"/>
    <col min="7686" max="7686" width="18.77734375" style="93" customWidth="1"/>
    <col min="7687" max="7687" width="16.77734375" style="93" bestFit="1" customWidth="1"/>
    <col min="7688" max="7688" width="20.44140625" style="93" customWidth="1"/>
    <col min="7689" max="7689" width="20.44140625" style="93" bestFit="1" customWidth="1"/>
    <col min="7690" max="7690" width="14.44140625" style="93" bestFit="1" customWidth="1"/>
    <col min="7691" max="7691" width="26" style="93" customWidth="1"/>
    <col min="7692" max="7932" width="9.21875" style="93"/>
    <col min="7933" max="7933" width="2.44140625" style="93" customWidth="1"/>
    <col min="7934" max="7935" width="1.44140625" style="93" customWidth="1"/>
    <col min="7936" max="7936" width="2.21875" style="93" customWidth="1"/>
    <col min="7937" max="7937" width="50.44140625" style="93" bestFit="1" customWidth="1"/>
    <col min="7938" max="7938" width="12.21875" style="93" customWidth="1"/>
    <col min="7939" max="7939" width="21.77734375" style="93" bestFit="1" customWidth="1"/>
    <col min="7940" max="7940" width="21.21875" style="93" bestFit="1" customWidth="1"/>
    <col min="7941" max="7941" width="20" style="93" customWidth="1"/>
    <col min="7942" max="7942" width="18.77734375" style="93" customWidth="1"/>
    <col min="7943" max="7943" width="16.77734375" style="93" bestFit="1" customWidth="1"/>
    <col min="7944" max="7944" width="20.44140625" style="93" customWidth="1"/>
    <col min="7945" max="7945" width="20.44140625" style="93" bestFit="1" customWidth="1"/>
    <col min="7946" max="7946" width="14.44140625" style="93" bestFit="1" customWidth="1"/>
    <col min="7947" max="7947" width="26" style="93" customWidth="1"/>
    <col min="7948" max="8188" width="9.21875" style="93"/>
    <col min="8189" max="8189" width="2.44140625" style="93" customWidth="1"/>
    <col min="8190" max="8191" width="1.44140625" style="93" customWidth="1"/>
    <col min="8192" max="8192" width="2.21875" style="93" customWidth="1"/>
    <col min="8193" max="8193" width="50.44140625" style="93" bestFit="1" customWidth="1"/>
    <col min="8194" max="8194" width="12.21875" style="93" customWidth="1"/>
    <col min="8195" max="8195" width="21.77734375" style="93" bestFit="1" customWidth="1"/>
    <col min="8196" max="8196" width="21.21875" style="93" bestFit="1" customWidth="1"/>
    <col min="8197" max="8197" width="20" style="93" customWidth="1"/>
    <col min="8198" max="8198" width="18.77734375" style="93" customWidth="1"/>
    <col min="8199" max="8199" width="16.77734375" style="93" bestFit="1" customWidth="1"/>
    <col min="8200" max="8200" width="20.44140625" style="93" customWidth="1"/>
    <col min="8201" max="8201" width="20.44140625" style="93" bestFit="1" customWidth="1"/>
    <col min="8202" max="8202" width="14.44140625" style="93" bestFit="1" customWidth="1"/>
    <col min="8203" max="8203" width="26" style="93" customWidth="1"/>
    <col min="8204" max="8444" width="9.21875" style="93"/>
    <col min="8445" max="8445" width="2.44140625" style="93" customWidth="1"/>
    <col min="8446" max="8447" width="1.44140625" style="93" customWidth="1"/>
    <col min="8448" max="8448" width="2.21875" style="93" customWidth="1"/>
    <col min="8449" max="8449" width="50.44140625" style="93" bestFit="1" customWidth="1"/>
    <col min="8450" max="8450" width="12.21875" style="93" customWidth="1"/>
    <col min="8451" max="8451" width="21.77734375" style="93" bestFit="1" customWidth="1"/>
    <col min="8452" max="8452" width="21.21875" style="93" bestFit="1" customWidth="1"/>
    <col min="8453" max="8453" width="20" style="93" customWidth="1"/>
    <col min="8454" max="8454" width="18.77734375" style="93" customWidth="1"/>
    <col min="8455" max="8455" width="16.77734375" style="93" bestFit="1" customWidth="1"/>
    <col min="8456" max="8456" width="20.44140625" style="93" customWidth="1"/>
    <col min="8457" max="8457" width="20.44140625" style="93" bestFit="1" customWidth="1"/>
    <col min="8458" max="8458" width="14.44140625" style="93" bestFit="1" customWidth="1"/>
    <col min="8459" max="8459" width="26" style="93" customWidth="1"/>
    <col min="8460" max="8700" width="9.21875" style="93"/>
    <col min="8701" max="8701" width="2.44140625" style="93" customWidth="1"/>
    <col min="8702" max="8703" width="1.44140625" style="93" customWidth="1"/>
    <col min="8704" max="8704" width="2.21875" style="93" customWidth="1"/>
    <col min="8705" max="8705" width="50.44140625" style="93" bestFit="1" customWidth="1"/>
    <col min="8706" max="8706" width="12.21875" style="93" customWidth="1"/>
    <col min="8707" max="8707" width="21.77734375" style="93" bestFit="1" customWidth="1"/>
    <col min="8708" max="8708" width="21.21875" style="93" bestFit="1" customWidth="1"/>
    <col min="8709" max="8709" width="20" style="93" customWidth="1"/>
    <col min="8710" max="8710" width="18.77734375" style="93" customWidth="1"/>
    <col min="8711" max="8711" width="16.77734375" style="93" bestFit="1" customWidth="1"/>
    <col min="8712" max="8712" width="20.44140625" style="93" customWidth="1"/>
    <col min="8713" max="8713" width="20.44140625" style="93" bestFit="1" customWidth="1"/>
    <col min="8714" max="8714" width="14.44140625" style="93" bestFit="1" customWidth="1"/>
    <col min="8715" max="8715" width="26" style="93" customWidth="1"/>
    <col min="8716" max="8956" width="9.21875" style="93"/>
    <col min="8957" max="8957" width="2.44140625" style="93" customWidth="1"/>
    <col min="8958" max="8959" width="1.44140625" style="93" customWidth="1"/>
    <col min="8960" max="8960" width="2.21875" style="93" customWidth="1"/>
    <col min="8961" max="8961" width="50.44140625" style="93" bestFit="1" customWidth="1"/>
    <col min="8962" max="8962" width="12.21875" style="93" customWidth="1"/>
    <col min="8963" max="8963" width="21.77734375" style="93" bestFit="1" customWidth="1"/>
    <col min="8964" max="8964" width="21.21875" style="93" bestFit="1" customWidth="1"/>
    <col min="8965" max="8965" width="20" style="93" customWidth="1"/>
    <col min="8966" max="8966" width="18.77734375" style="93" customWidth="1"/>
    <col min="8967" max="8967" width="16.77734375" style="93" bestFit="1" customWidth="1"/>
    <col min="8968" max="8968" width="20.44140625" style="93" customWidth="1"/>
    <col min="8969" max="8969" width="20.44140625" style="93" bestFit="1" customWidth="1"/>
    <col min="8970" max="8970" width="14.44140625" style="93" bestFit="1" customWidth="1"/>
    <col min="8971" max="8971" width="26" style="93" customWidth="1"/>
    <col min="8972" max="9212" width="9.21875" style="93"/>
    <col min="9213" max="9213" width="2.44140625" style="93" customWidth="1"/>
    <col min="9214" max="9215" width="1.44140625" style="93" customWidth="1"/>
    <col min="9216" max="9216" width="2.21875" style="93" customWidth="1"/>
    <col min="9217" max="9217" width="50.44140625" style="93" bestFit="1" customWidth="1"/>
    <col min="9218" max="9218" width="12.21875" style="93" customWidth="1"/>
    <col min="9219" max="9219" width="21.77734375" style="93" bestFit="1" customWidth="1"/>
    <col min="9220" max="9220" width="21.21875" style="93" bestFit="1" customWidth="1"/>
    <col min="9221" max="9221" width="20" style="93" customWidth="1"/>
    <col min="9222" max="9222" width="18.77734375" style="93" customWidth="1"/>
    <col min="9223" max="9223" width="16.77734375" style="93" bestFit="1" customWidth="1"/>
    <col min="9224" max="9224" width="20.44140625" style="93" customWidth="1"/>
    <col min="9225" max="9225" width="20.44140625" style="93" bestFit="1" customWidth="1"/>
    <col min="9226" max="9226" width="14.44140625" style="93" bestFit="1" customWidth="1"/>
    <col min="9227" max="9227" width="26" style="93" customWidth="1"/>
    <col min="9228" max="9468" width="9.21875" style="93"/>
    <col min="9469" max="9469" width="2.44140625" style="93" customWidth="1"/>
    <col min="9470" max="9471" width="1.44140625" style="93" customWidth="1"/>
    <col min="9472" max="9472" width="2.21875" style="93" customWidth="1"/>
    <col min="9473" max="9473" width="50.44140625" style="93" bestFit="1" customWidth="1"/>
    <col min="9474" max="9474" width="12.21875" style="93" customWidth="1"/>
    <col min="9475" max="9475" width="21.77734375" style="93" bestFit="1" customWidth="1"/>
    <col min="9476" max="9476" width="21.21875" style="93" bestFit="1" customWidth="1"/>
    <col min="9477" max="9477" width="20" style="93" customWidth="1"/>
    <col min="9478" max="9478" width="18.77734375" style="93" customWidth="1"/>
    <col min="9479" max="9479" width="16.77734375" style="93" bestFit="1" customWidth="1"/>
    <col min="9480" max="9480" width="20.44140625" style="93" customWidth="1"/>
    <col min="9481" max="9481" width="20.44140625" style="93" bestFit="1" customWidth="1"/>
    <col min="9482" max="9482" width="14.44140625" style="93" bestFit="1" customWidth="1"/>
    <col min="9483" max="9483" width="26" style="93" customWidth="1"/>
    <col min="9484" max="9724" width="9.21875" style="93"/>
    <col min="9725" max="9725" width="2.44140625" style="93" customWidth="1"/>
    <col min="9726" max="9727" width="1.44140625" style="93" customWidth="1"/>
    <col min="9728" max="9728" width="2.21875" style="93" customWidth="1"/>
    <col min="9729" max="9729" width="50.44140625" style="93" bestFit="1" customWidth="1"/>
    <col min="9730" max="9730" width="12.21875" style="93" customWidth="1"/>
    <col min="9731" max="9731" width="21.77734375" style="93" bestFit="1" customWidth="1"/>
    <col min="9732" max="9732" width="21.21875" style="93" bestFit="1" customWidth="1"/>
    <col min="9733" max="9733" width="20" style="93" customWidth="1"/>
    <col min="9734" max="9734" width="18.77734375" style="93" customWidth="1"/>
    <col min="9735" max="9735" width="16.77734375" style="93" bestFit="1" customWidth="1"/>
    <col min="9736" max="9736" width="20.44140625" style="93" customWidth="1"/>
    <col min="9737" max="9737" width="20.44140625" style="93" bestFit="1" customWidth="1"/>
    <col min="9738" max="9738" width="14.44140625" style="93" bestFit="1" customWidth="1"/>
    <col min="9739" max="9739" width="26" style="93" customWidth="1"/>
    <col min="9740" max="9980" width="9.21875" style="93"/>
    <col min="9981" max="9981" width="2.44140625" style="93" customWidth="1"/>
    <col min="9982" max="9983" width="1.44140625" style="93" customWidth="1"/>
    <col min="9984" max="9984" width="2.21875" style="93" customWidth="1"/>
    <col min="9985" max="9985" width="50.44140625" style="93" bestFit="1" customWidth="1"/>
    <col min="9986" max="9986" width="12.21875" style="93" customWidth="1"/>
    <col min="9987" max="9987" width="21.77734375" style="93" bestFit="1" customWidth="1"/>
    <col min="9988" max="9988" width="21.21875" style="93" bestFit="1" customWidth="1"/>
    <col min="9989" max="9989" width="20" style="93" customWidth="1"/>
    <col min="9990" max="9990" width="18.77734375" style="93" customWidth="1"/>
    <col min="9991" max="9991" width="16.77734375" style="93" bestFit="1" customWidth="1"/>
    <col min="9992" max="9992" width="20.44140625" style="93" customWidth="1"/>
    <col min="9993" max="9993" width="20.44140625" style="93" bestFit="1" customWidth="1"/>
    <col min="9994" max="9994" width="14.44140625" style="93" bestFit="1" customWidth="1"/>
    <col min="9995" max="9995" width="26" style="93" customWidth="1"/>
    <col min="9996" max="10236" width="9.21875" style="93"/>
    <col min="10237" max="10237" width="2.44140625" style="93" customWidth="1"/>
    <col min="10238" max="10239" width="1.44140625" style="93" customWidth="1"/>
    <col min="10240" max="10240" width="2.21875" style="93" customWidth="1"/>
    <col min="10241" max="10241" width="50.44140625" style="93" bestFit="1" customWidth="1"/>
    <col min="10242" max="10242" width="12.21875" style="93" customWidth="1"/>
    <col min="10243" max="10243" width="21.77734375" style="93" bestFit="1" customWidth="1"/>
    <col min="10244" max="10244" width="21.21875" style="93" bestFit="1" customWidth="1"/>
    <col min="10245" max="10245" width="20" style="93" customWidth="1"/>
    <col min="10246" max="10246" width="18.77734375" style="93" customWidth="1"/>
    <col min="10247" max="10247" width="16.77734375" style="93" bestFit="1" customWidth="1"/>
    <col min="10248" max="10248" width="20.44140625" style="93" customWidth="1"/>
    <col min="10249" max="10249" width="20.44140625" style="93" bestFit="1" customWidth="1"/>
    <col min="10250" max="10250" width="14.44140625" style="93" bestFit="1" customWidth="1"/>
    <col min="10251" max="10251" width="26" style="93" customWidth="1"/>
    <col min="10252" max="10492" width="9.21875" style="93"/>
    <col min="10493" max="10493" width="2.44140625" style="93" customWidth="1"/>
    <col min="10494" max="10495" width="1.44140625" style="93" customWidth="1"/>
    <col min="10496" max="10496" width="2.21875" style="93" customWidth="1"/>
    <col min="10497" max="10497" width="50.44140625" style="93" bestFit="1" customWidth="1"/>
    <col min="10498" max="10498" width="12.21875" style="93" customWidth="1"/>
    <col min="10499" max="10499" width="21.77734375" style="93" bestFit="1" customWidth="1"/>
    <col min="10500" max="10500" width="21.21875" style="93" bestFit="1" customWidth="1"/>
    <col min="10501" max="10501" width="20" style="93" customWidth="1"/>
    <col min="10502" max="10502" width="18.77734375" style="93" customWidth="1"/>
    <col min="10503" max="10503" width="16.77734375" style="93" bestFit="1" customWidth="1"/>
    <col min="10504" max="10504" width="20.44140625" style="93" customWidth="1"/>
    <col min="10505" max="10505" width="20.44140625" style="93" bestFit="1" customWidth="1"/>
    <col min="10506" max="10506" width="14.44140625" style="93" bestFit="1" customWidth="1"/>
    <col min="10507" max="10507" width="26" style="93" customWidth="1"/>
    <col min="10508" max="10748" width="9.21875" style="93"/>
    <col min="10749" max="10749" width="2.44140625" style="93" customWidth="1"/>
    <col min="10750" max="10751" width="1.44140625" style="93" customWidth="1"/>
    <col min="10752" max="10752" width="2.21875" style="93" customWidth="1"/>
    <col min="10753" max="10753" width="50.44140625" style="93" bestFit="1" customWidth="1"/>
    <col min="10754" max="10754" width="12.21875" style="93" customWidth="1"/>
    <col min="10755" max="10755" width="21.77734375" style="93" bestFit="1" customWidth="1"/>
    <col min="10756" max="10756" width="21.21875" style="93" bestFit="1" customWidth="1"/>
    <col min="10757" max="10757" width="20" style="93" customWidth="1"/>
    <col min="10758" max="10758" width="18.77734375" style="93" customWidth="1"/>
    <col min="10759" max="10759" width="16.77734375" style="93" bestFit="1" customWidth="1"/>
    <col min="10760" max="10760" width="20.44140625" style="93" customWidth="1"/>
    <col min="10761" max="10761" width="20.44140625" style="93" bestFit="1" customWidth="1"/>
    <col min="10762" max="10762" width="14.44140625" style="93" bestFit="1" customWidth="1"/>
    <col min="10763" max="10763" width="26" style="93" customWidth="1"/>
    <col min="10764" max="11004" width="9.21875" style="93"/>
    <col min="11005" max="11005" width="2.44140625" style="93" customWidth="1"/>
    <col min="11006" max="11007" width="1.44140625" style="93" customWidth="1"/>
    <col min="11008" max="11008" width="2.21875" style="93" customWidth="1"/>
    <col min="11009" max="11009" width="50.44140625" style="93" bestFit="1" customWidth="1"/>
    <col min="11010" max="11010" width="12.21875" style="93" customWidth="1"/>
    <col min="11011" max="11011" width="21.77734375" style="93" bestFit="1" customWidth="1"/>
    <col min="11012" max="11012" width="21.21875" style="93" bestFit="1" customWidth="1"/>
    <col min="11013" max="11013" width="20" style="93" customWidth="1"/>
    <col min="11014" max="11014" width="18.77734375" style="93" customWidth="1"/>
    <col min="11015" max="11015" width="16.77734375" style="93" bestFit="1" customWidth="1"/>
    <col min="11016" max="11016" width="20.44140625" style="93" customWidth="1"/>
    <col min="11017" max="11017" width="20.44140625" style="93" bestFit="1" customWidth="1"/>
    <col min="11018" max="11018" width="14.44140625" style="93" bestFit="1" customWidth="1"/>
    <col min="11019" max="11019" width="26" style="93" customWidth="1"/>
    <col min="11020" max="11260" width="9.21875" style="93"/>
    <col min="11261" max="11261" width="2.44140625" style="93" customWidth="1"/>
    <col min="11262" max="11263" width="1.44140625" style="93" customWidth="1"/>
    <col min="11264" max="11264" width="2.21875" style="93" customWidth="1"/>
    <col min="11265" max="11265" width="50.44140625" style="93" bestFit="1" customWidth="1"/>
    <col min="11266" max="11266" width="12.21875" style="93" customWidth="1"/>
    <col min="11267" max="11267" width="21.77734375" style="93" bestFit="1" customWidth="1"/>
    <col min="11268" max="11268" width="21.21875" style="93" bestFit="1" customWidth="1"/>
    <col min="11269" max="11269" width="20" style="93" customWidth="1"/>
    <col min="11270" max="11270" width="18.77734375" style="93" customWidth="1"/>
    <col min="11271" max="11271" width="16.77734375" style="93" bestFit="1" customWidth="1"/>
    <col min="11272" max="11272" width="20.44140625" style="93" customWidth="1"/>
    <col min="11273" max="11273" width="20.44140625" style="93" bestFit="1" customWidth="1"/>
    <col min="11274" max="11274" width="14.44140625" style="93" bestFit="1" customWidth="1"/>
    <col min="11275" max="11275" width="26" style="93" customWidth="1"/>
    <col min="11276" max="11516" width="9.21875" style="93"/>
    <col min="11517" max="11517" width="2.44140625" style="93" customWidth="1"/>
    <col min="11518" max="11519" width="1.44140625" style="93" customWidth="1"/>
    <col min="11520" max="11520" width="2.21875" style="93" customWidth="1"/>
    <col min="11521" max="11521" width="50.44140625" style="93" bestFit="1" customWidth="1"/>
    <col min="11522" max="11522" width="12.21875" style="93" customWidth="1"/>
    <col min="11523" max="11523" width="21.77734375" style="93" bestFit="1" customWidth="1"/>
    <col min="11524" max="11524" width="21.21875" style="93" bestFit="1" customWidth="1"/>
    <col min="11525" max="11525" width="20" style="93" customWidth="1"/>
    <col min="11526" max="11526" width="18.77734375" style="93" customWidth="1"/>
    <col min="11527" max="11527" width="16.77734375" style="93" bestFit="1" customWidth="1"/>
    <col min="11528" max="11528" width="20.44140625" style="93" customWidth="1"/>
    <col min="11529" max="11529" width="20.44140625" style="93" bestFit="1" customWidth="1"/>
    <col min="11530" max="11530" width="14.44140625" style="93" bestFit="1" customWidth="1"/>
    <col min="11531" max="11531" width="26" style="93" customWidth="1"/>
    <col min="11532" max="11772" width="9.21875" style="93"/>
    <col min="11773" max="11773" width="2.44140625" style="93" customWidth="1"/>
    <col min="11774" max="11775" width="1.44140625" style="93" customWidth="1"/>
    <col min="11776" max="11776" width="2.21875" style="93" customWidth="1"/>
    <col min="11777" max="11777" width="50.44140625" style="93" bestFit="1" customWidth="1"/>
    <col min="11778" max="11778" width="12.21875" style="93" customWidth="1"/>
    <col min="11779" max="11779" width="21.77734375" style="93" bestFit="1" customWidth="1"/>
    <col min="11780" max="11780" width="21.21875" style="93" bestFit="1" customWidth="1"/>
    <col min="11781" max="11781" width="20" style="93" customWidth="1"/>
    <col min="11782" max="11782" width="18.77734375" style="93" customWidth="1"/>
    <col min="11783" max="11783" width="16.77734375" style="93" bestFit="1" customWidth="1"/>
    <col min="11784" max="11784" width="20.44140625" style="93" customWidth="1"/>
    <col min="11785" max="11785" width="20.44140625" style="93" bestFit="1" customWidth="1"/>
    <col min="11786" max="11786" width="14.44140625" style="93" bestFit="1" customWidth="1"/>
    <col min="11787" max="11787" width="26" style="93" customWidth="1"/>
    <col min="11788" max="12028" width="9.21875" style="93"/>
    <col min="12029" max="12029" width="2.44140625" style="93" customWidth="1"/>
    <col min="12030" max="12031" width="1.44140625" style="93" customWidth="1"/>
    <col min="12032" max="12032" width="2.21875" style="93" customWidth="1"/>
    <col min="12033" max="12033" width="50.44140625" style="93" bestFit="1" customWidth="1"/>
    <col min="12034" max="12034" width="12.21875" style="93" customWidth="1"/>
    <col min="12035" max="12035" width="21.77734375" style="93" bestFit="1" customWidth="1"/>
    <col min="12036" max="12036" width="21.21875" style="93" bestFit="1" customWidth="1"/>
    <col min="12037" max="12037" width="20" style="93" customWidth="1"/>
    <col min="12038" max="12038" width="18.77734375" style="93" customWidth="1"/>
    <col min="12039" max="12039" width="16.77734375" style="93" bestFit="1" customWidth="1"/>
    <col min="12040" max="12040" width="20.44140625" style="93" customWidth="1"/>
    <col min="12041" max="12041" width="20.44140625" style="93" bestFit="1" customWidth="1"/>
    <col min="12042" max="12042" width="14.44140625" style="93" bestFit="1" customWidth="1"/>
    <col min="12043" max="12043" width="26" style="93" customWidth="1"/>
    <col min="12044" max="12284" width="9.21875" style="93"/>
    <col min="12285" max="12285" width="2.44140625" style="93" customWidth="1"/>
    <col min="12286" max="12287" width="1.44140625" style="93" customWidth="1"/>
    <col min="12288" max="12288" width="2.21875" style="93" customWidth="1"/>
    <col min="12289" max="12289" width="50.44140625" style="93" bestFit="1" customWidth="1"/>
    <col min="12290" max="12290" width="12.21875" style="93" customWidth="1"/>
    <col min="12291" max="12291" width="21.77734375" style="93" bestFit="1" customWidth="1"/>
    <col min="12292" max="12292" width="21.21875" style="93" bestFit="1" customWidth="1"/>
    <col min="12293" max="12293" width="20" style="93" customWidth="1"/>
    <col min="12294" max="12294" width="18.77734375" style="93" customWidth="1"/>
    <col min="12295" max="12295" width="16.77734375" style="93" bestFit="1" customWidth="1"/>
    <col min="12296" max="12296" width="20.44140625" style="93" customWidth="1"/>
    <col min="12297" max="12297" width="20.44140625" style="93" bestFit="1" customWidth="1"/>
    <col min="12298" max="12298" width="14.44140625" style="93" bestFit="1" customWidth="1"/>
    <col min="12299" max="12299" width="26" style="93" customWidth="1"/>
    <col min="12300" max="12540" width="9.21875" style="93"/>
    <col min="12541" max="12541" width="2.44140625" style="93" customWidth="1"/>
    <col min="12542" max="12543" width="1.44140625" style="93" customWidth="1"/>
    <col min="12544" max="12544" width="2.21875" style="93" customWidth="1"/>
    <col min="12545" max="12545" width="50.44140625" style="93" bestFit="1" customWidth="1"/>
    <col min="12546" max="12546" width="12.21875" style="93" customWidth="1"/>
    <col min="12547" max="12547" width="21.77734375" style="93" bestFit="1" customWidth="1"/>
    <col min="12548" max="12548" width="21.21875" style="93" bestFit="1" customWidth="1"/>
    <col min="12549" max="12549" width="20" style="93" customWidth="1"/>
    <col min="12550" max="12550" width="18.77734375" style="93" customWidth="1"/>
    <col min="12551" max="12551" width="16.77734375" style="93" bestFit="1" customWidth="1"/>
    <col min="12552" max="12552" width="20.44140625" style="93" customWidth="1"/>
    <col min="12553" max="12553" width="20.44140625" style="93" bestFit="1" customWidth="1"/>
    <col min="12554" max="12554" width="14.44140625" style="93" bestFit="1" customWidth="1"/>
    <col min="12555" max="12555" width="26" style="93" customWidth="1"/>
    <col min="12556" max="12796" width="9.21875" style="93"/>
    <col min="12797" max="12797" width="2.44140625" style="93" customWidth="1"/>
    <col min="12798" max="12799" width="1.44140625" style="93" customWidth="1"/>
    <col min="12800" max="12800" width="2.21875" style="93" customWidth="1"/>
    <col min="12801" max="12801" width="50.44140625" style="93" bestFit="1" customWidth="1"/>
    <col min="12802" max="12802" width="12.21875" style="93" customWidth="1"/>
    <col min="12803" max="12803" width="21.77734375" style="93" bestFit="1" customWidth="1"/>
    <col min="12804" max="12804" width="21.21875" style="93" bestFit="1" customWidth="1"/>
    <col min="12805" max="12805" width="20" style="93" customWidth="1"/>
    <col min="12806" max="12806" width="18.77734375" style="93" customWidth="1"/>
    <col min="12807" max="12807" width="16.77734375" style="93" bestFit="1" customWidth="1"/>
    <col min="12808" max="12808" width="20.44140625" style="93" customWidth="1"/>
    <col min="12809" max="12809" width="20.44140625" style="93" bestFit="1" customWidth="1"/>
    <col min="12810" max="12810" width="14.44140625" style="93" bestFit="1" customWidth="1"/>
    <col min="12811" max="12811" width="26" style="93" customWidth="1"/>
    <col min="12812" max="13052" width="9.21875" style="93"/>
    <col min="13053" max="13053" width="2.44140625" style="93" customWidth="1"/>
    <col min="13054" max="13055" width="1.44140625" style="93" customWidth="1"/>
    <col min="13056" max="13056" width="2.21875" style="93" customWidth="1"/>
    <col min="13057" max="13057" width="50.44140625" style="93" bestFit="1" customWidth="1"/>
    <col min="13058" max="13058" width="12.21875" style="93" customWidth="1"/>
    <col min="13059" max="13059" width="21.77734375" style="93" bestFit="1" customWidth="1"/>
    <col min="13060" max="13060" width="21.21875" style="93" bestFit="1" customWidth="1"/>
    <col min="13061" max="13061" width="20" style="93" customWidth="1"/>
    <col min="13062" max="13062" width="18.77734375" style="93" customWidth="1"/>
    <col min="13063" max="13063" width="16.77734375" style="93" bestFit="1" customWidth="1"/>
    <col min="13064" max="13064" width="20.44140625" style="93" customWidth="1"/>
    <col min="13065" max="13065" width="20.44140625" style="93" bestFit="1" customWidth="1"/>
    <col min="13066" max="13066" width="14.44140625" style="93" bestFit="1" customWidth="1"/>
    <col min="13067" max="13067" width="26" style="93" customWidth="1"/>
    <col min="13068" max="13308" width="9.21875" style="93"/>
    <col min="13309" max="13309" width="2.44140625" style="93" customWidth="1"/>
    <col min="13310" max="13311" width="1.44140625" style="93" customWidth="1"/>
    <col min="13312" max="13312" width="2.21875" style="93" customWidth="1"/>
    <col min="13313" max="13313" width="50.44140625" style="93" bestFit="1" customWidth="1"/>
    <col min="13314" max="13314" width="12.21875" style="93" customWidth="1"/>
    <col min="13315" max="13315" width="21.77734375" style="93" bestFit="1" customWidth="1"/>
    <col min="13316" max="13316" width="21.21875" style="93" bestFit="1" customWidth="1"/>
    <col min="13317" max="13317" width="20" style="93" customWidth="1"/>
    <col min="13318" max="13318" width="18.77734375" style="93" customWidth="1"/>
    <col min="13319" max="13319" width="16.77734375" style="93" bestFit="1" customWidth="1"/>
    <col min="13320" max="13320" width="20.44140625" style="93" customWidth="1"/>
    <col min="13321" max="13321" width="20.44140625" style="93" bestFit="1" customWidth="1"/>
    <col min="13322" max="13322" width="14.44140625" style="93" bestFit="1" customWidth="1"/>
    <col min="13323" max="13323" width="26" style="93" customWidth="1"/>
    <col min="13324" max="13564" width="9.21875" style="93"/>
    <col min="13565" max="13565" width="2.44140625" style="93" customWidth="1"/>
    <col min="13566" max="13567" width="1.44140625" style="93" customWidth="1"/>
    <col min="13568" max="13568" width="2.21875" style="93" customWidth="1"/>
    <col min="13569" max="13569" width="50.44140625" style="93" bestFit="1" customWidth="1"/>
    <col min="13570" max="13570" width="12.21875" style="93" customWidth="1"/>
    <col min="13571" max="13571" width="21.77734375" style="93" bestFit="1" customWidth="1"/>
    <col min="13572" max="13572" width="21.21875" style="93" bestFit="1" customWidth="1"/>
    <col min="13573" max="13573" width="20" style="93" customWidth="1"/>
    <col min="13574" max="13574" width="18.77734375" style="93" customWidth="1"/>
    <col min="13575" max="13575" width="16.77734375" style="93" bestFit="1" customWidth="1"/>
    <col min="13576" max="13576" width="20.44140625" style="93" customWidth="1"/>
    <col min="13577" max="13577" width="20.44140625" style="93" bestFit="1" customWidth="1"/>
    <col min="13578" max="13578" width="14.44140625" style="93" bestFit="1" customWidth="1"/>
    <col min="13579" max="13579" width="26" style="93" customWidth="1"/>
    <col min="13580" max="13820" width="9.21875" style="93"/>
    <col min="13821" max="13821" width="2.44140625" style="93" customWidth="1"/>
    <col min="13822" max="13823" width="1.44140625" style="93" customWidth="1"/>
    <col min="13824" max="13824" width="2.21875" style="93" customWidth="1"/>
    <col min="13825" max="13825" width="50.44140625" style="93" bestFit="1" customWidth="1"/>
    <col min="13826" max="13826" width="12.21875" style="93" customWidth="1"/>
    <col min="13827" max="13827" width="21.77734375" style="93" bestFit="1" customWidth="1"/>
    <col min="13828" max="13828" width="21.21875" style="93" bestFit="1" customWidth="1"/>
    <col min="13829" max="13829" width="20" style="93" customWidth="1"/>
    <col min="13830" max="13830" width="18.77734375" style="93" customWidth="1"/>
    <col min="13831" max="13831" width="16.77734375" style="93" bestFit="1" customWidth="1"/>
    <col min="13832" max="13832" width="20.44140625" style="93" customWidth="1"/>
    <col min="13833" max="13833" width="20.44140625" style="93" bestFit="1" customWidth="1"/>
    <col min="13834" max="13834" width="14.44140625" style="93" bestFit="1" customWidth="1"/>
    <col min="13835" max="13835" width="26" style="93" customWidth="1"/>
    <col min="13836" max="14076" width="9.21875" style="93"/>
    <col min="14077" max="14077" width="2.44140625" style="93" customWidth="1"/>
    <col min="14078" max="14079" width="1.44140625" style="93" customWidth="1"/>
    <col min="14080" max="14080" width="2.21875" style="93" customWidth="1"/>
    <col min="14081" max="14081" width="50.44140625" style="93" bestFit="1" customWidth="1"/>
    <col min="14082" max="14082" width="12.21875" style="93" customWidth="1"/>
    <col min="14083" max="14083" width="21.77734375" style="93" bestFit="1" customWidth="1"/>
    <col min="14084" max="14084" width="21.21875" style="93" bestFit="1" customWidth="1"/>
    <col min="14085" max="14085" width="20" style="93" customWidth="1"/>
    <col min="14086" max="14086" width="18.77734375" style="93" customWidth="1"/>
    <col min="14087" max="14087" width="16.77734375" style="93" bestFit="1" customWidth="1"/>
    <col min="14088" max="14088" width="20.44140625" style="93" customWidth="1"/>
    <col min="14089" max="14089" width="20.44140625" style="93" bestFit="1" customWidth="1"/>
    <col min="14090" max="14090" width="14.44140625" style="93" bestFit="1" customWidth="1"/>
    <col min="14091" max="14091" width="26" style="93" customWidth="1"/>
    <col min="14092" max="14332" width="9.21875" style="93"/>
    <col min="14333" max="14333" width="2.44140625" style="93" customWidth="1"/>
    <col min="14334" max="14335" width="1.44140625" style="93" customWidth="1"/>
    <col min="14336" max="14336" width="2.21875" style="93" customWidth="1"/>
    <col min="14337" max="14337" width="50.44140625" style="93" bestFit="1" customWidth="1"/>
    <col min="14338" max="14338" width="12.21875" style="93" customWidth="1"/>
    <col min="14339" max="14339" width="21.77734375" style="93" bestFit="1" customWidth="1"/>
    <col min="14340" max="14340" width="21.21875" style="93" bestFit="1" customWidth="1"/>
    <col min="14341" max="14341" width="20" style="93" customWidth="1"/>
    <col min="14342" max="14342" width="18.77734375" style="93" customWidth="1"/>
    <col min="14343" max="14343" width="16.77734375" style="93" bestFit="1" customWidth="1"/>
    <col min="14344" max="14344" width="20.44140625" style="93" customWidth="1"/>
    <col min="14345" max="14345" width="20.44140625" style="93" bestFit="1" customWidth="1"/>
    <col min="14346" max="14346" width="14.44140625" style="93" bestFit="1" customWidth="1"/>
    <col min="14347" max="14347" width="26" style="93" customWidth="1"/>
    <col min="14348" max="14588" width="9.21875" style="93"/>
    <col min="14589" max="14589" width="2.44140625" style="93" customWidth="1"/>
    <col min="14590" max="14591" width="1.44140625" style="93" customWidth="1"/>
    <col min="14592" max="14592" width="2.21875" style="93" customWidth="1"/>
    <col min="14593" max="14593" width="50.44140625" style="93" bestFit="1" customWidth="1"/>
    <col min="14594" max="14594" width="12.21875" style="93" customWidth="1"/>
    <col min="14595" max="14595" width="21.77734375" style="93" bestFit="1" customWidth="1"/>
    <col min="14596" max="14596" width="21.21875" style="93" bestFit="1" customWidth="1"/>
    <col min="14597" max="14597" width="20" style="93" customWidth="1"/>
    <col min="14598" max="14598" width="18.77734375" style="93" customWidth="1"/>
    <col min="14599" max="14599" width="16.77734375" style="93" bestFit="1" customWidth="1"/>
    <col min="14600" max="14600" width="20.44140625" style="93" customWidth="1"/>
    <col min="14601" max="14601" width="20.44140625" style="93" bestFit="1" customWidth="1"/>
    <col min="14602" max="14602" width="14.44140625" style="93" bestFit="1" customWidth="1"/>
    <col min="14603" max="14603" width="26" style="93" customWidth="1"/>
    <col min="14604" max="14844" width="9.21875" style="93"/>
    <col min="14845" max="14845" width="2.44140625" style="93" customWidth="1"/>
    <col min="14846" max="14847" width="1.44140625" style="93" customWidth="1"/>
    <col min="14848" max="14848" width="2.21875" style="93" customWidth="1"/>
    <col min="14849" max="14849" width="50.44140625" style="93" bestFit="1" customWidth="1"/>
    <col min="14850" max="14850" width="12.21875" style="93" customWidth="1"/>
    <col min="14851" max="14851" width="21.77734375" style="93" bestFit="1" customWidth="1"/>
    <col min="14852" max="14852" width="21.21875" style="93" bestFit="1" customWidth="1"/>
    <col min="14853" max="14853" width="20" style="93" customWidth="1"/>
    <col min="14854" max="14854" width="18.77734375" style="93" customWidth="1"/>
    <col min="14855" max="14855" width="16.77734375" style="93" bestFit="1" customWidth="1"/>
    <col min="14856" max="14856" width="20.44140625" style="93" customWidth="1"/>
    <col min="14857" max="14857" width="20.44140625" style="93" bestFit="1" customWidth="1"/>
    <col min="14858" max="14858" width="14.44140625" style="93" bestFit="1" customWidth="1"/>
    <col min="14859" max="14859" width="26" style="93" customWidth="1"/>
    <col min="14860" max="15100" width="9.21875" style="93"/>
    <col min="15101" max="15101" width="2.44140625" style="93" customWidth="1"/>
    <col min="15102" max="15103" width="1.44140625" style="93" customWidth="1"/>
    <col min="15104" max="15104" width="2.21875" style="93" customWidth="1"/>
    <col min="15105" max="15105" width="50.44140625" style="93" bestFit="1" customWidth="1"/>
    <col min="15106" max="15106" width="12.21875" style="93" customWidth="1"/>
    <col min="15107" max="15107" width="21.77734375" style="93" bestFit="1" customWidth="1"/>
    <col min="15108" max="15108" width="21.21875" style="93" bestFit="1" customWidth="1"/>
    <col min="15109" max="15109" width="20" style="93" customWidth="1"/>
    <col min="15110" max="15110" width="18.77734375" style="93" customWidth="1"/>
    <col min="15111" max="15111" width="16.77734375" style="93" bestFit="1" customWidth="1"/>
    <col min="15112" max="15112" width="20.44140625" style="93" customWidth="1"/>
    <col min="15113" max="15113" width="20.44140625" style="93" bestFit="1" customWidth="1"/>
    <col min="15114" max="15114" width="14.44140625" style="93" bestFit="1" customWidth="1"/>
    <col min="15115" max="15115" width="26" style="93" customWidth="1"/>
    <col min="15116" max="15356" width="9.21875" style="93"/>
    <col min="15357" max="15357" width="2.44140625" style="93" customWidth="1"/>
    <col min="15358" max="15359" width="1.44140625" style="93" customWidth="1"/>
    <col min="15360" max="15360" width="2.21875" style="93" customWidth="1"/>
    <col min="15361" max="15361" width="50.44140625" style="93" bestFit="1" customWidth="1"/>
    <col min="15362" max="15362" width="12.21875" style="93" customWidth="1"/>
    <col min="15363" max="15363" width="21.77734375" style="93" bestFit="1" customWidth="1"/>
    <col min="15364" max="15364" width="21.21875" style="93" bestFit="1" customWidth="1"/>
    <col min="15365" max="15365" width="20" style="93" customWidth="1"/>
    <col min="15366" max="15366" width="18.77734375" style="93" customWidth="1"/>
    <col min="15367" max="15367" width="16.77734375" style="93" bestFit="1" customWidth="1"/>
    <col min="15368" max="15368" width="20.44140625" style="93" customWidth="1"/>
    <col min="15369" max="15369" width="20.44140625" style="93" bestFit="1" customWidth="1"/>
    <col min="15370" max="15370" width="14.44140625" style="93" bestFit="1" customWidth="1"/>
    <col min="15371" max="15371" width="26" style="93" customWidth="1"/>
    <col min="15372" max="15612" width="9.21875" style="93"/>
    <col min="15613" max="15613" width="2.44140625" style="93" customWidth="1"/>
    <col min="15614" max="15615" width="1.44140625" style="93" customWidth="1"/>
    <col min="15616" max="15616" width="2.21875" style="93" customWidth="1"/>
    <col min="15617" max="15617" width="50.44140625" style="93" bestFit="1" customWidth="1"/>
    <col min="15618" max="15618" width="12.21875" style="93" customWidth="1"/>
    <col min="15619" max="15619" width="21.77734375" style="93" bestFit="1" customWidth="1"/>
    <col min="15620" max="15620" width="21.21875" style="93" bestFit="1" customWidth="1"/>
    <col min="15621" max="15621" width="20" style="93" customWidth="1"/>
    <col min="15622" max="15622" width="18.77734375" style="93" customWidth="1"/>
    <col min="15623" max="15623" width="16.77734375" style="93" bestFit="1" customWidth="1"/>
    <col min="15624" max="15624" width="20.44140625" style="93" customWidth="1"/>
    <col min="15625" max="15625" width="20.44140625" style="93" bestFit="1" customWidth="1"/>
    <col min="15626" max="15626" width="14.44140625" style="93" bestFit="1" customWidth="1"/>
    <col min="15627" max="15627" width="26" style="93" customWidth="1"/>
    <col min="15628" max="15868" width="9.21875" style="93"/>
    <col min="15869" max="15869" width="2.44140625" style="93" customWidth="1"/>
    <col min="15870" max="15871" width="1.44140625" style="93" customWidth="1"/>
    <col min="15872" max="15872" width="2.21875" style="93" customWidth="1"/>
    <col min="15873" max="15873" width="50.44140625" style="93" bestFit="1" customWidth="1"/>
    <col min="15874" max="15874" width="12.21875" style="93" customWidth="1"/>
    <col min="15875" max="15875" width="21.77734375" style="93" bestFit="1" customWidth="1"/>
    <col min="15876" max="15876" width="21.21875" style="93" bestFit="1" customWidth="1"/>
    <col min="15877" max="15877" width="20" style="93" customWidth="1"/>
    <col min="15878" max="15878" width="18.77734375" style="93" customWidth="1"/>
    <col min="15879" max="15879" width="16.77734375" style="93" bestFit="1" customWidth="1"/>
    <col min="15880" max="15880" width="20.44140625" style="93" customWidth="1"/>
    <col min="15881" max="15881" width="20.44140625" style="93" bestFit="1" customWidth="1"/>
    <col min="15882" max="15882" width="14.44140625" style="93" bestFit="1" customWidth="1"/>
    <col min="15883" max="15883" width="26" style="93" customWidth="1"/>
    <col min="15884" max="16124" width="9.21875" style="93"/>
    <col min="16125" max="16125" width="2.44140625" style="93" customWidth="1"/>
    <col min="16126" max="16127" width="1.44140625" style="93" customWidth="1"/>
    <col min="16128" max="16128" width="2.21875" style="93" customWidth="1"/>
    <col min="16129" max="16129" width="50.44140625" style="93" bestFit="1" customWidth="1"/>
    <col min="16130" max="16130" width="12.21875" style="93" customWidth="1"/>
    <col min="16131" max="16131" width="21.77734375" style="93" bestFit="1" customWidth="1"/>
    <col min="16132" max="16132" width="21.21875" style="93" bestFit="1" customWidth="1"/>
    <col min="16133" max="16133" width="20" style="93" customWidth="1"/>
    <col min="16134" max="16134" width="18.77734375" style="93" customWidth="1"/>
    <col min="16135" max="16135" width="16.77734375" style="93" bestFit="1" customWidth="1"/>
    <col min="16136" max="16136" width="20.44140625" style="93" customWidth="1"/>
    <col min="16137" max="16137" width="20.44140625" style="93" bestFit="1" customWidth="1"/>
    <col min="16138" max="16138" width="14.44140625" style="93" bestFit="1" customWidth="1"/>
    <col min="16139" max="16139" width="26" style="93" customWidth="1"/>
    <col min="16140" max="16384" width="9.21875" style="93"/>
  </cols>
  <sheetData>
    <row r="1" spans="1:8" ht="8.1" customHeight="1" x14ac:dyDescent="0.3">
      <c r="A1" s="322" t="e" vm="1">
        <v>#VALUE!</v>
      </c>
      <c r="B1" s="322"/>
      <c r="C1" s="322"/>
      <c r="D1" s="322"/>
    </row>
    <row r="2" spans="1:8" x14ac:dyDescent="0.3">
      <c r="A2" s="322"/>
      <c r="B2" s="322"/>
      <c r="C2" s="322"/>
      <c r="D2" s="322"/>
    </row>
    <row r="3" spans="1:8" x14ac:dyDescent="0.3">
      <c r="A3" s="322"/>
      <c r="B3" s="322"/>
      <c r="C3" s="322"/>
      <c r="D3" s="322"/>
    </row>
    <row r="4" spans="1:8" x14ac:dyDescent="0.3">
      <c r="A4" s="322"/>
      <c r="B4" s="322"/>
      <c r="C4" s="322"/>
      <c r="D4" s="322"/>
    </row>
    <row r="5" spans="1:8" x14ac:dyDescent="0.3">
      <c r="A5" s="322"/>
      <c r="B5" s="322"/>
      <c r="C5" s="322"/>
      <c r="D5" s="322"/>
    </row>
    <row r="6" spans="1:8" x14ac:dyDescent="0.3">
      <c r="A6" s="322"/>
      <c r="B6" s="322"/>
      <c r="C6" s="322"/>
      <c r="D6" s="322"/>
    </row>
    <row r="7" spans="1:8" x14ac:dyDescent="0.3">
      <c r="A7" s="323" t="s">
        <v>271</v>
      </c>
      <c r="B7" s="323"/>
      <c r="C7" s="323"/>
      <c r="D7" s="323"/>
    </row>
    <row r="8" spans="1:8" x14ac:dyDescent="0.3">
      <c r="A8" s="323" t="s">
        <v>89</v>
      </c>
      <c r="B8" s="323"/>
      <c r="C8" s="323"/>
      <c r="D8" s="323"/>
    </row>
    <row r="9" spans="1:8" x14ac:dyDescent="0.3">
      <c r="A9" s="323" t="s">
        <v>280</v>
      </c>
      <c r="B9" s="323"/>
      <c r="C9" s="323"/>
      <c r="D9" s="323"/>
    </row>
    <row r="10" spans="1:8" s="95" customFormat="1" x14ac:dyDescent="0.3">
      <c r="A10" s="324"/>
      <c r="B10" s="324"/>
      <c r="C10" s="324"/>
      <c r="D10" s="324"/>
      <c r="E10" s="94"/>
      <c r="F10" s="94"/>
    </row>
    <row r="11" spans="1:8" s="95" customFormat="1" ht="15" customHeight="1" x14ac:dyDescent="0.3">
      <c r="A11" s="325" t="s">
        <v>1</v>
      </c>
      <c r="B11" s="325"/>
      <c r="C11" s="325"/>
      <c r="D11" s="325"/>
      <c r="E11"/>
      <c r="F11"/>
      <c r="G11"/>
      <c r="H11"/>
    </row>
    <row r="12" spans="1:8" ht="26.1" customHeight="1" x14ac:dyDescent="0.3">
      <c r="A12" s="96" t="s">
        <v>2</v>
      </c>
      <c r="B12" s="96" t="s">
        <v>3</v>
      </c>
      <c r="C12" s="97" t="s">
        <v>278</v>
      </c>
      <c r="D12" s="97" t="s">
        <v>279</v>
      </c>
      <c r="E12"/>
      <c r="F12"/>
      <c r="G12"/>
      <c r="H12"/>
    </row>
    <row r="13" spans="1:8" ht="14.4" x14ac:dyDescent="0.3">
      <c r="A13" s="98"/>
      <c r="B13" s="99"/>
      <c r="C13" s="100"/>
      <c r="D13" s="100"/>
      <c r="E13"/>
      <c r="F13"/>
      <c r="G13"/>
      <c r="H13"/>
    </row>
    <row r="14" spans="1:8" ht="14.4" x14ac:dyDescent="0.3">
      <c r="A14" s="101" t="s">
        <v>90</v>
      </c>
      <c r="B14" s="102" t="s">
        <v>427</v>
      </c>
      <c r="C14" s="103">
        <v>3031483875719.75</v>
      </c>
      <c r="D14" s="103">
        <v>2987207439181.2769</v>
      </c>
      <c r="E14"/>
      <c r="F14"/>
      <c r="G14"/>
      <c r="H14"/>
    </row>
    <row r="15" spans="1:8" ht="14.4" x14ac:dyDescent="0.3">
      <c r="A15" s="104"/>
      <c r="B15" s="105"/>
      <c r="C15" s="106"/>
      <c r="D15" s="106"/>
      <c r="E15"/>
      <c r="F15"/>
      <c r="G15"/>
      <c r="H15"/>
    </row>
    <row r="16" spans="1:8" ht="14.4" x14ac:dyDescent="0.3">
      <c r="A16" s="107" t="s">
        <v>91</v>
      </c>
      <c r="B16" s="308" t="s">
        <v>366</v>
      </c>
      <c r="C16" s="109">
        <v>180757327126.31003</v>
      </c>
      <c r="D16" s="109">
        <v>97266298953.736588</v>
      </c>
      <c r="E16"/>
      <c r="F16"/>
      <c r="G16"/>
      <c r="H16"/>
    </row>
    <row r="17" spans="1:8" ht="14.4" x14ac:dyDescent="0.3">
      <c r="A17" s="110" t="s">
        <v>92</v>
      </c>
      <c r="B17" s="309" t="s">
        <v>364</v>
      </c>
      <c r="C17" s="112">
        <v>68604191786.089996</v>
      </c>
      <c r="D17" s="112">
        <v>40009174630.370003</v>
      </c>
      <c r="E17"/>
      <c r="F17" s="33"/>
      <c r="G17"/>
      <c r="H17"/>
    </row>
    <row r="18" spans="1:8" ht="14.4" x14ac:dyDescent="0.3">
      <c r="A18" s="113" t="s">
        <v>93</v>
      </c>
      <c r="B18" s="309" t="s">
        <v>365</v>
      </c>
      <c r="C18" s="112">
        <v>57768870005.419998</v>
      </c>
      <c r="D18" s="112">
        <v>29939689016.700001</v>
      </c>
      <c r="E18"/>
      <c r="F18"/>
      <c r="G18"/>
      <c r="H18"/>
    </row>
    <row r="19" spans="1:8" ht="14.4" x14ac:dyDescent="0.3">
      <c r="A19" s="113" t="s">
        <v>94</v>
      </c>
      <c r="B19" s="309" t="s">
        <v>367</v>
      </c>
      <c r="C19" s="112">
        <v>0</v>
      </c>
      <c r="D19" s="112">
        <v>81100000</v>
      </c>
      <c r="E19"/>
      <c r="F19"/>
      <c r="G19"/>
      <c r="H19"/>
    </row>
    <row r="20" spans="1:8" ht="14.4" x14ac:dyDescent="0.3">
      <c r="A20" s="113" t="s">
        <v>95</v>
      </c>
      <c r="B20" s="309" t="s">
        <v>368</v>
      </c>
      <c r="C20" s="112">
        <v>5207916</v>
      </c>
      <c r="D20" s="112">
        <v>0</v>
      </c>
      <c r="E20"/>
      <c r="F20"/>
      <c r="G20"/>
      <c r="H20"/>
    </row>
    <row r="21" spans="1:8" ht="14.4" x14ac:dyDescent="0.3">
      <c r="A21" s="113" t="s">
        <v>96</v>
      </c>
      <c r="B21" s="309" t="s">
        <v>369</v>
      </c>
      <c r="C21" s="112">
        <v>9517506186.9699993</v>
      </c>
      <c r="D21" s="112">
        <v>8696807068.9500008</v>
      </c>
      <c r="E21"/>
      <c r="F21"/>
      <c r="G21"/>
      <c r="H21"/>
    </row>
    <row r="22" spans="1:8" ht="14.4" hidden="1" x14ac:dyDescent="0.3">
      <c r="A22" s="113" t="s">
        <v>97</v>
      </c>
      <c r="B22" s="111"/>
      <c r="C22" s="112">
        <v>0</v>
      </c>
      <c r="D22" s="112">
        <v>0</v>
      </c>
      <c r="E22"/>
      <c r="F22"/>
      <c r="G22"/>
      <c r="H22"/>
    </row>
    <row r="23" spans="1:8" ht="14.4" x14ac:dyDescent="0.3">
      <c r="A23" s="113" t="s">
        <v>98</v>
      </c>
      <c r="B23" s="309" t="s">
        <v>370</v>
      </c>
      <c r="C23" s="112">
        <v>0</v>
      </c>
      <c r="D23" s="112">
        <v>0</v>
      </c>
      <c r="E23" t="s">
        <v>429</v>
      </c>
      <c r="F23"/>
      <c r="G23"/>
      <c r="H23"/>
    </row>
    <row r="24" spans="1:8" ht="14.4" hidden="1" x14ac:dyDescent="0.3">
      <c r="A24" s="113" t="s">
        <v>99</v>
      </c>
      <c r="B24" s="111"/>
      <c r="C24" s="112">
        <v>0</v>
      </c>
      <c r="D24" s="112">
        <v>0</v>
      </c>
      <c r="E24"/>
      <c r="F24"/>
      <c r="G24"/>
      <c r="H24"/>
    </row>
    <row r="25" spans="1:8" ht="14.4" hidden="1" x14ac:dyDescent="0.3">
      <c r="A25" s="113" t="s">
        <v>100</v>
      </c>
      <c r="B25" s="111"/>
      <c r="C25" s="112">
        <v>0</v>
      </c>
      <c r="D25" s="112">
        <v>0</v>
      </c>
      <c r="E25"/>
      <c r="F25"/>
      <c r="G25"/>
      <c r="H25"/>
    </row>
    <row r="26" spans="1:8" ht="14.4" hidden="1" x14ac:dyDescent="0.3">
      <c r="A26" s="113" t="s">
        <v>101</v>
      </c>
      <c r="B26" s="111"/>
      <c r="C26" s="112">
        <v>0</v>
      </c>
      <c r="D26" s="112">
        <v>0</v>
      </c>
      <c r="E26"/>
      <c r="F26"/>
      <c r="G26"/>
      <c r="H26"/>
    </row>
    <row r="27" spans="1:8" ht="14.4" x14ac:dyDescent="0.3">
      <c r="A27" s="113" t="s">
        <v>101</v>
      </c>
      <c r="B27" s="309" t="s">
        <v>371</v>
      </c>
      <c r="C27" s="112">
        <v>364491045.69999993</v>
      </c>
      <c r="D27" s="112">
        <v>59683634.719999999</v>
      </c>
      <c r="E27" t="s">
        <v>429</v>
      </c>
      <c r="F27"/>
      <c r="G27"/>
      <c r="H27"/>
    </row>
    <row r="28" spans="1:8" ht="14.4" x14ac:dyDescent="0.3">
      <c r="A28" s="113" t="s">
        <v>102</v>
      </c>
      <c r="B28" s="309" t="s">
        <v>412</v>
      </c>
      <c r="C28" s="112">
        <v>948116632</v>
      </c>
      <c r="D28" s="112">
        <v>1231894910</v>
      </c>
      <c r="E28" t="s">
        <v>429</v>
      </c>
      <c r="F28"/>
      <c r="G28"/>
      <c r="H28"/>
    </row>
    <row r="29" spans="1:8" ht="14.4" hidden="1" x14ac:dyDescent="0.3">
      <c r="A29" s="113" t="s">
        <v>103</v>
      </c>
      <c r="B29" s="111"/>
      <c r="C29" s="112">
        <v>0</v>
      </c>
      <c r="D29" s="112">
        <v>0</v>
      </c>
      <c r="E29"/>
      <c r="F29"/>
      <c r="G29"/>
      <c r="H29"/>
    </row>
    <row r="30" spans="1:8" ht="14.4" hidden="1" x14ac:dyDescent="0.3">
      <c r="A30" s="113" t="s">
        <v>104</v>
      </c>
      <c r="B30" s="111"/>
      <c r="C30" s="112">
        <v>0</v>
      </c>
      <c r="D30" s="112">
        <v>0</v>
      </c>
      <c r="E30"/>
      <c r="F30"/>
      <c r="G30"/>
      <c r="H30"/>
    </row>
    <row r="31" spans="1:8" ht="14.4" hidden="1" x14ac:dyDescent="0.3">
      <c r="A31" s="110" t="s">
        <v>105</v>
      </c>
      <c r="B31" s="111"/>
      <c r="C31" s="112">
        <v>0</v>
      </c>
      <c r="D31" s="114">
        <v>0</v>
      </c>
      <c r="E31"/>
      <c r="F31"/>
      <c r="G31"/>
      <c r="H31"/>
    </row>
    <row r="32" spans="1:8" ht="14.4" x14ac:dyDescent="0.3">
      <c r="A32" s="110" t="s">
        <v>106</v>
      </c>
      <c r="B32" s="309" t="s">
        <v>372</v>
      </c>
      <c r="C32" s="112">
        <v>24523290625.319996</v>
      </c>
      <c r="D32" s="114">
        <v>22489883236.32</v>
      </c>
      <c r="E32"/>
      <c r="F32"/>
      <c r="G32"/>
      <c r="H32"/>
    </row>
    <row r="33" spans="1:8" ht="14.4" x14ac:dyDescent="0.3">
      <c r="A33" s="110" t="s">
        <v>107</v>
      </c>
      <c r="B33" s="309" t="s">
        <v>373</v>
      </c>
      <c r="C33" s="112">
        <v>14529257167</v>
      </c>
      <c r="D33" s="112">
        <v>9466432167</v>
      </c>
      <c r="E33"/>
      <c r="F33"/>
      <c r="G33"/>
      <c r="H33"/>
    </row>
    <row r="34" spans="1:8" ht="27.6" x14ac:dyDescent="0.3">
      <c r="A34" s="110" t="s">
        <v>108</v>
      </c>
      <c r="B34" s="111" t="s">
        <v>374</v>
      </c>
      <c r="C34" s="112">
        <v>13622365.1</v>
      </c>
      <c r="D34" s="114">
        <v>15626600</v>
      </c>
      <c r="E34"/>
      <c r="F34"/>
      <c r="G34"/>
      <c r="H34"/>
    </row>
    <row r="35" spans="1:8" ht="14.4" x14ac:dyDescent="0.3">
      <c r="A35" s="110" t="s">
        <v>109</v>
      </c>
      <c r="B35" s="111" t="s">
        <v>375</v>
      </c>
      <c r="C35" s="112">
        <v>4941468780</v>
      </c>
      <c r="D35" s="112">
        <v>8495053937</v>
      </c>
      <c r="E35"/>
      <c r="F35"/>
      <c r="G35"/>
      <c r="H35"/>
    </row>
    <row r="36" spans="1:8" ht="14.4" x14ac:dyDescent="0.3">
      <c r="A36" s="110" t="s">
        <v>110</v>
      </c>
      <c r="B36" s="111" t="s">
        <v>376</v>
      </c>
      <c r="C36" s="112">
        <v>76837538000</v>
      </c>
      <c r="D36" s="114">
        <v>9452884000</v>
      </c>
      <c r="E36"/>
      <c r="F36"/>
      <c r="G36"/>
      <c r="H36"/>
    </row>
    <row r="37" spans="1:8" ht="14.4" x14ac:dyDescent="0.3">
      <c r="A37" s="110" t="s">
        <v>111</v>
      </c>
      <c r="B37" s="111" t="s">
        <v>377</v>
      </c>
      <c r="C37" s="112">
        <v>1024848964</v>
      </c>
      <c r="D37" s="112">
        <v>7938405512</v>
      </c>
      <c r="E37"/>
      <c r="F37"/>
      <c r="G37"/>
      <c r="H37"/>
    </row>
    <row r="38" spans="1:8" ht="14.4" x14ac:dyDescent="0.3">
      <c r="A38" s="110" t="s">
        <v>112</v>
      </c>
      <c r="B38" s="111" t="s">
        <v>378</v>
      </c>
      <c r="C38" s="114">
        <v>47131730</v>
      </c>
      <c r="D38" s="112">
        <v>517529460</v>
      </c>
      <c r="E38"/>
      <c r="F38"/>
      <c r="G38"/>
      <c r="H38"/>
    </row>
    <row r="39" spans="1:8" ht="14.4" x14ac:dyDescent="0.3">
      <c r="A39" s="110" t="s">
        <v>113</v>
      </c>
      <c r="B39" s="111" t="s">
        <v>379</v>
      </c>
      <c r="C39" s="112">
        <v>-31275951077.429996</v>
      </c>
      <c r="D39" s="112">
        <v>-26845727935.220001</v>
      </c>
      <c r="E39" s="115"/>
      <c r="F39"/>
      <c r="G39"/>
      <c r="H39"/>
    </row>
    <row r="40" spans="1:8" ht="14.4" x14ac:dyDescent="0.3">
      <c r="A40" s="110" t="s">
        <v>114</v>
      </c>
      <c r="B40" s="111" t="s">
        <v>380</v>
      </c>
      <c r="C40" s="112">
        <v>38666666.670000002</v>
      </c>
      <c r="D40" s="112">
        <v>1906594316</v>
      </c>
      <c r="E40"/>
      <c r="F40"/>
      <c r="G40"/>
      <c r="H40"/>
    </row>
    <row r="41" spans="1:8" ht="14.4" x14ac:dyDescent="0.3">
      <c r="A41" s="110" t="s">
        <v>115</v>
      </c>
      <c r="B41" s="111" t="s">
        <v>381</v>
      </c>
      <c r="C41" s="112">
        <v>21473262119.559998</v>
      </c>
      <c r="D41" s="112">
        <v>23820443030.26659</v>
      </c>
      <c r="E41"/>
      <c r="F41"/>
      <c r="G41"/>
      <c r="H41"/>
    </row>
    <row r="42" spans="1:8" ht="14.4" x14ac:dyDescent="0.3">
      <c r="A42" s="110"/>
      <c r="B42" s="116"/>
      <c r="C42" s="112"/>
      <c r="D42" s="112"/>
      <c r="E42"/>
      <c r="F42"/>
      <c r="G42"/>
      <c r="H42"/>
    </row>
    <row r="43" spans="1:8" ht="14.4" x14ac:dyDescent="0.3">
      <c r="A43" s="107" t="s">
        <v>116</v>
      </c>
      <c r="B43" s="108" t="s">
        <v>382</v>
      </c>
      <c r="C43" s="109">
        <v>78515352256.440002</v>
      </c>
      <c r="D43" s="109">
        <v>84628796886.024002</v>
      </c>
      <c r="E43"/>
      <c r="F43"/>
      <c r="G43"/>
      <c r="H43"/>
    </row>
    <row r="44" spans="1:8" ht="14.4" x14ac:dyDescent="0.3">
      <c r="A44" s="110" t="s">
        <v>117</v>
      </c>
      <c r="B44" s="117" t="s">
        <v>383</v>
      </c>
      <c r="C44" s="112">
        <v>13375000.5</v>
      </c>
      <c r="D44" s="112">
        <v>13375000.5</v>
      </c>
      <c r="E44"/>
      <c r="F44"/>
      <c r="G44"/>
      <c r="H44"/>
    </row>
    <row r="45" spans="1:8" ht="14.4" x14ac:dyDescent="0.3">
      <c r="A45" s="110" t="s">
        <v>118</v>
      </c>
      <c r="B45" s="117" t="s">
        <v>384</v>
      </c>
      <c r="C45" s="112">
        <v>78501977255.940002</v>
      </c>
      <c r="D45" s="112">
        <v>84615421885.524002</v>
      </c>
      <c r="E45"/>
      <c r="F45"/>
      <c r="G45"/>
      <c r="H45"/>
    </row>
    <row r="46" spans="1:8" ht="14.4" x14ac:dyDescent="0.3">
      <c r="A46" s="118"/>
      <c r="B46" s="116"/>
      <c r="C46" s="119"/>
      <c r="D46" s="119"/>
      <c r="E46"/>
      <c r="F46"/>
      <c r="G46"/>
      <c r="H46"/>
    </row>
    <row r="47" spans="1:8" ht="14.4" x14ac:dyDescent="0.3">
      <c r="A47" s="107" t="s">
        <v>119</v>
      </c>
      <c r="B47" s="108" t="s">
        <v>385</v>
      </c>
      <c r="C47" s="109">
        <v>2649641375145.1299</v>
      </c>
      <c r="D47" s="109">
        <v>2678998403647.6963</v>
      </c>
      <c r="E47"/>
      <c r="F47"/>
      <c r="G47"/>
      <c r="H47"/>
    </row>
    <row r="48" spans="1:8" ht="14.4" x14ac:dyDescent="0.3">
      <c r="A48" s="110" t="s">
        <v>120</v>
      </c>
      <c r="B48" s="111" t="s">
        <v>386</v>
      </c>
      <c r="C48" s="112">
        <v>498033019298.66998</v>
      </c>
      <c r="D48" s="112">
        <v>478771890498.66998</v>
      </c>
      <c r="E48"/>
      <c r="F48"/>
      <c r="G48"/>
      <c r="H48"/>
    </row>
    <row r="49" spans="1:8" ht="14.4" x14ac:dyDescent="0.3">
      <c r="A49" s="110" t="s">
        <v>121</v>
      </c>
      <c r="B49" s="111" t="s">
        <v>387</v>
      </c>
      <c r="C49" s="112">
        <v>760440812936.51001</v>
      </c>
      <c r="D49" s="112">
        <v>735190183804.68042</v>
      </c>
      <c r="E49"/>
      <c r="F49"/>
      <c r="G49"/>
      <c r="H49"/>
    </row>
    <row r="50" spans="1:8" ht="14.4" x14ac:dyDescent="0.3">
      <c r="A50" s="110" t="s">
        <v>122</v>
      </c>
      <c r="B50" s="111" t="s">
        <v>388</v>
      </c>
      <c r="C50" s="112">
        <v>1676434067802.6899</v>
      </c>
      <c r="D50" s="112">
        <v>1603368262932.6902</v>
      </c>
      <c r="E50"/>
      <c r="F50"/>
      <c r="G50"/>
      <c r="H50"/>
    </row>
    <row r="51" spans="1:8" ht="14.4" x14ac:dyDescent="0.3">
      <c r="A51" s="110" t="s">
        <v>123</v>
      </c>
      <c r="B51" s="111" t="s">
        <v>389</v>
      </c>
      <c r="C51" s="112">
        <v>1774592097457.1399</v>
      </c>
      <c r="D51" s="120">
        <v>1709235261237.7402</v>
      </c>
      <c r="E51"/>
      <c r="F51"/>
      <c r="G51"/>
      <c r="H51"/>
    </row>
    <row r="52" spans="1:8" s="121" customFormat="1" ht="14.4" x14ac:dyDescent="0.3">
      <c r="A52" s="110" t="s">
        <v>124</v>
      </c>
      <c r="B52" s="111" t="s">
        <v>390</v>
      </c>
      <c r="C52" s="112">
        <v>84527852591.330002</v>
      </c>
      <c r="D52" s="120">
        <v>76854866530.240036</v>
      </c>
      <c r="E52"/>
      <c r="F52"/>
      <c r="G52"/>
      <c r="H52"/>
    </row>
    <row r="53" spans="1:8" ht="14.4" x14ac:dyDescent="0.3">
      <c r="A53" s="110" t="s">
        <v>125</v>
      </c>
      <c r="B53" s="111" t="s">
        <v>391</v>
      </c>
      <c r="C53" s="112">
        <v>20228678461.000004</v>
      </c>
      <c r="D53" s="120">
        <v>24116772488</v>
      </c>
      <c r="E53"/>
      <c r="F53"/>
      <c r="G53"/>
      <c r="H53"/>
    </row>
    <row r="54" spans="1:8" ht="14.4" x14ac:dyDescent="0.3">
      <c r="A54" s="110" t="s">
        <v>126</v>
      </c>
      <c r="B54" s="111" t="s">
        <v>392</v>
      </c>
      <c r="C54" s="114">
        <v>-2164615153402.2065</v>
      </c>
      <c r="D54" s="120">
        <v>-1948538833844.325</v>
      </c>
      <c r="E54"/>
      <c r="F54"/>
      <c r="G54"/>
      <c r="H54"/>
    </row>
    <row r="55" spans="1:8" ht="14.4" hidden="1" x14ac:dyDescent="0.3">
      <c r="A55" s="110" t="s">
        <v>127</v>
      </c>
      <c r="B55" s="111"/>
      <c r="C55" s="114">
        <v>0</v>
      </c>
      <c r="D55" s="120">
        <v>0</v>
      </c>
      <c r="E55"/>
      <c r="F55"/>
      <c r="G55"/>
      <c r="H55"/>
    </row>
    <row r="56" spans="1:8" ht="14.4" hidden="1" x14ac:dyDescent="0.3">
      <c r="A56" s="110" t="s">
        <v>128</v>
      </c>
      <c r="B56" s="111"/>
      <c r="C56" s="114">
        <v>0</v>
      </c>
      <c r="D56" s="120">
        <v>0</v>
      </c>
      <c r="E56"/>
      <c r="F56"/>
      <c r="G56"/>
      <c r="H56"/>
    </row>
    <row r="57" spans="1:8" ht="14.4" x14ac:dyDescent="0.3">
      <c r="A57" s="122"/>
      <c r="B57" s="111"/>
      <c r="C57" s="123"/>
      <c r="D57" s="123"/>
      <c r="E57"/>
      <c r="F57"/>
      <c r="G57"/>
      <c r="H57"/>
    </row>
    <row r="58" spans="1:8" ht="14.4" hidden="1" x14ac:dyDescent="0.3">
      <c r="A58" s="107" t="s">
        <v>129</v>
      </c>
      <c r="B58" s="108"/>
      <c r="C58" s="109">
        <v>0</v>
      </c>
      <c r="D58" s="109">
        <v>0</v>
      </c>
      <c r="E58"/>
      <c r="F58"/>
      <c r="G58"/>
      <c r="H58"/>
    </row>
    <row r="59" spans="1:8" ht="14.4" hidden="1" x14ac:dyDescent="0.3">
      <c r="A59" s="110" t="s">
        <v>130</v>
      </c>
      <c r="B59" s="111"/>
      <c r="C59" s="112">
        <v>0</v>
      </c>
      <c r="D59" s="112">
        <v>0</v>
      </c>
      <c r="E59"/>
      <c r="F59"/>
      <c r="G59"/>
      <c r="H59"/>
    </row>
    <row r="60" spans="1:8" ht="27.6" hidden="1" x14ac:dyDescent="0.3">
      <c r="A60" s="110" t="s">
        <v>131</v>
      </c>
      <c r="B60" s="111"/>
      <c r="C60" s="112">
        <v>0</v>
      </c>
      <c r="D60" s="112">
        <v>0</v>
      </c>
      <c r="E60"/>
      <c r="F60"/>
      <c r="G60"/>
      <c r="H60"/>
    </row>
    <row r="61" spans="1:8" ht="27.6" hidden="1" x14ac:dyDescent="0.3">
      <c r="A61" s="110" t="s">
        <v>132</v>
      </c>
      <c r="B61" s="111"/>
      <c r="C61" s="112">
        <v>0</v>
      </c>
      <c r="D61" s="112">
        <v>0</v>
      </c>
      <c r="E61"/>
      <c r="F61"/>
      <c r="G61"/>
      <c r="H61"/>
    </row>
    <row r="62" spans="1:8" ht="14.4" hidden="1" x14ac:dyDescent="0.3">
      <c r="A62" s="122"/>
      <c r="B62" s="111"/>
      <c r="C62" s="124"/>
      <c r="D62" s="124"/>
      <c r="E62"/>
      <c r="F62"/>
      <c r="G62"/>
      <c r="H62"/>
    </row>
    <row r="63" spans="1:8" ht="14.4" x14ac:dyDescent="0.3">
      <c r="A63" s="107" t="s">
        <v>142</v>
      </c>
      <c r="B63" s="108" t="s">
        <v>393</v>
      </c>
      <c r="C63" s="109">
        <v>80165567282.269989</v>
      </c>
      <c r="D63" s="109">
        <v>81303020076.269989</v>
      </c>
      <c r="E63"/>
      <c r="F63"/>
      <c r="G63"/>
      <c r="H63"/>
    </row>
    <row r="64" spans="1:8" ht="14.4" x14ac:dyDescent="0.3">
      <c r="A64" s="110" t="s">
        <v>143</v>
      </c>
      <c r="B64" s="111" t="s">
        <v>394</v>
      </c>
      <c r="C64" s="112">
        <v>35629954629.5</v>
      </c>
      <c r="D64" s="112">
        <v>35629954629.5</v>
      </c>
      <c r="E64"/>
      <c r="F64"/>
      <c r="G64"/>
      <c r="H64"/>
    </row>
    <row r="65" spans="1:8" ht="14.4" x14ac:dyDescent="0.3">
      <c r="A65" s="110" t="s">
        <v>144</v>
      </c>
      <c r="B65" s="111" t="s">
        <v>395</v>
      </c>
      <c r="C65" s="112">
        <v>57056158629.769997</v>
      </c>
      <c r="D65" s="112">
        <v>57056158629.769997</v>
      </c>
      <c r="E65"/>
      <c r="F65"/>
      <c r="G65"/>
      <c r="H65"/>
    </row>
    <row r="66" spans="1:8" ht="27.6" hidden="1" x14ac:dyDescent="0.3">
      <c r="A66" s="110" t="s">
        <v>145</v>
      </c>
      <c r="B66" s="111"/>
      <c r="C66" s="112">
        <v>0</v>
      </c>
      <c r="D66" s="112">
        <v>0</v>
      </c>
      <c r="E66"/>
      <c r="F66"/>
      <c r="G66"/>
      <c r="H66"/>
    </row>
    <row r="67" spans="1:8" ht="14.4" x14ac:dyDescent="0.3">
      <c r="A67" s="110" t="s">
        <v>146</v>
      </c>
      <c r="B67" s="111" t="s">
        <v>396</v>
      </c>
      <c r="C67" s="112">
        <v>-12520545977</v>
      </c>
      <c r="D67" s="112">
        <v>-11383093183</v>
      </c>
      <c r="E67"/>
      <c r="F67"/>
      <c r="G67"/>
      <c r="H67"/>
    </row>
    <row r="68" spans="1:8" ht="14.4" x14ac:dyDescent="0.3">
      <c r="A68" s="110"/>
      <c r="B68" s="111"/>
      <c r="C68" s="112"/>
      <c r="D68" s="112"/>
      <c r="E68"/>
      <c r="F68"/>
      <c r="G68"/>
      <c r="H68"/>
    </row>
    <row r="69" spans="1:8" ht="14.4" x14ac:dyDescent="0.3">
      <c r="A69" s="107" t="s">
        <v>133</v>
      </c>
      <c r="B69" s="108" t="s">
        <v>397</v>
      </c>
      <c r="C69" s="109">
        <v>42404253909.599998</v>
      </c>
      <c r="D69" s="109">
        <v>45010919617.549995</v>
      </c>
      <c r="E69"/>
      <c r="F69"/>
      <c r="G69"/>
      <c r="H69"/>
    </row>
    <row r="70" spans="1:8" ht="14.4" x14ac:dyDescent="0.3">
      <c r="A70" s="110" t="s">
        <v>134</v>
      </c>
      <c r="B70" s="111" t="s">
        <v>398</v>
      </c>
      <c r="C70" s="112">
        <v>15865434487.93</v>
      </c>
      <c r="D70" s="112">
        <v>11956477968.07</v>
      </c>
      <c r="E70"/>
      <c r="F70"/>
      <c r="G70"/>
      <c r="H70"/>
    </row>
    <row r="71" spans="1:8" ht="14.4" hidden="1" x14ac:dyDescent="0.3">
      <c r="A71" s="110" t="s">
        <v>135</v>
      </c>
      <c r="B71" s="111"/>
      <c r="C71" s="112">
        <v>0</v>
      </c>
      <c r="D71" s="112">
        <v>0</v>
      </c>
      <c r="E71"/>
      <c r="F71"/>
      <c r="G71"/>
      <c r="H71"/>
    </row>
    <row r="72" spans="1:8" ht="14.4" x14ac:dyDescent="0.3">
      <c r="A72" s="110" t="s">
        <v>136</v>
      </c>
      <c r="B72" s="111" t="s">
        <v>399</v>
      </c>
      <c r="C72" s="112">
        <v>1088585000</v>
      </c>
      <c r="D72" s="112">
        <v>1088585000</v>
      </c>
      <c r="E72"/>
      <c r="F72"/>
      <c r="G72"/>
      <c r="H72"/>
    </row>
    <row r="73" spans="1:8" ht="14.4" x14ac:dyDescent="0.3">
      <c r="A73" s="110" t="s">
        <v>137</v>
      </c>
      <c r="B73" s="111" t="s">
        <v>400</v>
      </c>
      <c r="C73" s="112">
        <v>26154188380</v>
      </c>
      <c r="D73" s="112">
        <v>32115265906.490002</v>
      </c>
      <c r="E73"/>
      <c r="F73"/>
      <c r="G73"/>
      <c r="H73"/>
    </row>
    <row r="74" spans="1:8" ht="14.4" x14ac:dyDescent="0.3">
      <c r="A74" s="110" t="s">
        <v>138</v>
      </c>
      <c r="B74" s="111" t="s">
        <v>401</v>
      </c>
      <c r="C74" s="120">
        <v>-703953958.33000004</v>
      </c>
      <c r="D74" s="120">
        <v>-650419257.00999999</v>
      </c>
      <c r="E74"/>
      <c r="F74"/>
      <c r="G74"/>
      <c r="H74"/>
    </row>
    <row r="75" spans="1:8" ht="14.4" hidden="1" x14ac:dyDescent="0.3">
      <c r="A75" s="110" t="s">
        <v>139</v>
      </c>
      <c r="B75" s="111"/>
      <c r="C75" s="120">
        <v>0</v>
      </c>
      <c r="D75" s="120">
        <v>0</v>
      </c>
      <c r="E75"/>
      <c r="F75"/>
      <c r="G75"/>
      <c r="H75"/>
    </row>
    <row r="76" spans="1:8" ht="14.4" hidden="1" x14ac:dyDescent="0.3">
      <c r="A76" s="110" t="s">
        <v>140</v>
      </c>
      <c r="B76" s="111"/>
      <c r="C76" s="112">
        <v>0</v>
      </c>
      <c r="D76" s="112">
        <v>0</v>
      </c>
      <c r="E76"/>
      <c r="F76"/>
      <c r="G76"/>
      <c r="H76"/>
    </row>
    <row r="77" spans="1:8" ht="27.6" x14ac:dyDescent="0.3">
      <c r="A77" s="110" t="s">
        <v>141</v>
      </c>
      <c r="B77" s="111" t="s">
        <v>402</v>
      </c>
      <c r="C77" s="112">
        <v>0</v>
      </c>
      <c r="D77" s="112">
        <v>501010000</v>
      </c>
      <c r="E77"/>
      <c r="F77"/>
      <c r="G77"/>
      <c r="H77"/>
    </row>
    <row r="78" spans="1:8" ht="14.4" x14ac:dyDescent="0.3">
      <c r="A78" s="110"/>
      <c r="B78" s="111"/>
      <c r="C78" s="112"/>
      <c r="D78" s="112"/>
      <c r="E78"/>
      <c r="F78"/>
      <c r="G78"/>
      <c r="H78"/>
    </row>
    <row r="79" spans="1:8" s="128" customFormat="1" ht="26.1" customHeight="1" x14ac:dyDescent="0.3">
      <c r="A79" s="125" t="s">
        <v>147</v>
      </c>
      <c r="B79" s="126"/>
      <c r="C79" s="127">
        <v>3031483875719.75</v>
      </c>
      <c r="D79" s="127">
        <v>2987207439181.2769</v>
      </c>
      <c r="E79"/>
      <c r="F79"/>
      <c r="G79"/>
      <c r="H79"/>
    </row>
    <row r="80" spans="1:8" ht="14.4" x14ac:dyDescent="0.3">
      <c r="A80" s="122"/>
      <c r="B80" s="111"/>
      <c r="C80" s="124"/>
      <c r="D80" s="124"/>
      <c r="E80"/>
      <c r="F80"/>
      <c r="G80"/>
      <c r="H80"/>
    </row>
    <row r="81" spans="1:8" ht="14.4" x14ac:dyDescent="0.3">
      <c r="A81" s="101" t="s">
        <v>148</v>
      </c>
      <c r="B81" s="129" t="s">
        <v>403</v>
      </c>
      <c r="C81" s="103">
        <v>29849586502.059029</v>
      </c>
      <c r="D81" s="103">
        <v>31132811732.343998</v>
      </c>
      <c r="E81"/>
      <c r="F81"/>
      <c r="G81"/>
      <c r="H81"/>
    </row>
    <row r="82" spans="1:8" ht="14.4" x14ac:dyDescent="0.3">
      <c r="A82" s="122"/>
      <c r="B82" s="111"/>
      <c r="C82" s="123"/>
      <c r="D82" s="123"/>
      <c r="E82"/>
      <c r="F82"/>
      <c r="G82"/>
      <c r="H82"/>
    </row>
    <row r="83" spans="1:8" ht="14.4" x14ac:dyDescent="0.3">
      <c r="A83" s="107" t="s">
        <v>149</v>
      </c>
      <c r="B83" s="108" t="s">
        <v>404</v>
      </c>
      <c r="C83" s="109">
        <v>29849586502.059029</v>
      </c>
      <c r="D83" s="109">
        <v>31132811732.343998</v>
      </c>
      <c r="E83"/>
      <c r="F83"/>
      <c r="G83"/>
      <c r="H83"/>
    </row>
    <row r="84" spans="1:8" ht="14.4" x14ac:dyDescent="0.3">
      <c r="A84" s="110" t="s">
        <v>150</v>
      </c>
      <c r="B84" s="111" t="s">
        <v>407</v>
      </c>
      <c r="C84" s="112">
        <v>188309313.3920269</v>
      </c>
      <c r="D84" s="112">
        <v>295360940.40999997</v>
      </c>
      <c r="E84"/>
      <c r="F84"/>
      <c r="G84"/>
      <c r="H84"/>
    </row>
    <row r="85" spans="1:8" ht="14.4" hidden="1" x14ac:dyDescent="0.3">
      <c r="A85" s="110" t="s">
        <v>151</v>
      </c>
      <c r="B85" s="111"/>
      <c r="C85" s="112">
        <v>0</v>
      </c>
      <c r="D85" s="112">
        <v>0</v>
      </c>
      <c r="E85"/>
      <c r="F85"/>
      <c r="G85"/>
      <c r="H85"/>
    </row>
    <row r="86" spans="1:8" ht="14.4" hidden="1" x14ac:dyDescent="0.3">
      <c r="A86" s="110" t="s">
        <v>152</v>
      </c>
      <c r="B86" s="111"/>
      <c r="C86" s="112">
        <v>0</v>
      </c>
      <c r="D86" s="112">
        <v>0</v>
      </c>
      <c r="E86"/>
      <c r="F86"/>
      <c r="G86"/>
      <c r="H86"/>
    </row>
    <row r="87" spans="1:8" ht="14.4" hidden="1" x14ac:dyDescent="0.3">
      <c r="A87" s="110" t="s">
        <v>153</v>
      </c>
      <c r="B87" s="111"/>
      <c r="C87" s="114">
        <v>0</v>
      </c>
      <c r="D87" s="114">
        <v>0</v>
      </c>
      <c r="E87"/>
      <c r="F87"/>
      <c r="G87"/>
      <c r="H87"/>
    </row>
    <row r="88" spans="1:8" ht="14.4" x14ac:dyDescent="0.3">
      <c r="A88" s="110" t="s">
        <v>154</v>
      </c>
      <c r="B88" s="111" t="s">
        <v>406</v>
      </c>
      <c r="C88" s="112">
        <v>8940216141.6669998</v>
      </c>
      <c r="D88" s="112">
        <v>7282774922.0839996</v>
      </c>
      <c r="E88"/>
      <c r="F88"/>
      <c r="G88"/>
      <c r="H88"/>
    </row>
    <row r="89" spans="1:8" ht="14.4" x14ac:dyDescent="0.3">
      <c r="A89" s="110" t="s">
        <v>155</v>
      </c>
      <c r="B89" s="111" t="s">
        <v>408</v>
      </c>
      <c r="C89" s="112">
        <v>17880734047</v>
      </c>
      <c r="D89" s="112">
        <v>20714348869.849998</v>
      </c>
      <c r="E89"/>
      <c r="F89"/>
      <c r="G89"/>
      <c r="H89"/>
    </row>
    <row r="90" spans="1:8" ht="14.4" x14ac:dyDescent="0.3">
      <c r="A90" s="110" t="s">
        <v>156</v>
      </c>
      <c r="B90" s="111" t="s">
        <v>409</v>
      </c>
      <c r="C90" s="112">
        <v>2840327000</v>
      </c>
      <c r="D90" s="112">
        <v>2840327000</v>
      </c>
      <c r="E90"/>
      <c r="F90"/>
      <c r="G90"/>
      <c r="H90"/>
    </row>
    <row r="91" spans="1:8" ht="14.4" x14ac:dyDescent="0.3">
      <c r="A91" s="122"/>
      <c r="B91" s="111"/>
      <c r="C91" s="123"/>
      <c r="D91" s="123"/>
      <c r="E91"/>
      <c r="F91"/>
      <c r="G91"/>
      <c r="H91"/>
    </row>
    <row r="92" spans="1:8" ht="14.4" x14ac:dyDescent="0.3">
      <c r="A92" s="107" t="s">
        <v>157</v>
      </c>
      <c r="B92" s="108" t="s">
        <v>405</v>
      </c>
      <c r="C92" s="109">
        <v>0</v>
      </c>
      <c r="D92" s="109">
        <v>0</v>
      </c>
      <c r="E92"/>
      <c r="F92"/>
      <c r="G92"/>
      <c r="H92"/>
    </row>
    <row r="93" spans="1:8" ht="14.4" hidden="1" x14ac:dyDescent="0.3">
      <c r="A93" s="110" t="s">
        <v>158</v>
      </c>
      <c r="B93" s="111"/>
      <c r="C93" s="112">
        <v>0</v>
      </c>
      <c r="D93" s="112">
        <v>0</v>
      </c>
      <c r="E93"/>
      <c r="F93"/>
      <c r="G93"/>
      <c r="H93"/>
    </row>
    <row r="94" spans="1:8" ht="27.6" hidden="1" x14ac:dyDescent="0.3">
      <c r="A94" s="110" t="s">
        <v>159</v>
      </c>
      <c r="B94" s="111"/>
      <c r="C94" s="112">
        <v>0</v>
      </c>
      <c r="D94" s="112">
        <v>0</v>
      </c>
      <c r="E94"/>
      <c r="F94"/>
      <c r="G94"/>
      <c r="H94"/>
    </row>
    <row r="95" spans="1:8" ht="27.6" hidden="1" x14ac:dyDescent="0.3">
      <c r="A95" s="110" t="s">
        <v>160</v>
      </c>
      <c r="B95" s="111"/>
      <c r="C95" s="112">
        <v>0</v>
      </c>
      <c r="D95" s="112">
        <v>0</v>
      </c>
      <c r="E95"/>
      <c r="F95"/>
      <c r="G95"/>
      <c r="H95"/>
    </row>
    <row r="96" spans="1:8" ht="14.4" hidden="1" x14ac:dyDescent="0.3">
      <c r="A96" s="110" t="s">
        <v>161</v>
      </c>
      <c r="B96" s="111"/>
      <c r="C96" s="112">
        <v>0</v>
      </c>
      <c r="D96" s="112">
        <v>0</v>
      </c>
      <c r="E96"/>
      <c r="F96"/>
      <c r="G96"/>
      <c r="H96"/>
    </row>
    <row r="97" spans="1:8" ht="14.4" hidden="1" x14ac:dyDescent="0.3">
      <c r="A97" s="110" t="s">
        <v>162</v>
      </c>
      <c r="B97" s="111"/>
      <c r="C97" s="112">
        <v>0</v>
      </c>
      <c r="D97" s="112">
        <v>0</v>
      </c>
      <c r="E97"/>
      <c r="F97"/>
      <c r="G97"/>
      <c r="H97"/>
    </row>
    <row r="98" spans="1:8" ht="27.6" hidden="1" x14ac:dyDescent="0.3">
      <c r="A98" s="110" t="s">
        <v>163</v>
      </c>
      <c r="B98" s="111"/>
      <c r="C98" s="112">
        <v>0</v>
      </c>
      <c r="D98" s="112">
        <v>0</v>
      </c>
      <c r="E98"/>
      <c r="F98"/>
      <c r="G98"/>
      <c r="H98"/>
    </row>
    <row r="99" spans="1:8" ht="41.4" hidden="1" x14ac:dyDescent="0.3">
      <c r="A99" s="110" t="s">
        <v>164</v>
      </c>
      <c r="B99" s="111"/>
      <c r="C99" s="112">
        <v>0</v>
      </c>
      <c r="D99" s="112">
        <v>0</v>
      </c>
      <c r="E99"/>
      <c r="F99"/>
      <c r="G99"/>
      <c r="H99"/>
    </row>
    <row r="100" spans="1:8" ht="41.4" hidden="1" x14ac:dyDescent="0.3">
      <c r="A100" s="110" t="s">
        <v>165</v>
      </c>
      <c r="B100" s="111"/>
      <c r="C100" s="112">
        <v>0</v>
      </c>
      <c r="D100" s="112">
        <v>0</v>
      </c>
      <c r="E100"/>
      <c r="F100"/>
      <c r="G100"/>
      <c r="H100"/>
    </row>
    <row r="101" spans="1:8" ht="41.4" hidden="1" x14ac:dyDescent="0.3">
      <c r="A101" s="110" t="s">
        <v>166</v>
      </c>
      <c r="B101" s="111"/>
      <c r="C101" s="112">
        <v>0</v>
      </c>
      <c r="D101" s="112">
        <v>0</v>
      </c>
      <c r="E101"/>
      <c r="F101"/>
      <c r="G101"/>
      <c r="H101"/>
    </row>
    <row r="102" spans="1:8" ht="14.4" x14ac:dyDescent="0.3">
      <c r="A102" s="122"/>
      <c r="B102" s="111"/>
      <c r="C102" s="123"/>
      <c r="D102" s="123"/>
      <c r="E102"/>
      <c r="F102"/>
      <c r="G102"/>
      <c r="H102"/>
    </row>
    <row r="103" spans="1:8" ht="14.4" x14ac:dyDescent="0.3">
      <c r="A103" s="101" t="s">
        <v>167</v>
      </c>
      <c r="B103" s="129" t="s">
        <v>410</v>
      </c>
      <c r="C103" s="103">
        <v>3001634289217.6943</v>
      </c>
      <c r="D103" s="103" t="s">
        <v>282</v>
      </c>
      <c r="E103"/>
      <c r="F103"/>
      <c r="G103"/>
      <c r="H103"/>
    </row>
    <row r="104" spans="1:8" ht="14.4" x14ac:dyDescent="0.3">
      <c r="A104" s="122"/>
      <c r="B104" s="111"/>
      <c r="C104" s="123"/>
      <c r="D104" s="123"/>
      <c r="E104"/>
      <c r="F104"/>
      <c r="G104"/>
      <c r="H104"/>
    </row>
    <row r="105" spans="1:8" ht="14.4" x14ac:dyDescent="0.3">
      <c r="A105" s="107" t="s">
        <v>167</v>
      </c>
      <c r="B105" s="108" t="s">
        <v>410</v>
      </c>
      <c r="C105" s="109">
        <v>3001634289217.6943</v>
      </c>
      <c r="D105" s="109" t="s">
        <v>282</v>
      </c>
      <c r="E105"/>
      <c r="F105"/>
      <c r="G105"/>
      <c r="H105"/>
    </row>
    <row r="106" spans="1:8" ht="14.4" x14ac:dyDescent="0.3">
      <c r="A106" s="110" t="s">
        <v>168</v>
      </c>
      <c r="B106" s="111" t="s">
        <v>411</v>
      </c>
      <c r="C106" s="112">
        <v>3001634289217.6943</v>
      </c>
      <c r="D106" s="130" t="s">
        <v>282</v>
      </c>
      <c r="E106"/>
      <c r="F106"/>
      <c r="G106"/>
      <c r="H106"/>
    </row>
    <row r="107" spans="1:8" ht="14.4" x14ac:dyDescent="0.3">
      <c r="A107" s="122"/>
      <c r="B107" s="111"/>
      <c r="C107" s="123"/>
      <c r="D107" s="123"/>
      <c r="E107"/>
      <c r="F107"/>
      <c r="G107"/>
      <c r="H107"/>
    </row>
    <row r="108" spans="1:8" s="128" customFormat="1" ht="26.1" customHeight="1" x14ac:dyDescent="0.3">
      <c r="A108" s="125" t="s">
        <v>169</v>
      </c>
      <c r="B108" s="126" t="s">
        <v>430</v>
      </c>
      <c r="C108" s="127">
        <v>3031483875719.7534</v>
      </c>
      <c r="D108" s="127">
        <v>2987207439181.2842</v>
      </c>
      <c r="E108" s="272"/>
      <c r="F108" s="272"/>
      <c r="G108"/>
      <c r="H108"/>
    </row>
    <row r="109" spans="1:8" ht="5.85" customHeight="1" x14ac:dyDescent="0.3">
      <c r="A109" s="131"/>
      <c r="B109" s="132"/>
      <c r="C109" s="133"/>
      <c r="D109" s="133"/>
      <c r="E109"/>
      <c r="F109"/>
      <c r="G109"/>
      <c r="H109"/>
    </row>
    <row r="110" spans="1:8" ht="17.100000000000001" customHeight="1" x14ac:dyDescent="0.3">
      <c r="A110" s="320" t="s">
        <v>77</v>
      </c>
      <c r="B110" s="320"/>
      <c r="C110" s="320"/>
      <c r="D110" s="320"/>
      <c r="E110"/>
      <c r="F110"/>
      <c r="G110"/>
      <c r="H110"/>
    </row>
    <row r="111" spans="1:8" ht="17.100000000000001" customHeight="1" x14ac:dyDescent="0.3">
      <c r="A111" s="320"/>
      <c r="B111" s="320"/>
      <c r="C111" s="320"/>
      <c r="D111" s="320"/>
      <c r="E111"/>
      <c r="F111"/>
      <c r="G111"/>
      <c r="H111"/>
    </row>
    <row r="112" spans="1:8" ht="15" x14ac:dyDescent="0.3">
      <c r="A112" s="134"/>
      <c r="B112" s="134"/>
      <c r="C112" s="310"/>
      <c r="D112" s="310"/>
      <c r="E112"/>
      <c r="F112"/>
      <c r="G112"/>
      <c r="H112"/>
    </row>
    <row r="113" spans="2:8" ht="14.4" x14ac:dyDescent="0.3">
      <c r="B113" s="135"/>
      <c r="D113" s="136"/>
      <c r="E113"/>
      <c r="F113"/>
      <c r="G113"/>
      <c r="H113"/>
    </row>
    <row r="114" spans="2:8" ht="17.399999999999999" x14ac:dyDescent="0.3">
      <c r="B114" s="135"/>
      <c r="C114" s="339" t="s">
        <v>276</v>
      </c>
      <c r="D114" s="339"/>
      <c r="E114"/>
      <c r="F114"/>
      <c r="G114"/>
      <c r="H114"/>
    </row>
    <row r="115" spans="2:8" ht="13.5" customHeight="1" x14ac:dyDescent="0.3">
      <c r="B115" s="135"/>
      <c r="C115" s="138"/>
      <c r="D115" s="139"/>
      <c r="E115"/>
      <c r="F115"/>
      <c r="G115"/>
      <c r="H115"/>
    </row>
    <row r="116" spans="2:8" ht="17.399999999999999" x14ac:dyDescent="0.3">
      <c r="C116" s="138"/>
      <c r="D116" s="139"/>
    </row>
    <row r="117" spans="2:8" ht="13.35" customHeight="1" x14ac:dyDescent="0.3">
      <c r="C117" s="138"/>
      <c r="D117" s="139"/>
    </row>
    <row r="118" spans="2:8" ht="17.399999999999999" x14ac:dyDescent="0.3">
      <c r="C118" s="138"/>
      <c r="D118" s="139"/>
    </row>
    <row r="119" spans="2:8" ht="17.399999999999999" x14ac:dyDescent="0.3">
      <c r="C119" s="138"/>
      <c r="D119" s="139"/>
    </row>
    <row r="120" spans="2:8" ht="17.399999999999999" x14ac:dyDescent="0.3">
      <c r="C120" s="339">
        <v>0</v>
      </c>
      <c r="D120" s="339"/>
    </row>
    <row r="122" spans="2:8" x14ac:dyDescent="0.3">
      <c r="C122" s="141"/>
      <c r="D122" s="141"/>
    </row>
  </sheetData>
  <mergeCells count="9">
    <mergeCell ref="A110:D111"/>
    <mergeCell ref="C114:D114"/>
    <mergeCell ref="C120:D120"/>
    <mergeCell ref="A1:D6"/>
    <mergeCell ref="A7:D7"/>
    <mergeCell ref="A8:D8"/>
    <mergeCell ref="A9:D9"/>
    <mergeCell ref="A10:D10"/>
    <mergeCell ref="A11:D11"/>
  </mergeCells>
  <printOptions horizontalCentered="1"/>
  <pageMargins left="1.1811023622047245" right="0.78740157480314965" top="0.59055118110236227" bottom="1.1811023622047245" header="0.39370078740157483" footer="0.59055118110236227"/>
  <pageSetup paperSize="9" scale="73" fitToHeight="0" orientation="portrait" useFirstPageNumber="1" r:id="rId1"/>
  <headerFooter scaleWithDoc="0"/>
  <rowBreaks count="1" manualBreakCount="1">
    <brk id="80" max="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D2FE5-AFE5-474B-B6CA-607995968C3D}">
  <sheetPr codeName="Sheet16">
    <pageSetUpPr fitToPage="1"/>
  </sheetPr>
  <dimension ref="A1:J99"/>
  <sheetViews>
    <sheetView view="pageBreakPreview" topLeftCell="A8" zoomScale="80" zoomScaleNormal="73" zoomScaleSheetLayoutView="80" workbookViewId="0">
      <pane xSplit="1" ySplit="5" topLeftCell="B13" activePane="bottomRight" state="frozen"/>
      <selection activeCell="C27" sqref="C27"/>
      <selection pane="topRight" activeCell="C27" sqref="C27"/>
      <selection pane="bottomLeft" activeCell="C27" sqref="C27"/>
      <selection pane="bottomRight" activeCell="A8" sqref="A1:XFD1048576"/>
    </sheetView>
  </sheetViews>
  <sheetFormatPr defaultColWidth="9.21875" defaultRowHeight="13.8" x14ac:dyDescent="0.25"/>
  <cols>
    <col min="1" max="1" width="53.5546875" style="198" customWidth="1"/>
    <col min="2" max="2" width="11.44140625" style="198" customWidth="1"/>
    <col min="3" max="3" width="21.77734375" style="207" customWidth="1"/>
    <col min="4" max="4" width="21.88671875" style="208" bestFit="1" customWidth="1"/>
    <col min="5" max="5" width="21.88671875" style="209" bestFit="1" customWidth="1"/>
    <col min="6" max="6" width="10" style="210" bestFit="1" customWidth="1"/>
    <col min="7" max="7" width="24.77734375" style="142" customWidth="1"/>
    <col min="8" max="8" width="24.21875" style="143" customWidth="1"/>
    <col min="9" max="9" width="25.21875" style="143" bestFit="1" customWidth="1"/>
    <col min="10" max="10" width="25.77734375" style="143" customWidth="1"/>
    <col min="11" max="254" width="9.21875" style="143"/>
    <col min="255" max="255" width="2.44140625" style="143" customWidth="1"/>
    <col min="256" max="256" width="2.21875" style="143" customWidth="1"/>
    <col min="257" max="257" width="43" style="143" customWidth="1"/>
    <col min="258" max="258" width="9.21875" style="143" bestFit="1" customWidth="1"/>
    <col min="259" max="259" width="20.21875" style="143" bestFit="1" customWidth="1"/>
    <col min="260" max="260" width="18.21875" style="143" bestFit="1" customWidth="1"/>
    <col min="261" max="261" width="18.77734375" style="143" bestFit="1" customWidth="1"/>
    <col min="262" max="262" width="9" style="143" bestFit="1" customWidth="1"/>
    <col min="263" max="263" width="13.44140625" style="143" bestFit="1" customWidth="1"/>
    <col min="264" max="265" width="9.21875" style="143"/>
    <col min="266" max="266" width="14.77734375" style="143" bestFit="1" customWidth="1"/>
    <col min="267" max="510" width="9.21875" style="143"/>
    <col min="511" max="511" width="2.44140625" style="143" customWidth="1"/>
    <col min="512" max="512" width="2.21875" style="143" customWidth="1"/>
    <col min="513" max="513" width="43" style="143" customWidth="1"/>
    <col min="514" max="514" width="9.21875" style="143" bestFit="1" customWidth="1"/>
    <col min="515" max="515" width="20.21875" style="143" bestFit="1" customWidth="1"/>
    <col min="516" max="516" width="18.21875" style="143" bestFit="1" customWidth="1"/>
    <col min="517" max="517" width="18.77734375" style="143" bestFit="1" customWidth="1"/>
    <col min="518" max="518" width="9" style="143" bestFit="1" customWidth="1"/>
    <col min="519" max="519" width="13.44140625" style="143" bestFit="1" customWidth="1"/>
    <col min="520" max="521" width="9.21875" style="143"/>
    <col min="522" max="522" width="14.77734375" style="143" bestFit="1" customWidth="1"/>
    <col min="523" max="766" width="9.21875" style="143"/>
    <col min="767" max="767" width="2.44140625" style="143" customWidth="1"/>
    <col min="768" max="768" width="2.21875" style="143" customWidth="1"/>
    <col min="769" max="769" width="43" style="143" customWidth="1"/>
    <col min="770" max="770" width="9.21875" style="143" bestFit="1" customWidth="1"/>
    <col min="771" max="771" width="20.21875" style="143" bestFit="1" customWidth="1"/>
    <col min="772" max="772" width="18.21875" style="143" bestFit="1" customWidth="1"/>
    <col min="773" max="773" width="18.77734375" style="143" bestFit="1" customWidth="1"/>
    <col min="774" max="774" width="9" style="143" bestFit="1" customWidth="1"/>
    <col min="775" max="775" width="13.44140625" style="143" bestFit="1" customWidth="1"/>
    <col min="776" max="777" width="9.21875" style="143"/>
    <col min="778" max="778" width="14.77734375" style="143" bestFit="1" customWidth="1"/>
    <col min="779" max="1022" width="9.21875" style="143"/>
    <col min="1023" max="1023" width="2.44140625" style="143" customWidth="1"/>
    <col min="1024" max="1024" width="2.21875" style="143" customWidth="1"/>
    <col min="1025" max="1025" width="43" style="143" customWidth="1"/>
    <col min="1026" max="1026" width="9.21875" style="143" bestFit="1" customWidth="1"/>
    <col min="1027" max="1027" width="20.21875" style="143" bestFit="1" customWidth="1"/>
    <col min="1028" max="1028" width="18.21875" style="143" bestFit="1" customWidth="1"/>
    <col min="1029" max="1029" width="18.77734375" style="143" bestFit="1" customWidth="1"/>
    <col min="1030" max="1030" width="9" style="143" bestFit="1" customWidth="1"/>
    <col min="1031" max="1031" width="13.44140625" style="143" bestFit="1" customWidth="1"/>
    <col min="1032" max="1033" width="9.21875" style="143"/>
    <col min="1034" max="1034" width="14.77734375" style="143" bestFit="1" customWidth="1"/>
    <col min="1035" max="1278" width="9.21875" style="143"/>
    <col min="1279" max="1279" width="2.44140625" style="143" customWidth="1"/>
    <col min="1280" max="1280" width="2.21875" style="143" customWidth="1"/>
    <col min="1281" max="1281" width="43" style="143" customWidth="1"/>
    <col min="1282" max="1282" width="9.21875" style="143" bestFit="1" customWidth="1"/>
    <col min="1283" max="1283" width="20.21875" style="143" bestFit="1" customWidth="1"/>
    <col min="1284" max="1284" width="18.21875" style="143" bestFit="1" customWidth="1"/>
    <col min="1285" max="1285" width="18.77734375" style="143" bestFit="1" customWidth="1"/>
    <col min="1286" max="1286" width="9" style="143" bestFit="1" customWidth="1"/>
    <col min="1287" max="1287" width="13.44140625" style="143" bestFit="1" customWidth="1"/>
    <col min="1288" max="1289" width="9.21875" style="143"/>
    <col min="1290" max="1290" width="14.77734375" style="143" bestFit="1" customWidth="1"/>
    <col min="1291" max="1534" width="9.21875" style="143"/>
    <col min="1535" max="1535" width="2.44140625" style="143" customWidth="1"/>
    <col min="1536" max="1536" width="2.21875" style="143" customWidth="1"/>
    <col min="1537" max="1537" width="43" style="143" customWidth="1"/>
    <col min="1538" max="1538" width="9.21875" style="143" bestFit="1" customWidth="1"/>
    <col min="1539" max="1539" width="20.21875" style="143" bestFit="1" customWidth="1"/>
    <col min="1540" max="1540" width="18.21875" style="143" bestFit="1" customWidth="1"/>
    <col min="1541" max="1541" width="18.77734375" style="143" bestFit="1" customWidth="1"/>
    <col min="1542" max="1542" width="9" style="143" bestFit="1" customWidth="1"/>
    <col min="1543" max="1543" width="13.44140625" style="143" bestFit="1" customWidth="1"/>
    <col min="1544" max="1545" width="9.21875" style="143"/>
    <col min="1546" max="1546" width="14.77734375" style="143" bestFit="1" customWidth="1"/>
    <col min="1547" max="1790" width="9.21875" style="143"/>
    <col min="1791" max="1791" width="2.44140625" style="143" customWidth="1"/>
    <col min="1792" max="1792" width="2.21875" style="143" customWidth="1"/>
    <col min="1793" max="1793" width="43" style="143" customWidth="1"/>
    <col min="1794" max="1794" width="9.21875" style="143" bestFit="1" customWidth="1"/>
    <col min="1795" max="1795" width="20.21875" style="143" bestFit="1" customWidth="1"/>
    <col min="1796" max="1796" width="18.21875" style="143" bestFit="1" customWidth="1"/>
    <col min="1797" max="1797" width="18.77734375" style="143" bestFit="1" customWidth="1"/>
    <col min="1798" max="1798" width="9" style="143" bestFit="1" customWidth="1"/>
    <col min="1799" max="1799" width="13.44140625" style="143" bestFit="1" customWidth="1"/>
    <col min="1800" max="1801" width="9.21875" style="143"/>
    <col min="1802" max="1802" width="14.77734375" style="143" bestFit="1" customWidth="1"/>
    <col min="1803" max="2046" width="9.21875" style="143"/>
    <col min="2047" max="2047" width="2.44140625" style="143" customWidth="1"/>
    <col min="2048" max="2048" width="2.21875" style="143" customWidth="1"/>
    <col min="2049" max="2049" width="43" style="143" customWidth="1"/>
    <col min="2050" max="2050" width="9.21875" style="143" bestFit="1" customWidth="1"/>
    <col min="2051" max="2051" width="20.21875" style="143" bestFit="1" customWidth="1"/>
    <col min="2052" max="2052" width="18.21875" style="143" bestFit="1" customWidth="1"/>
    <col min="2053" max="2053" width="18.77734375" style="143" bestFit="1" customWidth="1"/>
    <col min="2054" max="2054" width="9" style="143" bestFit="1" customWidth="1"/>
    <col min="2055" max="2055" width="13.44140625" style="143" bestFit="1" customWidth="1"/>
    <col min="2056" max="2057" width="9.21875" style="143"/>
    <col min="2058" max="2058" width="14.77734375" style="143" bestFit="1" customWidth="1"/>
    <col min="2059" max="2302" width="9.21875" style="143"/>
    <col min="2303" max="2303" width="2.44140625" style="143" customWidth="1"/>
    <col min="2304" max="2304" width="2.21875" style="143" customWidth="1"/>
    <col min="2305" max="2305" width="43" style="143" customWidth="1"/>
    <col min="2306" max="2306" width="9.21875" style="143" bestFit="1" customWidth="1"/>
    <col min="2307" max="2307" width="20.21875" style="143" bestFit="1" customWidth="1"/>
    <col min="2308" max="2308" width="18.21875" style="143" bestFit="1" customWidth="1"/>
    <col min="2309" max="2309" width="18.77734375" style="143" bestFit="1" customWidth="1"/>
    <col min="2310" max="2310" width="9" style="143" bestFit="1" customWidth="1"/>
    <col min="2311" max="2311" width="13.44140625" style="143" bestFit="1" customWidth="1"/>
    <col min="2312" max="2313" width="9.21875" style="143"/>
    <col min="2314" max="2314" width="14.77734375" style="143" bestFit="1" customWidth="1"/>
    <col min="2315" max="2558" width="9.21875" style="143"/>
    <col min="2559" max="2559" width="2.44140625" style="143" customWidth="1"/>
    <col min="2560" max="2560" width="2.21875" style="143" customWidth="1"/>
    <col min="2561" max="2561" width="43" style="143" customWidth="1"/>
    <col min="2562" max="2562" width="9.21875" style="143" bestFit="1" customWidth="1"/>
    <col min="2563" max="2563" width="20.21875" style="143" bestFit="1" customWidth="1"/>
    <col min="2564" max="2564" width="18.21875" style="143" bestFit="1" customWidth="1"/>
    <col min="2565" max="2565" width="18.77734375" style="143" bestFit="1" customWidth="1"/>
    <col min="2566" max="2566" width="9" style="143" bestFit="1" customWidth="1"/>
    <col min="2567" max="2567" width="13.44140625" style="143" bestFit="1" customWidth="1"/>
    <col min="2568" max="2569" width="9.21875" style="143"/>
    <col min="2570" max="2570" width="14.77734375" style="143" bestFit="1" customWidth="1"/>
    <col min="2571" max="2814" width="9.21875" style="143"/>
    <col min="2815" max="2815" width="2.44140625" style="143" customWidth="1"/>
    <col min="2816" max="2816" width="2.21875" style="143" customWidth="1"/>
    <col min="2817" max="2817" width="43" style="143" customWidth="1"/>
    <col min="2818" max="2818" width="9.21875" style="143" bestFit="1" customWidth="1"/>
    <col min="2819" max="2819" width="20.21875" style="143" bestFit="1" customWidth="1"/>
    <col min="2820" max="2820" width="18.21875" style="143" bestFit="1" customWidth="1"/>
    <col min="2821" max="2821" width="18.77734375" style="143" bestFit="1" customWidth="1"/>
    <col min="2822" max="2822" width="9" style="143" bestFit="1" customWidth="1"/>
    <col min="2823" max="2823" width="13.44140625" style="143" bestFit="1" customWidth="1"/>
    <col min="2824" max="2825" width="9.21875" style="143"/>
    <col min="2826" max="2826" width="14.77734375" style="143" bestFit="1" customWidth="1"/>
    <col min="2827" max="3070" width="9.21875" style="143"/>
    <col min="3071" max="3071" width="2.44140625" style="143" customWidth="1"/>
    <col min="3072" max="3072" width="2.21875" style="143" customWidth="1"/>
    <col min="3073" max="3073" width="43" style="143" customWidth="1"/>
    <col min="3074" max="3074" width="9.21875" style="143" bestFit="1" customWidth="1"/>
    <col min="3075" max="3075" width="20.21875" style="143" bestFit="1" customWidth="1"/>
    <col min="3076" max="3076" width="18.21875" style="143" bestFit="1" customWidth="1"/>
    <col min="3077" max="3077" width="18.77734375" style="143" bestFit="1" customWidth="1"/>
    <col min="3078" max="3078" width="9" style="143" bestFit="1" customWidth="1"/>
    <col min="3079" max="3079" width="13.44140625" style="143" bestFit="1" customWidth="1"/>
    <col min="3080" max="3081" width="9.21875" style="143"/>
    <col min="3082" max="3082" width="14.77734375" style="143" bestFit="1" customWidth="1"/>
    <col min="3083" max="3326" width="9.21875" style="143"/>
    <col min="3327" max="3327" width="2.44140625" style="143" customWidth="1"/>
    <col min="3328" max="3328" width="2.21875" style="143" customWidth="1"/>
    <col min="3329" max="3329" width="43" style="143" customWidth="1"/>
    <col min="3330" max="3330" width="9.21875" style="143" bestFit="1" customWidth="1"/>
    <col min="3331" max="3331" width="20.21875" style="143" bestFit="1" customWidth="1"/>
    <col min="3332" max="3332" width="18.21875" style="143" bestFit="1" customWidth="1"/>
    <col min="3333" max="3333" width="18.77734375" style="143" bestFit="1" customWidth="1"/>
    <col min="3334" max="3334" width="9" style="143" bestFit="1" customWidth="1"/>
    <col min="3335" max="3335" width="13.44140625" style="143" bestFit="1" customWidth="1"/>
    <col min="3336" max="3337" width="9.21875" style="143"/>
    <col min="3338" max="3338" width="14.77734375" style="143" bestFit="1" customWidth="1"/>
    <col min="3339" max="3582" width="9.21875" style="143"/>
    <col min="3583" max="3583" width="2.44140625" style="143" customWidth="1"/>
    <col min="3584" max="3584" width="2.21875" style="143" customWidth="1"/>
    <col min="3585" max="3585" width="43" style="143" customWidth="1"/>
    <col min="3586" max="3586" width="9.21875" style="143" bestFit="1" customWidth="1"/>
    <col min="3587" max="3587" width="20.21875" style="143" bestFit="1" customWidth="1"/>
    <col min="3588" max="3588" width="18.21875" style="143" bestFit="1" customWidth="1"/>
    <col min="3589" max="3589" width="18.77734375" style="143" bestFit="1" customWidth="1"/>
    <col min="3590" max="3590" width="9" style="143" bestFit="1" customWidth="1"/>
    <col min="3591" max="3591" width="13.44140625" style="143" bestFit="1" customWidth="1"/>
    <col min="3592" max="3593" width="9.21875" style="143"/>
    <col min="3594" max="3594" width="14.77734375" style="143" bestFit="1" customWidth="1"/>
    <col min="3595" max="3838" width="9.21875" style="143"/>
    <col min="3839" max="3839" width="2.44140625" style="143" customWidth="1"/>
    <col min="3840" max="3840" width="2.21875" style="143" customWidth="1"/>
    <col min="3841" max="3841" width="43" style="143" customWidth="1"/>
    <col min="3842" max="3842" width="9.21875" style="143" bestFit="1" customWidth="1"/>
    <col min="3843" max="3843" width="20.21875" style="143" bestFit="1" customWidth="1"/>
    <col min="3844" max="3844" width="18.21875" style="143" bestFit="1" customWidth="1"/>
    <col min="3845" max="3845" width="18.77734375" style="143" bestFit="1" customWidth="1"/>
    <col min="3846" max="3846" width="9" style="143" bestFit="1" customWidth="1"/>
    <col min="3847" max="3847" width="13.44140625" style="143" bestFit="1" customWidth="1"/>
    <col min="3848" max="3849" width="9.21875" style="143"/>
    <col min="3850" max="3850" width="14.77734375" style="143" bestFit="1" customWidth="1"/>
    <col min="3851" max="4094" width="9.21875" style="143"/>
    <col min="4095" max="4095" width="2.44140625" style="143" customWidth="1"/>
    <col min="4096" max="4096" width="2.21875" style="143" customWidth="1"/>
    <col min="4097" max="4097" width="43" style="143" customWidth="1"/>
    <col min="4098" max="4098" width="9.21875" style="143" bestFit="1" customWidth="1"/>
    <col min="4099" max="4099" width="20.21875" style="143" bestFit="1" customWidth="1"/>
    <col min="4100" max="4100" width="18.21875" style="143" bestFit="1" customWidth="1"/>
    <col min="4101" max="4101" width="18.77734375" style="143" bestFit="1" customWidth="1"/>
    <col min="4102" max="4102" width="9" style="143" bestFit="1" customWidth="1"/>
    <col min="4103" max="4103" width="13.44140625" style="143" bestFit="1" customWidth="1"/>
    <col min="4104" max="4105" width="9.21875" style="143"/>
    <col min="4106" max="4106" width="14.77734375" style="143" bestFit="1" customWidth="1"/>
    <col min="4107" max="4350" width="9.21875" style="143"/>
    <col min="4351" max="4351" width="2.44140625" style="143" customWidth="1"/>
    <col min="4352" max="4352" width="2.21875" style="143" customWidth="1"/>
    <col min="4353" max="4353" width="43" style="143" customWidth="1"/>
    <col min="4354" max="4354" width="9.21875" style="143" bestFit="1" customWidth="1"/>
    <col min="4355" max="4355" width="20.21875" style="143" bestFit="1" customWidth="1"/>
    <col min="4356" max="4356" width="18.21875" style="143" bestFit="1" customWidth="1"/>
    <col min="4357" max="4357" width="18.77734375" style="143" bestFit="1" customWidth="1"/>
    <col min="4358" max="4358" width="9" style="143" bestFit="1" customWidth="1"/>
    <col min="4359" max="4359" width="13.44140625" style="143" bestFit="1" customWidth="1"/>
    <col min="4360" max="4361" width="9.21875" style="143"/>
    <col min="4362" max="4362" width="14.77734375" style="143" bestFit="1" customWidth="1"/>
    <col min="4363" max="4606" width="9.21875" style="143"/>
    <col min="4607" max="4607" width="2.44140625" style="143" customWidth="1"/>
    <col min="4608" max="4608" width="2.21875" style="143" customWidth="1"/>
    <col min="4609" max="4609" width="43" style="143" customWidth="1"/>
    <col min="4610" max="4610" width="9.21875" style="143" bestFit="1" customWidth="1"/>
    <col min="4611" max="4611" width="20.21875" style="143" bestFit="1" customWidth="1"/>
    <col min="4612" max="4612" width="18.21875" style="143" bestFit="1" customWidth="1"/>
    <col min="4613" max="4613" width="18.77734375" style="143" bestFit="1" customWidth="1"/>
    <col min="4614" max="4614" width="9" style="143" bestFit="1" customWidth="1"/>
    <col min="4615" max="4615" width="13.44140625" style="143" bestFit="1" customWidth="1"/>
    <col min="4616" max="4617" width="9.21875" style="143"/>
    <col min="4618" max="4618" width="14.77734375" style="143" bestFit="1" customWidth="1"/>
    <col min="4619" max="4862" width="9.21875" style="143"/>
    <col min="4863" max="4863" width="2.44140625" style="143" customWidth="1"/>
    <col min="4864" max="4864" width="2.21875" style="143" customWidth="1"/>
    <col min="4865" max="4865" width="43" style="143" customWidth="1"/>
    <col min="4866" max="4866" width="9.21875" style="143" bestFit="1" customWidth="1"/>
    <col min="4867" max="4867" width="20.21875" style="143" bestFit="1" customWidth="1"/>
    <col min="4868" max="4868" width="18.21875" style="143" bestFit="1" customWidth="1"/>
    <col min="4869" max="4869" width="18.77734375" style="143" bestFit="1" customWidth="1"/>
    <col min="4870" max="4870" width="9" style="143" bestFit="1" customWidth="1"/>
    <col min="4871" max="4871" width="13.44140625" style="143" bestFit="1" customWidth="1"/>
    <col min="4872" max="4873" width="9.21875" style="143"/>
    <col min="4874" max="4874" width="14.77734375" style="143" bestFit="1" customWidth="1"/>
    <col min="4875" max="5118" width="9.21875" style="143"/>
    <col min="5119" max="5119" width="2.44140625" style="143" customWidth="1"/>
    <col min="5120" max="5120" width="2.21875" style="143" customWidth="1"/>
    <col min="5121" max="5121" width="43" style="143" customWidth="1"/>
    <col min="5122" max="5122" width="9.21875" style="143" bestFit="1" customWidth="1"/>
    <col min="5123" max="5123" width="20.21875" style="143" bestFit="1" customWidth="1"/>
    <col min="5124" max="5124" width="18.21875" style="143" bestFit="1" customWidth="1"/>
    <col min="5125" max="5125" width="18.77734375" style="143" bestFit="1" customWidth="1"/>
    <col min="5126" max="5126" width="9" style="143" bestFit="1" customWidth="1"/>
    <col min="5127" max="5127" width="13.44140625" style="143" bestFit="1" customWidth="1"/>
    <col min="5128" max="5129" width="9.21875" style="143"/>
    <col min="5130" max="5130" width="14.77734375" style="143" bestFit="1" customWidth="1"/>
    <col min="5131" max="5374" width="9.21875" style="143"/>
    <col min="5375" max="5375" width="2.44140625" style="143" customWidth="1"/>
    <col min="5376" max="5376" width="2.21875" style="143" customWidth="1"/>
    <col min="5377" max="5377" width="43" style="143" customWidth="1"/>
    <col min="5378" max="5378" width="9.21875" style="143" bestFit="1" customWidth="1"/>
    <col min="5379" max="5379" width="20.21875" style="143" bestFit="1" customWidth="1"/>
    <col min="5380" max="5380" width="18.21875" style="143" bestFit="1" customWidth="1"/>
    <col min="5381" max="5381" width="18.77734375" style="143" bestFit="1" customWidth="1"/>
    <col min="5382" max="5382" width="9" style="143" bestFit="1" customWidth="1"/>
    <col min="5383" max="5383" width="13.44140625" style="143" bestFit="1" customWidth="1"/>
    <col min="5384" max="5385" width="9.21875" style="143"/>
    <col min="5386" max="5386" width="14.77734375" style="143" bestFit="1" customWidth="1"/>
    <col min="5387" max="5630" width="9.21875" style="143"/>
    <col min="5631" max="5631" width="2.44140625" style="143" customWidth="1"/>
    <col min="5632" max="5632" width="2.21875" style="143" customWidth="1"/>
    <col min="5633" max="5633" width="43" style="143" customWidth="1"/>
    <col min="5634" max="5634" width="9.21875" style="143" bestFit="1" customWidth="1"/>
    <col min="5635" max="5635" width="20.21875" style="143" bestFit="1" customWidth="1"/>
    <col min="5636" max="5636" width="18.21875" style="143" bestFit="1" customWidth="1"/>
    <col min="5637" max="5637" width="18.77734375" style="143" bestFit="1" customWidth="1"/>
    <col min="5638" max="5638" width="9" style="143" bestFit="1" customWidth="1"/>
    <col min="5639" max="5639" width="13.44140625" style="143" bestFit="1" customWidth="1"/>
    <col min="5640" max="5641" width="9.21875" style="143"/>
    <col min="5642" max="5642" width="14.77734375" style="143" bestFit="1" customWidth="1"/>
    <col min="5643" max="5886" width="9.21875" style="143"/>
    <col min="5887" max="5887" width="2.44140625" style="143" customWidth="1"/>
    <col min="5888" max="5888" width="2.21875" style="143" customWidth="1"/>
    <col min="5889" max="5889" width="43" style="143" customWidth="1"/>
    <col min="5890" max="5890" width="9.21875" style="143" bestFit="1" customWidth="1"/>
    <col min="5891" max="5891" width="20.21875" style="143" bestFit="1" customWidth="1"/>
    <col min="5892" max="5892" width="18.21875" style="143" bestFit="1" customWidth="1"/>
    <col min="5893" max="5893" width="18.77734375" style="143" bestFit="1" customWidth="1"/>
    <col min="5894" max="5894" width="9" style="143" bestFit="1" customWidth="1"/>
    <col min="5895" max="5895" width="13.44140625" style="143" bestFit="1" customWidth="1"/>
    <col min="5896" max="5897" width="9.21875" style="143"/>
    <col min="5898" max="5898" width="14.77734375" style="143" bestFit="1" customWidth="1"/>
    <col min="5899" max="6142" width="9.21875" style="143"/>
    <col min="6143" max="6143" width="2.44140625" style="143" customWidth="1"/>
    <col min="6144" max="6144" width="2.21875" style="143" customWidth="1"/>
    <col min="6145" max="6145" width="43" style="143" customWidth="1"/>
    <col min="6146" max="6146" width="9.21875" style="143" bestFit="1" customWidth="1"/>
    <col min="6147" max="6147" width="20.21875" style="143" bestFit="1" customWidth="1"/>
    <col min="6148" max="6148" width="18.21875" style="143" bestFit="1" customWidth="1"/>
    <col min="6149" max="6149" width="18.77734375" style="143" bestFit="1" customWidth="1"/>
    <col min="6150" max="6150" width="9" style="143" bestFit="1" customWidth="1"/>
    <col min="6151" max="6151" width="13.44140625" style="143" bestFit="1" customWidth="1"/>
    <col min="6152" max="6153" width="9.21875" style="143"/>
    <col min="6154" max="6154" width="14.77734375" style="143" bestFit="1" customWidth="1"/>
    <col min="6155" max="6398" width="9.21875" style="143"/>
    <col min="6399" max="6399" width="2.44140625" style="143" customWidth="1"/>
    <col min="6400" max="6400" width="2.21875" style="143" customWidth="1"/>
    <col min="6401" max="6401" width="43" style="143" customWidth="1"/>
    <col min="6402" max="6402" width="9.21875" style="143" bestFit="1" customWidth="1"/>
    <col min="6403" max="6403" width="20.21875" style="143" bestFit="1" customWidth="1"/>
    <col min="6404" max="6404" width="18.21875" style="143" bestFit="1" customWidth="1"/>
    <col min="6405" max="6405" width="18.77734375" style="143" bestFit="1" customWidth="1"/>
    <col min="6406" max="6406" width="9" style="143" bestFit="1" customWidth="1"/>
    <col min="6407" max="6407" width="13.44140625" style="143" bestFit="1" customWidth="1"/>
    <col min="6408" max="6409" width="9.21875" style="143"/>
    <col min="6410" max="6410" width="14.77734375" style="143" bestFit="1" customWidth="1"/>
    <col min="6411" max="6654" width="9.21875" style="143"/>
    <col min="6655" max="6655" width="2.44140625" style="143" customWidth="1"/>
    <col min="6656" max="6656" width="2.21875" style="143" customWidth="1"/>
    <col min="6657" max="6657" width="43" style="143" customWidth="1"/>
    <col min="6658" max="6658" width="9.21875" style="143" bestFit="1" customWidth="1"/>
    <col min="6659" max="6659" width="20.21875" style="143" bestFit="1" customWidth="1"/>
    <col min="6660" max="6660" width="18.21875" style="143" bestFit="1" customWidth="1"/>
    <col min="6661" max="6661" width="18.77734375" style="143" bestFit="1" customWidth="1"/>
    <col min="6662" max="6662" width="9" style="143" bestFit="1" customWidth="1"/>
    <col min="6663" max="6663" width="13.44140625" style="143" bestFit="1" customWidth="1"/>
    <col min="6664" max="6665" width="9.21875" style="143"/>
    <col min="6666" max="6666" width="14.77734375" style="143" bestFit="1" customWidth="1"/>
    <col min="6667" max="6910" width="9.21875" style="143"/>
    <col min="6911" max="6911" width="2.44140625" style="143" customWidth="1"/>
    <col min="6912" max="6912" width="2.21875" style="143" customWidth="1"/>
    <col min="6913" max="6913" width="43" style="143" customWidth="1"/>
    <col min="6914" max="6914" width="9.21875" style="143" bestFit="1" customWidth="1"/>
    <col min="6915" max="6915" width="20.21875" style="143" bestFit="1" customWidth="1"/>
    <col min="6916" max="6916" width="18.21875" style="143" bestFit="1" customWidth="1"/>
    <col min="6917" max="6917" width="18.77734375" style="143" bestFit="1" customWidth="1"/>
    <col min="6918" max="6918" width="9" style="143" bestFit="1" customWidth="1"/>
    <col min="6919" max="6919" width="13.44140625" style="143" bestFit="1" customWidth="1"/>
    <col min="6920" max="6921" width="9.21875" style="143"/>
    <col min="6922" max="6922" width="14.77734375" style="143" bestFit="1" customWidth="1"/>
    <col min="6923" max="7166" width="9.21875" style="143"/>
    <col min="7167" max="7167" width="2.44140625" style="143" customWidth="1"/>
    <col min="7168" max="7168" width="2.21875" style="143" customWidth="1"/>
    <col min="7169" max="7169" width="43" style="143" customWidth="1"/>
    <col min="7170" max="7170" width="9.21875" style="143" bestFit="1" customWidth="1"/>
    <col min="7171" max="7171" width="20.21875" style="143" bestFit="1" customWidth="1"/>
    <col min="7172" max="7172" width="18.21875" style="143" bestFit="1" customWidth="1"/>
    <col min="7173" max="7173" width="18.77734375" style="143" bestFit="1" customWidth="1"/>
    <col min="7174" max="7174" width="9" style="143" bestFit="1" customWidth="1"/>
    <col min="7175" max="7175" width="13.44140625" style="143" bestFit="1" customWidth="1"/>
    <col min="7176" max="7177" width="9.21875" style="143"/>
    <col min="7178" max="7178" width="14.77734375" style="143" bestFit="1" customWidth="1"/>
    <col min="7179" max="7422" width="9.21875" style="143"/>
    <col min="7423" max="7423" width="2.44140625" style="143" customWidth="1"/>
    <col min="7424" max="7424" width="2.21875" style="143" customWidth="1"/>
    <col min="7425" max="7425" width="43" style="143" customWidth="1"/>
    <col min="7426" max="7426" width="9.21875" style="143" bestFit="1" customWidth="1"/>
    <col min="7427" max="7427" width="20.21875" style="143" bestFit="1" customWidth="1"/>
    <col min="7428" max="7428" width="18.21875" style="143" bestFit="1" customWidth="1"/>
    <col min="7429" max="7429" width="18.77734375" style="143" bestFit="1" customWidth="1"/>
    <col min="7430" max="7430" width="9" style="143" bestFit="1" customWidth="1"/>
    <col min="7431" max="7431" width="13.44140625" style="143" bestFit="1" customWidth="1"/>
    <col min="7432" max="7433" width="9.21875" style="143"/>
    <col min="7434" max="7434" width="14.77734375" style="143" bestFit="1" customWidth="1"/>
    <col min="7435" max="7678" width="9.21875" style="143"/>
    <col min="7679" max="7679" width="2.44140625" style="143" customWidth="1"/>
    <col min="7680" max="7680" width="2.21875" style="143" customWidth="1"/>
    <col min="7681" max="7681" width="43" style="143" customWidth="1"/>
    <col min="7682" max="7682" width="9.21875" style="143" bestFit="1" customWidth="1"/>
    <col min="7683" max="7683" width="20.21875" style="143" bestFit="1" customWidth="1"/>
    <col min="7684" max="7684" width="18.21875" style="143" bestFit="1" customWidth="1"/>
    <col min="7685" max="7685" width="18.77734375" style="143" bestFit="1" customWidth="1"/>
    <col min="7686" max="7686" width="9" style="143" bestFit="1" customWidth="1"/>
    <col min="7687" max="7687" width="13.44140625" style="143" bestFit="1" customWidth="1"/>
    <col min="7688" max="7689" width="9.21875" style="143"/>
    <col min="7690" max="7690" width="14.77734375" style="143" bestFit="1" customWidth="1"/>
    <col min="7691" max="7934" width="9.21875" style="143"/>
    <col min="7935" max="7935" width="2.44140625" style="143" customWidth="1"/>
    <col min="7936" max="7936" width="2.21875" style="143" customWidth="1"/>
    <col min="7937" max="7937" width="43" style="143" customWidth="1"/>
    <col min="7938" max="7938" width="9.21875" style="143" bestFit="1" customWidth="1"/>
    <col min="7939" max="7939" width="20.21875" style="143" bestFit="1" customWidth="1"/>
    <col min="7940" max="7940" width="18.21875" style="143" bestFit="1" customWidth="1"/>
    <col min="7941" max="7941" width="18.77734375" style="143" bestFit="1" customWidth="1"/>
    <col min="7942" max="7942" width="9" style="143" bestFit="1" customWidth="1"/>
    <col min="7943" max="7943" width="13.44140625" style="143" bestFit="1" customWidth="1"/>
    <col min="7944" max="7945" width="9.21875" style="143"/>
    <col min="7946" max="7946" width="14.77734375" style="143" bestFit="1" customWidth="1"/>
    <col min="7947" max="8190" width="9.21875" style="143"/>
    <col min="8191" max="8191" width="2.44140625" style="143" customWidth="1"/>
    <col min="8192" max="8192" width="2.21875" style="143" customWidth="1"/>
    <col min="8193" max="8193" width="43" style="143" customWidth="1"/>
    <col min="8194" max="8194" width="9.21875" style="143" bestFit="1" customWidth="1"/>
    <col min="8195" max="8195" width="20.21875" style="143" bestFit="1" customWidth="1"/>
    <col min="8196" max="8196" width="18.21875" style="143" bestFit="1" customWidth="1"/>
    <col min="8197" max="8197" width="18.77734375" style="143" bestFit="1" customWidth="1"/>
    <col min="8198" max="8198" width="9" style="143" bestFit="1" customWidth="1"/>
    <col min="8199" max="8199" width="13.44140625" style="143" bestFit="1" customWidth="1"/>
    <col min="8200" max="8201" width="9.21875" style="143"/>
    <col min="8202" max="8202" width="14.77734375" style="143" bestFit="1" customWidth="1"/>
    <col min="8203" max="8446" width="9.21875" style="143"/>
    <col min="8447" max="8447" width="2.44140625" style="143" customWidth="1"/>
    <col min="8448" max="8448" width="2.21875" style="143" customWidth="1"/>
    <col min="8449" max="8449" width="43" style="143" customWidth="1"/>
    <col min="8450" max="8450" width="9.21875" style="143" bestFit="1" customWidth="1"/>
    <col min="8451" max="8451" width="20.21875" style="143" bestFit="1" customWidth="1"/>
    <col min="8452" max="8452" width="18.21875" style="143" bestFit="1" customWidth="1"/>
    <col min="8453" max="8453" width="18.77734375" style="143" bestFit="1" customWidth="1"/>
    <col min="8454" max="8454" width="9" style="143" bestFit="1" customWidth="1"/>
    <col min="8455" max="8455" width="13.44140625" style="143" bestFit="1" customWidth="1"/>
    <col min="8456" max="8457" width="9.21875" style="143"/>
    <col min="8458" max="8458" width="14.77734375" style="143" bestFit="1" customWidth="1"/>
    <col min="8459" max="8702" width="9.21875" style="143"/>
    <col min="8703" max="8703" width="2.44140625" style="143" customWidth="1"/>
    <col min="8704" max="8704" width="2.21875" style="143" customWidth="1"/>
    <col min="8705" max="8705" width="43" style="143" customWidth="1"/>
    <col min="8706" max="8706" width="9.21875" style="143" bestFit="1" customWidth="1"/>
    <col min="8707" max="8707" width="20.21875" style="143" bestFit="1" customWidth="1"/>
    <col min="8708" max="8708" width="18.21875" style="143" bestFit="1" customWidth="1"/>
    <col min="8709" max="8709" width="18.77734375" style="143" bestFit="1" customWidth="1"/>
    <col min="8710" max="8710" width="9" style="143" bestFit="1" customWidth="1"/>
    <col min="8711" max="8711" width="13.44140625" style="143" bestFit="1" customWidth="1"/>
    <col min="8712" max="8713" width="9.21875" style="143"/>
    <col min="8714" max="8714" width="14.77734375" style="143" bestFit="1" customWidth="1"/>
    <col min="8715" max="8958" width="9.21875" style="143"/>
    <col min="8959" max="8959" width="2.44140625" style="143" customWidth="1"/>
    <col min="8960" max="8960" width="2.21875" style="143" customWidth="1"/>
    <col min="8961" max="8961" width="43" style="143" customWidth="1"/>
    <col min="8962" max="8962" width="9.21875" style="143" bestFit="1" customWidth="1"/>
    <col min="8963" max="8963" width="20.21875" style="143" bestFit="1" customWidth="1"/>
    <col min="8964" max="8964" width="18.21875" style="143" bestFit="1" customWidth="1"/>
    <col min="8965" max="8965" width="18.77734375" style="143" bestFit="1" customWidth="1"/>
    <col min="8966" max="8966" width="9" style="143" bestFit="1" customWidth="1"/>
    <col min="8967" max="8967" width="13.44140625" style="143" bestFit="1" customWidth="1"/>
    <col min="8968" max="8969" width="9.21875" style="143"/>
    <col min="8970" max="8970" width="14.77734375" style="143" bestFit="1" customWidth="1"/>
    <col min="8971" max="9214" width="9.21875" style="143"/>
    <col min="9215" max="9215" width="2.44140625" style="143" customWidth="1"/>
    <col min="9216" max="9216" width="2.21875" style="143" customWidth="1"/>
    <col min="9217" max="9217" width="43" style="143" customWidth="1"/>
    <col min="9218" max="9218" width="9.21875" style="143" bestFit="1" customWidth="1"/>
    <col min="9219" max="9219" width="20.21875" style="143" bestFit="1" customWidth="1"/>
    <col min="9220" max="9220" width="18.21875" style="143" bestFit="1" customWidth="1"/>
    <col min="9221" max="9221" width="18.77734375" style="143" bestFit="1" customWidth="1"/>
    <col min="9222" max="9222" width="9" style="143" bestFit="1" customWidth="1"/>
    <col min="9223" max="9223" width="13.44140625" style="143" bestFit="1" customWidth="1"/>
    <col min="9224" max="9225" width="9.21875" style="143"/>
    <col min="9226" max="9226" width="14.77734375" style="143" bestFit="1" customWidth="1"/>
    <col min="9227" max="9470" width="9.21875" style="143"/>
    <col min="9471" max="9471" width="2.44140625" style="143" customWidth="1"/>
    <col min="9472" max="9472" width="2.21875" style="143" customWidth="1"/>
    <col min="9473" max="9473" width="43" style="143" customWidth="1"/>
    <col min="9474" max="9474" width="9.21875" style="143" bestFit="1" customWidth="1"/>
    <col min="9475" max="9475" width="20.21875" style="143" bestFit="1" customWidth="1"/>
    <col min="9476" max="9476" width="18.21875" style="143" bestFit="1" customWidth="1"/>
    <col min="9477" max="9477" width="18.77734375" style="143" bestFit="1" customWidth="1"/>
    <col min="9478" max="9478" width="9" style="143" bestFit="1" customWidth="1"/>
    <col min="9479" max="9479" width="13.44140625" style="143" bestFit="1" customWidth="1"/>
    <col min="9480" max="9481" width="9.21875" style="143"/>
    <col min="9482" max="9482" width="14.77734375" style="143" bestFit="1" customWidth="1"/>
    <col min="9483" max="9726" width="9.21875" style="143"/>
    <col min="9727" max="9727" width="2.44140625" style="143" customWidth="1"/>
    <col min="9728" max="9728" width="2.21875" style="143" customWidth="1"/>
    <col min="9729" max="9729" width="43" style="143" customWidth="1"/>
    <col min="9730" max="9730" width="9.21875" style="143" bestFit="1" customWidth="1"/>
    <col min="9731" max="9731" width="20.21875" style="143" bestFit="1" customWidth="1"/>
    <col min="9732" max="9732" width="18.21875" style="143" bestFit="1" customWidth="1"/>
    <col min="9733" max="9733" width="18.77734375" style="143" bestFit="1" customWidth="1"/>
    <col min="9734" max="9734" width="9" style="143" bestFit="1" customWidth="1"/>
    <col min="9735" max="9735" width="13.44140625" style="143" bestFit="1" customWidth="1"/>
    <col min="9736" max="9737" width="9.21875" style="143"/>
    <col min="9738" max="9738" width="14.77734375" style="143" bestFit="1" customWidth="1"/>
    <col min="9739" max="9982" width="9.21875" style="143"/>
    <col min="9983" max="9983" width="2.44140625" style="143" customWidth="1"/>
    <col min="9984" max="9984" width="2.21875" style="143" customWidth="1"/>
    <col min="9985" max="9985" width="43" style="143" customWidth="1"/>
    <col min="9986" max="9986" width="9.21875" style="143" bestFit="1" customWidth="1"/>
    <col min="9987" max="9987" width="20.21875" style="143" bestFit="1" customWidth="1"/>
    <col min="9988" max="9988" width="18.21875" style="143" bestFit="1" customWidth="1"/>
    <col min="9989" max="9989" width="18.77734375" style="143" bestFit="1" customWidth="1"/>
    <col min="9990" max="9990" width="9" style="143" bestFit="1" customWidth="1"/>
    <col min="9991" max="9991" width="13.44140625" style="143" bestFit="1" customWidth="1"/>
    <col min="9992" max="9993" width="9.21875" style="143"/>
    <col min="9994" max="9994" width="14.77734375" style="143" bestFit="1" customWidth="1"/>
    <col min="9995" max="10238" width="9.21875" style="143"/>
    <col min="10239" max="10239" width="2.44140625" style="143" customWidth="1"/>
    <col min="10240" max="10240" width="2.21875" style="143" customWidth="1"/>
    <col min="10241" max="10241" width="43" style="143" customWidth="1"/>
    <col min="10242" max="10242" width="9.21875" style="143" bestFit="1" customWidth="1"/>
    <col min="10243" max="10243" width="20.21875" style="143" bestFit="1" customWidth="1"/>
    <col min="10244" max="10244" width="18.21875" style="143" bestFit="1" customWidth="1"/>
    <col min="10245" max="10245" width="18.77734375" style="143" bestFit="1" customWidth="1"/>
    <col min="10246" max="10246" width="9" style="143" bestFit="1" customWidth="1"/>
    <col min="10247" max="10247" width="13.44140625" style="143" bestFit="1" customWidth="1"/>
    <col min="10248" max="10249" width="9.21875" style="143"/>
    <col min="10250" max="10250" width="14.77734375" style="143" bestFit="1" customWidth="1"/>
    <col min="10251" max="10494" width="9.21875" style="143"/>
    <col min="10495" max="10495" width="2.44140625" style="143" customWidth="1"/>
    <col min="10496" max="10496" width="2.21875" style="143" customWidth="1"/>
    <col min="10497" max="10497" width="43" style="143" customWidth="1"/>
    <col min="10498" max="10498" width="9.21875" style="143" bestFit="1" customWidth="1"/>
    <col min="10499" max="10499" width="20.21875" style="143" bestFit="1" customWidth="1"/>
    <col min="10500" max="10500" width="18.21875" style="143" bestFit="1" customWidth="1"/>
    <col min="10501" max="10501" width="18.77734375" style="143" bestFit="1" customWidth="1"/>
    <col min="10502" max="10502" width="9" style="143" bestFit="1" customWidth="1"/>
    <col min="10503" max="10503" width="13.44140625" style="143" bestFit="1" customWidth="1"/>
    <col min="10504" max="10505" width="9.21875" style="143"/>
    <col min="10506" max="10506" width="14.77734375" style="143" bestFit="1" customWidth="1"/>
    <col min="10507" max="10750" width="9.21875" style="143"/>
    <col min="10751" max="10751" width="2.44140625" style="143" customWidth="1"/>
    <col min="10752" max="10752" width="2.21875" style="143" customWidth="1"/>
    <col min="10753" max="10753" width="43" style="143" customWidth="1"/>
    <col min="10754" max="10754" width="9.21875" style="143" bestFit="1" customWidth="1"/>
    <col min="10755" max="10755" width="20.21875" style="143" bestFit="1" customWidth="1"/>
    <col min="10756" max="10756" width="18.21875" style="143" bestFit="1" customWidth="1"/>
    <col min="10757" max="10757" width="18.77734375" style="143" bestFit="1" customWidth="1"/>
    <col min="10758" max="10758" width="9" style="143" bestFit="1" customWidth="1"/>
    <col min="10759" max="10759" width="13.44140625" style="143" bestFit="1" customWidth="1"/>
    <col min="10760" max="10761" width="9.21875" style="143"/>
    <col min="10762" max="10762" width="14.77734375" style="143" bestFit="1" customWidth="1"/>
    <col min="10763" max="11006" width="9.21875" style="143"/>
    <col min="11007" max="11007" width="2.44140625" style="143" customWidth="1"/>
    <col min="11008" max="11008" width="2.21875" style="143" customWidth="1"/>
    <col min="11009" max="11009" width="43" style="143" customWidth="1"/>
    <col min="11010" max="11010" width="9.21875" style="143" bestFit="1" customWidth="1"/>
    <col min="11011" max="11011" width="20.21875" style="143" bestFit="1" customWidth="1"/>
    <col min="11012" max="11012" width="18.21875" style="143" bestFit="1" customWidth="1"/>
    <col min="11013" max="11013" width="18.77734375" style="143" bestFit="1" customWidth="1"/>
    <col min="11014" max="11014" width="9" style="143" bestFit="1" customWidth="1"/>
    <col min="11015" max="11015" width="13.44140625" style="143" bestFit="1" customWidth="1"/>
    <col min="11016" max="11017" width="9.21875" style="143"/>
    <col min="11018" max="11018" width="14.77734375" style="143" bestFit="1" customWidth="1"/>
    <col min="11019" max="11262" width="9.21875" style="143"/>
    <col min="11263" max="11263" width="2.44140625" style="143" customWidth="1"/>
    <col min="11264" max="11264" width="2.21875" style="143" customWidth="1"/>
    <col min="11265" max="11265" width="43" style="143" customWidth="1"/>
    <col min="11266" max="11266" width="9.21875" style="143" bestFit="1" customWidth="1"/>
    <col min="11267" max="11267" width="20.21875" style="143" bestFit="1" customWidth="1"/>
    <col min="11268" max="11268" width="18.21875" style="143" bestFit="1" customWidth="1"/>
    <col min="11269" max="11269" width="18.77734375" style="143" bestFit="1" customWidth="1"/>
    <col min="11270" max="11270" width="9" style="143" bestFit="1" customWidth="1"/>
    <col min="11271" max="11271" width="13.44140625" style="143" bestFit="1" customWidth="1"/>
    <col min="11272" max="11273" width="9.21875" style="143"/>
    <col min="11274" max="11274" width="14.77734375" style="143" bestFit="1" customWidth="1"/>
    <col min="11275" max="11518" width="9.21875" style="143"/>
    <col min="11519" max="11519" width="2.44140625" style="143" customWidth="1"/>
    <col min="11520" max="11520" width="2.21875" style="143" customWidth="1"/>
    <col min="11521" max="11521" width="43" style="143" customWidth="1"/>
    <col min="11522" max="11522" width="9.21875" style="143" bestFit="1" customWidth="1"/>
    <col min="11523" max="11523" width="20.21875" style="143" bestFit="1" customWidth="1"/>
    <col min="11524" max="11524" width="18.21875" style="143" bestFit="1" customWidth="1"/>
    <col min="11525" max="11525" width="18.77734375" style="143" bestFit="1" customWidth="1"/>
    <col min="11526" max="11526" width="9" style="143" bestFit="1" customWidth="1"/>
    <col min="11527" max="11527" width="13.44140625" style="143" bestFit="1" customWidth="1"/>
    <col min="11528" max="11529" width="9.21875" style="143"/>
    <col min="11530" max="11530" width="14.77734375" style="143" bestFit="1" customWidth="1"/>
    <col min="11531" max="11774" width="9.21875" style="143"/>
    <col min="11775" max="11775" width="2.44140625" style="143" customWidth="1"/>
    <col min="11776" max="11776" width="2.21875" style="143" customWidth="1"/>
    <col min="11777" max="11777" width="43" style="143" customWidth="1"/>
    <col min="11778" max="11778" width="9.21875" style="143" bestFit="1" customWidth="1"/>
    <col min="11779" max="11779" width="20.21875" style="143" bestFit="1" customWidth="1"/>
    <col min="11780" max="11780" width="18.21875" style="143" bestFit="1" customWidth="1"/>
    <col min="11781" max="11781" width="18.77734375" style="143" bestFit="1" customWidth="1"/>
    <col min="11782" max="11782" width="9" style="143" bestFit="1" customWidth="1"/>
    <col min="11783" max="11783" width="13.44140625" style="143" bestFit="1" customWidth="1"/>
    <col min="11784" max="11785" width="9.21875" style="143"/>
    <col min="11786" max="11786" width="14.77734375" style="143" bestFit="1" customWidth="1"/>
    <col min="11787" max="12030" width="9.21875" style="143"/>
    <col min="12031" max="12031" width="2.44140625" style="143" customWidth="1"/>
    <col min="12032" max="12032" width="2.21875" style="143" customWidth="1"/>
    <col min="12033" max="12033" width="43" style="143" customWidth="1"/>
    <col min="12034" max="12034" width="9.21875" style="143" bestFit="1" customWidth="1"/>
    <col min="12035" max="12035" width="20.21875" style="143" bestFit="1" customWidth="1"/>
    <col min="12036" max="12036" width="18.21875" style="143" bestFit="1" customWidth="1"/>
    <col min="12037" max="12037" width="18.77734375" style="143" bestFit="1" customWidth="1"/>
    <col min="12038" max="12038" width="9" style="143" bestFit="1" customWidth="1"/>
    <col min="12039" max="12039" width="13.44140625" style="143" bestFit="1" customWidth="1"/>
    <col min="12040" max="12041" width="9.21875" style="143"/>
    <col min="12042" max="12042" width="14.77734375" style="143" bestFit="1" customWidth="1"/>
    <col min="12043" max="12286" width="9.21875" style="143"/>
    <col min="12287" max="12287" width="2.44140625" style="143" customWidth="1"/>
    <col min="12288" max="12288" width="2.21875" style="143" customWidth="1"/>
    <col min="12289" max="12289" width="43" style="143" customWidth="1"/>
    <col min="12290" max="12290" width="9.21875" style="143" bestFit="1" customWidth="1"/>
    <col min="12291" max="12291" width="20.21875" style="143" bestFit="1" customWidth="1"/>
    <col min="12292" max="12292" width="18.21875" style="143" bestFit="1" customWidth="1"/>
    <col min="12293" max="12293" width="18.77734375" style="143" bestFit="1" customWidth="1"/>
    <col min="12294" max="12294" width="9" style="143" bestFit="1" customWidth="1"/>
    <col min="12295" max="12295" width="13.44140625" style="143" bestFit="1" customWidth="1"/>
    <col min="12296" max="12297" width="9.21875" style="143"/>
    <col min="12298" max="12298" width="14.77734375" style="143" bestFit="1" customWidth="1"/>
    <col min="12299" max="12542" width="9.21875" style="143"/>
    <col min="12543" max="12543" width="2.44140625" style="143" customWidth="1"/>
    <col min="12544" max="12544" width="2.21875" style="143" customWidth="1"/>
    <col min="12545" max="12545" width="43" style="143" customWidth="1"/>
    <col min="12546" max="12546" width="9.21875" style="143" bestFit="1" customWidth="1"/>
    <col min="12547" max="12547" width="20.21875" style="143" bestFit="1" customWidth="1"/>
    <col min="12548" max="12548" width="18.21875" style="143" bestFit="1" customWidth="1"/>
    <col min="12549" max="12549" width="18.77734375" style="143" bestFit="1" customWidth="1"/>
    <col min="12550" max="12550" width="9" style="143" bestFit="1" customWidth="1"/>
    <col min="12551" max="12551" width="13.44140625" style="143" bestFit="1" customWidth="1"/>
    <col min="12552" max="12553" width="9.21875" style="143"/>
    <col min="12554" max="12554" width="14.77734375" style="143" bestFit="1" customWidth="1"/>
    <col min="12555" max="12798" width="9.21875" style="143"/>
    <col min="12799" max="12799" width="2.44140625" style="143" customWidth="1"/>
    <col min="12800" max="12800" width="2.21875" style="143" customWidth="1"/>
    <col min="12801" max="12801" width="43" style="143" customWidth="1"/>
    <col min="12802" max="12802" width="9.21875" style="143" bestFit="1" customWidth="1"/>
    <col min="12803" max="12803" width="20.21875" style="143" bestFit="1" customWidth="1"/>
    <col min="12804" max="12804" width="18.21875" style="143" bestFit="1" customWidth="1"/>
    <col min="12805" max="12805" width="18.77734375" style="143" bestFit="1" customWidth="1"/>
    <col min="12806" max="12806" width="9" style="143" bestFit="1" customWidth="1"/>
    <col min="12807" max="12807" width="13.44140625" style="143" bestFit="1" customWidth="1"/>
    <col min="12808" max="12809" width="9.21875" style="143"/>
    <col min="12810" max="12810" width="14.77734375" style="143" bestFit="1" customWidth="1"/>
    <col min="12811" max="13054" width="9.21875" style="143"/>
    <col min="13055" max="13055" width="2.44140625" style="143" customWidth="1"/>
    <col min="13056" max="13056" width="2.21875" style="143" customWidth="1"/>
    <col min="13057" max="13057" width="43" style="143" customWidth="1"/>
    <col min="13058" max="13058" width="9.21875" style="143" bestFit="1" customWidth="1"/>
    <col min="13059" max="13059" width="20.21875" style="143" bestFit="1" customWidth="1"/>
    <col min="13060" max="13060" width="18.21875" style="143" bestFit="1" customWidth="1"/>
    <col min="13061" max="13061" width="18.77734375" style="143" bestFit="1" customWidth="1"/>
    <col min="13062" max="13062" width="9" style="143" bestFit="1" customWidth="1"/>
    <col min="13063" max="13063" width="13.44140625" style="143" bestFit="1" customWidth="1"/>
    <col min="13064" max="13065" width="9.21875" style="143"/>
    <col min="13066" max="13066" width="14.77734375" style="143" bestFit="1" customWidth="1"/>
    <col min="13067" max="13310" width="9.21875" style="143"/>
    <col min="13311" max="13311" width="2.44140625" style="143" customWidth="1"/>
    <col min="13312" max="13312" width="2.21875" style="143" customWidth="1"/>
    <col min="13313" max="13313" width="43" style="143" customWidth="1"/>
    <col min="13314" max="13314" width="9.21875" style="143" bestFit="1" customWidth="1"/>
    <col min="13315" max="13315" width="20.21875" style="143" bestFit="1" customWidth="1"/>
    <col min="13316" max="13316" width="18.21875" style="143" bestFit="1" customWidth="1"/>
    <col min="13317" max="13317" width="18.77734375" style="143" bestFit="1" customWidth="1"/>
    <col min="13318" max="13318" width="9" style="143" bestFit="1" customWidth="1"/>
    <col min="13319" max="13319" width="13.44140625" style="143" bestFit="1" customWidth="1"/>
    <col min="13320" max="13321" width="9.21875" style="143"/>
    <col min="13322" max="13322" width="14.77734375" style="143" bestFit="1" customWidth="1"/>
    <col min="13323" max="13566" width="9.21875" style="143"/>
    <col min="13567" max="13567" width="2.44140625" style="143" customWidth="1"/>
    <col min="13568" max="13568" width="2.21875" style="143" customWidth="1"/>
    <col min="13569" max="13569" width="43" style="143" customWidth="1"/>
    <col min="13570" max="13570" width="9.21875" style="143" bestFit="1" customWidth="1"/>
    <col min="13571" max="13571" width="20.21875" style="143" bestFit="1" customWidth="1"/>
    <col min="13572" max="13572" width="18.21875" style="143" bestFit="1" customWidth="1"/>
    <col min="13573" max="13573" width="18.77734375" style="143" bestFit="1" customWidth="1"/>
    <col min="13574" max="13574" width="9" style="143" bestFit="1" customWidth="1"/>
    <col min="13575" max="13575" width="13.44140625" style="143" bestFit="1" customWidth="1"/>
    <col min="13576" max="13577" width="9.21875" style="143"/>
    <col min="13578" max="13578" width="14.77734375" style="143" bestFit="1" customWidth="1"/>
    <col min="13579" max="13822" width="9.21875" style="143"/>
    <col min="13823" max="13823" width="2.44140625" style="143" customWidth="1"/>
    <col min="13824" max="13824" width="2.21875" style="143" customWidth="1"/>
    <col min="13825" max="13825" width="43" style="143" customWidth="1"/>
    <col min="13826" max="13826" width="9.21875" style="143" bestFit="1" customWidth="1"/>
    <col min="13827" max="13827" width="20.21875" style="143" bestFit="1" customWidth="1"/>
    <col min="13828" max="13828" width="18.21875" style="143" bestFit="1" customWidth="1"/>
    <col min="13829" max="13829" width="18.77734375" style="143" bestFit="1" customWidth="1"/>
    <col min="13830" max="13830" width="9" style="143" bestFit="1" customWidth="1"/>
    <col min="13831" max="13831" width="13.44140625" style="143" bestFit="1" customWidth="1"/>
    <col min="13832" max="13833" width="9.21875" style="143"/>
    <col min="13834" max="13834" width="14.77734375" style="143" bestFit="1" customWidth="1"/>
    <col min="13835" max="14078" width="9.21875" style="143"/>
    <col min="14079" max="14079" width="2.44140625" style="143" customWidth="1"/>
    <col min="14080" max="14080" width="2.21875" style="143" customWidth="1"/>
    <col min="14081" max="14081" width="43" style="143" customWidth="1"/>
    <col min="14082" max="14082" width="9.21875" style="143" bestFit="1" customWidth="1"/>
    <col min="14083" max="14083" width="20.21875" style="143" bestFit="1" customWidth="1"/>
    <col min="14084" max="14084" width="18.21875" style="143" bestFit="1" customWidth="1"/>
    <col min="14085" max="14085" width="18.77734375" style="143" bestFit="1" customWidth="1"/>
    <col min="14086" max="14086" width="9" style="143" bestFit="1" customWidth="1"/>
    <col min="14087" max="14087" width="13.44140625" style="143" bestFit="1" customWidth="1"/>
    <col min="14088" max="14089" width="9.21875" style="143"/>
    <col min="14090" max="14090" width="14.77734375" style="143" bestFit="1" customWidth="1"/>
    <col min="14091" max="14334" width="9.21875" style="143"/>
    <col min="14335" max="14335" width="2.44140625" style="143" customWidth="1"/>
    <col min="14336" max="14336" width="2.21875" style="143" customWidth="1"/>
    <col min="14337" max="14337" width="43" style="143" customWidth="1"/>
    <col min="14338" max="14338" width="9.21875" style="143" bestFit="1" customWidth="1"/>
    <col min="14339" max="14339" width="20.21875" style="143" bestFit="1" customWidth="1"/>
    <col min="14340" max="14340" width="18.21875" style="143" bestFit="1" customWidth="1"/>
    <col min="14341" max="14341" width="18.77734375" style="143" bestFit="1" customWidth="1"/>
    <col min="14342" max="14342" width="9" style="143" bestFit="1" customWidth="1"/>
    <col min="14343" max="14343" width="13.44140625" style="143" bestFit="1" customWidth="1"/>
    <col min="14344" max="14345" width="9.21875" style="143"/>
    <col min="14346" max="14346" width="14.77734375" style="143" bestFit="1" customWidth="1"/>
    <col min="14347" max="14590" width="9.21875" style="143"/>
    <col min="14591" max="14591" width="2.44140625" style="143" customWidth="1"/>
    <col min="14592" max="14592" width="2.21875" style="143" customWidth="1"/>
    <col min="14593" max="14593" width="43" style="143" customWidth="1"/>
    <col min="14594" max="14594" width="9.21875" style="143" bestFit="1" customWidth="1"/>
    <col min="14595" max="14595" width="20.21875" style="143" bestFit="1" customWidth="1"/>
    <col min="14596" max="14596" width="18.21875" style="143" bestFit="1" customWidth="1"/>
    <col min="14597" max="14597" width="18.77734375" style="143" bestFit="1" customWidth="1"/>
    <col min="14598" max="14598" width="9" style="143" bestFit="1" customWidth="1"/>
    <col min="14599" max="14599" width="13.44140625" style="143" bestFit="1" customWidth="1"/>
    <col min="14600" max="14601" width="9.21875" style="143"/>
    <col min="14602" max="14602" width="14.77734375" style="143" bestFit="1" customWidth="1"/>
    <col min="14603" max="14846" width="9.21875" style="143"/>
    <col min="14847" max="14847" width="2.44140625" style="143" customWidth="1"/>
    <col min="14848" max="14848" width="2.21875" style="143" customWidth="1"/>
    <col min="14849" max="14849" width="43" style="143" customWidth="1"/>
    <col min="14850" max="14850" width="9.21875" style="143" bestFit="1" customWidth="1"/>
    <col min="14851" max="14851" width="20.21875" style="143" bestFit="1" customWidth="1"/>
    <col min="14852" max="14852" width="18.21875" style="143" bestFit="1" customWidth="1"/>
    <col min="14853" max="14853" width="18.77734375" style="143" bestFit="1" customWidth="1"/>
    <col min="14854" max="14854" width="9" style="143" bestFit="1" customWidth="1"/>
    <col min="14855" max="14855" width="13.44140625" style="143" bestFit="1" customWidth="1"/>
    <col min="14856" max="14857" width="9.21875" style="143"/>
    <col min="14858" max="14858" width="14.77734375" style="143" bestFit="1" customWidth="1"/>
    <col min="14859" max="15102" width="9.21875" style="143"/>
    <col min="15103" max="15103" width="2.44140625" style="143" customWidth="1"/>
    <col min="15104" max="15104" width="2.21875" style="143" customWidth="1"/>
    <col min="15105" max="15105" width="43" style="143" customWidth="1"/>
    <col min="15106" max="15106" width="9.21875" style="143" bestFit="1" customWidth="1"/>
    <col min="15107" max="15107" width="20.21875" style="143" bestFit="1" customWidth="1"/>
    <col min="15108" max="15108" width="18.21875" style="143" bestFit="1" customWidth="1"/>
    <col min="15109" max="15109" width="18.77734375" style="143" bestFit="1" customWidth="1"/>
    <col min="15110" max="15110" width="9" style="143" bestFit="1" customWidth="1"/>
    <col min="15111" max="15111" width="13.44140625" style="143" bestFit="1" customWidth="1"/>
    <col min="15112" max="15113" width="9.21875" style="143"/>
    <col min="15114" max="15114" width="14.77734375" style="143" bestFit="1" customWidth="1"/>
    <col min="15115" max="15358" width="9.21875" style="143"/>
    <col min="15359" max="15359" width="2.44140625" style="143" customWidth="1"/>
    <col min="15360" max="15360" width="2.21875" style="143" customWidth="1"/>
    <col min="15361" max="15361" width="43" style="143" customWidth="1"/>
    <col min="15362" max="15362" width="9.21875" style="143" bestFit="1" customWidth="1"/>
    <col min="15363" max="15363" width="20.21875" style="143" bestFit="1" customWidth="1"/>
    <col min="15364" max="15364" width="18.21875" style="143" bestFit="1" customWidth="1"/>
    <col min="15365" max="15365" width="18.77734375" style="143" bestFit="1" customWidth="1"/>
    <col min="15366" max="15366" width="9" style="143" bestFit="1" customWidth="1"/>
    <col min="15367" max="15367" width="13.44140625" style="143" bestFit="1" customWidth="1"/>
    <col min="15368" max="15369" width="9.21875" style="143"/>
    <col min="15370" max="15370" width="14.77734375" style="143" bestFit="1" customWidth="1"/>
    <col min="15371" max="15614" width="9.21875" style="143"/>
    <col min="15615" max="15615" width="2.44140625" style="143" customWidth="1"/>
    <col min="15616" max="15616" width="2.21875" style="143" customWidth="1"/>
    <col min="15617" max="15617" width="43" style="143" customWidth="1"/>
    <col min="15618" max="15618" width="9.21875" style="143" bestFit="1" customWidth="1"/>
    <col min="15619" max="15619" width="20.21875" style="143" bestFit="1" customWidth="1"/>
    <col min="15620" max="15620" width="18.21875" style="143" bestFit="1" customWidth="1"/>
    <col min="15621" max="15621" width="18.77734375" style="143" bestFit="1" customWidth="1"/>
    <col min="15622" max="15622" width="9" style="143" bestFit="1" customWidth="1"/>
    <col min="15623" max="15623" width="13.44140625" style="143" bestFit="1" customWidth="1"/>
    <col min="15624" max="15625" width="9.21875" style="143"/>
    <col min="15626" max="15626" width="14.77734375" style="143" bestFit="1" customWidth="1"/>
    <col min="15627" max="15870" width="9.21875" style="143"/>
    <col min="15871" max="15871" width="2.44140625" style="143" customWidth="1"/>
    <col min="15872" max="15872" width="2.21875" style="143" customWidth="1"/>
    <col min="15873" max="15873" width="43" style="143" customWidth="1"/>
    <col min="15874" max="15874" width="9.21875" style="143" bestFit="1" customWidth="1"/>
    <col min="15875" max="15875" width="20.21875" style="143" bestFit="1" customWidth="1"/>
    <col min="15876" max="15876" width="18.21875" style="143" bestFit="1" customWidth="1"/>
    <col min="15877" max="15877" width="18.77734375" style="143" bestFit="1" customWidth="1"/>
    <col min="15878" max="15878" width="9" style="143" bestFit="1" customWidth="1"/>
    <col min="15879" max="15879" width="13.44140625" style="143" bestFit="1" customWidth="1"/>
    <col min="15880" max="15881" width="9.21875" style="143"/>
    <col min="15882" max="15882" width="14.77734375" style="143" bestFit="1" customWidth="1"/>
    <col min="15883" max="16126" width="9.21875" style="143"/>
    <col min="16127" max="16127" width="2.44140625" style="143" customWidth="1"/>
    <col min="16128" max="16128" width="2.21875" style="143" customWidth="1"/>
    <col min="16129" max="16129" width="43" style="143" customWidth="1"/>
    <col min="16130" max="16130" width="9.21875" style="143" bestFit="1" customWidth="1"/>
    <col min="16131" max="16131" width="20.21875" style="143" bestFit="1" customWidth="1"/>
    <col min="16132" max="16132" width="18.21875" style="143" bestFit="1" customWidth="1"/>
    <col min="16133" max="16133" width="18.77734375" style="143" bestFit="1" customWidth="1"/>
    <col min="16134" max="16134" width="9" style="143" bestFit="1" customWidth="1"/>
    <col min="16135" max="16135" width="13.44140625" style="143" bestFit="1" customWidth="1"/>
    <col min="16136" max="16137" width="9.21875" style="143"/>
    <col min="16138" max="16138" width="14.77734375" style="143" bestFit="1" customWidth="1"/>
    <col min="16139" max="16384" width="9.21875" style="143"/>
  </cols>
  <sheetData>
    <row r="1" spans="1:10" ht="14.85" customHeight="1" x14ac:dyDescent="0.25">
      <c r="A1" s="322" t="e" vm="1">
        <v>#VALUE!</v>
      </c>
      <c r="B1" s="322"/>
      <c r="C1" s="322"/>
      <c r="D1" s="322"/>
      <c r="E1" s="322"/>
      <c r="F1" s="322"/>
    </row>
    <row r="2" spans="1:10" x14ac:dyDescent="0.25">
      <c r="A2" s="322"/>
      <c r="B2" s="322"/>
      <c r="C2" s="322"/>
      <c r="D2" s="322"/>
      <c r="E2" s="322"/>
      <c r="F2" s="322"/>
    </row>
    <row r="3" spans="1:10" x14ac:dyDescent="0.25">
      <c r="A3" s="322"/>
      <c r="B3" s="322"/>
      <c r="C3" s="322"/>
      <c r="D3" s="322"/>
      <c r="E3" s="322"/>
      <c r="F3" s="322"/>
    </row>
    <row r="4" spans="1:10" x14ac:dyDescent="0.25">
      <c r="A4" s="322"/>
      <c r="B4" s="322"/>
      <c r="C4" s="322"/>
      <c r="D4" s="322"/>
      <c r="E4" s="322"/>
      <c r="F4" s="322"/>
    </row>
    <row r="5" spans="1:10" x14ac:dyDescent="0.25">
      <c r="A5" s="322"/>
      <c r="B5" s="322"/>
      <c r="C5" s="322"/>
      <c r="D5" s="322"/>
      <c r="E5" s="322"/>
      <c r="F5" s="322"/>
    </row>
    <row r="6" spans="1:10" x14ac:dyDescent="0.25">
      <c r="A6" s="322"/>
      <c r="B6" s="322"/>
      <c r="C6" s="322"/>
      <c r="D6" s="322"/>
      <c r="E6" s="322"/>
      <c r="F6" s="322"/>
    </row>
    <row r="7" spans="1:10" x14ac:dyDescent="0.25">
      <c r="A7" s="323" t="s">
        <v>271</v>
      </c>
      <c r="B7" s="323"/>
      <c r="C7" s="323"/>
      <c r="D7" s="323"/>
      <c r="E7" s="323"/>
      <c r="F7" s="323"/>
    </row>
    <row r="8" spans="1:10" x14ac:dyDescent="0.25">
      <c r="A8" s="323" t="s">
        <v>170</v>
      </c>
      <c r="B8" s="323"/>
      <c r="C8" s="323"/>
      <c r="D8" s="323"/>
      <c r="E8" s="323"/>
      <c r="F8" s="323"/>
    </row>
    <row r="9" spans="1:10" x14ac:dyDescent="0.25">
      <c r="A9" s="323" t="s">
        <v>272</v>
      </c>
      <c r="B9" s="323"/>
      <c r="C9" s="323"/>
      <c r="D9" s="323"/>
      <c r="E9" s="323"/>
      <c r="F9" s="323"/>
    </row>
    <row r="10" spans="1:10" x14ac:dyDescent="0.25">
      <c r="A10" s="324"/>
      <c r="B10" s="324"/>
      <c r="C10" s="324"/>
      <c r="D10" s="324"/>
      <c r="E10" s="324"/>
      <c r="F10" s="324"/>
    </row>
    <row r="11" spans="1:10" ht="14.4" x14ac:dyDescent="0.3">
      <c r="A11" s="325" t="s">
        <v>1</v>
      </c>
      <c r="B11" s="325"/>
      <c r="C11" s="325"/>
      <c r="D11" s="325"/>
      <c r="E11" s="325"/>
      <c r="F11" s="325"/>
      <c r="G11"/>
      <c r="H11"/>
      <c r="I11"/>
      <c r="J11"/>
    </row>
    <row r="12" spans="1:10" ht="27.6" x14ac:dyDescent="0.3">
      <c r="A12" s="144" t="s">
        <v>2</v>
      </c>
      <c r="B12" s="145" t="s">
        <v>3</v>
      </c>
      <c r="C12" s="145" t="s">
        <v>278</v>
      </c>
      <c r="D12" s="145" t="s">
        <v>279</v>
      </c>
      <c r="E12" s="146" t="s">
        <v>171</v>
      </c>
      <c r="F12" s="146" t="s">
        <v>4</v>
      </c>
      <c r="G12"/>
      <c r="H12"/>
      <c r="I12"/>
      <c r="J12"/>
    </row>
    <row r="13" spans="1:10" ht="14.4" x14ac:dyDescent="0.3">
      <c r="A13" s="147"/>
      <c r="B13" s="148"/>
      <c r="C13" s="149"/>
      <c r="D13" s="150"/>
      <c r="E13" s="150"/>
      <c r="F13" s="151"/>
      <c r="G13"/>
      <c r="H13"/>
      <c r="I13"/>
      <c r="J13"/>
    </row>
    <row r="14" spans="1:10" s="157" customFormat="1" ht="14.4" x14ac:dyDescent="0.3">
      <c r="A14" s="152" t="s">
        <v>172</v>
      </c>
      <c r="B14" s="153" t="s">
        <v>432</v>
      </c>
      <c r="C14" s="154"/>
      <c r="D14" s="155"/>
      <c r="E14" s="155"/>
      <c r="F14" s="156"/>
      <c r="G14"/>
      <c r="H14"/>
      <c r="I14"/>
      <c r="J14"/>
    </row>
    <row r="15" spans="1:10" s="157" customFormat="1" ht="14.4" x14ac:dyDescent="0.3">
      <c r="A15" s="158"/>
      <c r="B15" s="159"/>
      <c r="C15" s="160"/>
      <c r="D15" s="161"/>
      <c r="E15" s="161"/>
      <c r="F15" s="162"/>
      <c r="G15"/>
      <c r="H15"/>
      <c r="I15"/>
      <c r="J15"/>
    </row>
    <row r="16" spans="1:10" s="157" customFormat="1" ht="14.4" x14ac:dyDescent="0.3">
      <c r="A16" s="163" t="s">
        <v>173</v>
      </c>
      <c r="B16" s="164" t="s">
        <v>431</v>
      </c>
      <c r="C16" s="109">
        <v>1993957611694.75</v>
      </c>
      <c r="D16" s="109">
        <v>1836548950329.7729</v>
      </c>
      <c r="E16" s="109">
        <v>157408661364.97699</v>
      </c>
      <c r="F16" s="165">
        <v>8.5708938679098381</v>
      </c>
      <c r="G16"/>
      <c r="H16"/>
      <c r="I16"/>
      <c r="J16"/>
    </row>
    <row r="17" spans="1:10" s="157" customFormat="1" ht="14.4" x14ac:dyDescent="0.3">
      <c r="A17" s="166" t="s">
        <v>174</v>
      </c>
      <c r="B17" s="167" t="s">
        <v>433</v>
      </c>
      <c r="C17" s="124">
        <v>207720054980.47</v>
      </c>
      <c r="D17" s="124">
        <v>163262466983.10303</v>
      </c>
      <c r="E17" s="124">
        <v>44457587997.366974</v>
      </c>
      <c r="F17" s="168">
        <v>27.230746183670096</v>
      </c>
      <c r="G17"/>
      <c r="H17"/>
      <c r="I17"/>
      <c r="J17"/>
    </row>
    <row r="18" spans="1:10" ht="14.4" x14ac:dyDescent="0.3">
      <c r="A18" s="110" t="s">
        <v>175</v>
      </c>
      <c r="B18" s="169" t="s">
        <v>434</v>
      </c>
      <c r="C18" s="123">
        <v>37819774853.910004</v>
      </c>
      <c r="D18" s="123">
        <v>17698662350.549999</v>
      </c>
      <c r="E18" s="123">
        <v>20121112503.360004</v>
      </c>
      <c r="F18" s="170">
        <v>113.68719344337752</v>
      </c>
      <c r="G18"/>
      <c r="H18"/>
      <c r="I18"/>
      <c r="J18"/>
    </row>
    <row r="19" spans="1:10" ht="14.4" x14ac:dyDescent="0.3">
      <c r="A19" s="110" t="s">
        <v>176</v>
      </c>
      <c r="B19" s="169" t="s">
        <v>435</v>
      </c>
      <c r="C19" s="123">
        <v>20831870098.319992</v>
      </c>
      <c r="D19" s="123">
        <v>16620395583.91</v>
      </c>
      <c r="E19" s="123">
        <v>4211474514.4099922</v>
      </c>
      <c r="F19" s="170">
        <v>25.339195406919607</v>
      </c>
      <c r="G19"/>
      <c r="H19"/>
      <c r="I19"/>
      <c r="J19"/>
    </row>
    <row r="20" spans="1:10" ht="13.8" customHeight="1" x14ac:dyDescent="0.3">
      <c r="A20" s="110" t="s">
        <v>177</v>
      </c>
      <c r="B20" s="169" t="s">
        <v>436</v>
      </c>
      <c r="C20" s="123">
        <v>4571178075.1100006</v>
      </c>
      <c r="D20" s="123">
        <v>231253151.75999999</v>
      </c>
      <c r="E20" s="123">
        <v>4339924923.3500004</v>
      </c>
      <c r="F20" s="170">
        <v>1876.6987132154106</v>
      </c>
      <c r="G20"/>
      <c r="H20"/>
      <c r="I20"/>
      <c r="J20"/>
    </row>
    <row r="21" spans="1:10" ht="14.4" x14ac:dyDescent="0.3">
      <c r="A21" s="110" t="s">
        <v>178</v>
      </c>
      <c r="B21" s="169" t="s">
        <v>437</v>
      </c>
      <c r="C21" s="123">
        <v>144497231953.13</v>
      </c>
      <c r="D21" s="171">
        <v>128712155896.88301</v>
      </c>
      <c r="E21" s="123">
        <v>15785076056.246994</v>
      </c>
      <c r="F21" s="170">
        <v>12.263858021998415</v>
      </c>
      <c r="G21"/>
      <c r="H21"/>
      <c r="I21"/>
      <c r="J21"/>
    </row>
    <row r="22" spans="1:10" ht="14.4" x14ac:dyDescent="0.3">
      <c r="A22" s="172"/>
      <c r="B22" s="173"/>
      <c r="C22" s="123"/>
      <c r="D22" s="123"/>
      <c r="E22" s="123"/>
      <c r="F22" s="170"/>
      <c r="G22"/>
      <c r="H22"/>
      <c r="I22"/>
      <c r="J22"/>
    </row>
    <row r="23" spans="1:10" s="157" customFormat="1" ht="14.4" x14ac:dyDescent="0.3">
      <c r="A23" s="166" t="s">
        <v>179</v>
      </c>
      <c r="B23" s="167" t="s">
        <v>438</v>
      </c>
      <c r="C23" s="124">
        <v>1730928364903</v>
      </c>
      <c r="D23" s="124">
        <v>1624323750481</v>
      </c>
      <c r="E23" s="124">
        <v>106604614422</v>
      </c>
      <c r="F23" s="168">
        <v>6.5630151865003459</v>
      </c>
      <c r="G23"/>
      <c r="H23"/>
      <c r="I23"/>
      <c r="J23"/>
    </row>
    <row r="24" spans="1:10" s="157" customFormat="1" ht="14.4" x14ac:dyDescent="0.3">
      <c r="A24" s="174" t="s">
        <v>180</v>
      </c>
      <c r="B24" s="167" t="s">
        <v>439</v>
      </c>
      <c r="C24" s="285">
        <v>1673506140700</v>
      </c>
      <c r="D24" s="285">
        <v>1537926359899</v>
      </c>
      <c r="E24" s="285">
        <v>135579780801</v>
      </c>
      <c r="F24" s="286">
        <v>8.8157524531866347</v>
      </c>
      <c r="G24"/>
      <c r="H24"/>
      <c r="I24"/>
      <c r="J24"/>
    </row>
    <row r="25" spans="1:10" s="157" customFormat="1" ht="14.4" hidden="1" x14ac:dyDescent="0.3">
      <c r="A25" s="113" t="s">
        <v>181</v>
      </c>
      <c r="B25" s="169"/>
      <c r="C25" s="289"/>
      <c r="D25" s="287"/>
      <c r="E25" s="287">
        <v>0</v>
      </c>
      <c r="F25" s="288">
        <v>0</v>
      </c>
      <c r="G25"/>
      <c r="H25"/>
      <c r="I25"/>
      <c r="J25"/>
    </row>
    <row r="26" spans="1:10" s="157" customFormat="1" ht="15.6" customHeight="1" x14ac:dyDescent="0.3">
      <c r="A26" s="113" t="s">
        <v>182</v>
      </c>
      <c r="B26" s="169" t="s">
        <v>440</v>
      </c>
      <c r="C26" s="287">
        <v>169172380300</v>
      </c>
      <c r="D26" s="287">
        <v>48937222000</v>
      </c>
      <c r="E26" s="287">
        <v>120235158300</v>
      </c>
      <c r="F26" s="288">
        <v>245.69265149541999</v>
      </c>
      <c r="G26"/>
      <c r="H26"/>
      <c r="I26"/>
      <c r="J26"/>
    </row>
    <row r="27" spans="1:10" s="157" customFormat="1" ht="14.4" x14ac:dyDescent="0.3">
      <c r="A27" s="113" t="s">
        <v>183</v>
      </c>
      <c r="B27" s="169" t="s">
        <v>441</v>
      </c>
      <c r="C27" s="287">
        <v>1160437521669</v>
      </c>
      <c r="D27" s="287">
        <v>1069970219836</v>
      </c>
      <c r="E27" s="287">
        <v>90467301833</v>
      </c>
      <c r="F27" s="288">
        <v>8.4551233441680651</v>
      </c>
      <c r="G27"/>
      <c r="H27"/>
      <c r="I27"/>
      <c r="J27"/>
    </row>
    <row r="28" spans="1:10" s="157" customFormat="1" ht="14.4" x14ac:dyDescent="0.3">
      <c r="A28" s="113" t="s">
        <v>184</v>
      </c>
      <c r="B28" s="169" t="s">
        <v>442</v>
      </c>
      <c r="C28" s="287">
        <v>343896238731</v>
      </c>
      <c r="D28" s="287">
        <v>419018918063</v>
      </c>
      <c r="E28" s="287">
        <v>-75122679332</v>
      </c>
      <c r="F28" s="288">
        <v>-17.928230944624133</v>
      </c>
      <c r="G28"/>
      <c r="H28"/>
      <c r="I28"/>
      <c r="J28"/>
    </row>
    <row r="29" spans="1:10" s="283" customFormat="1" ht="14.4" hidden="1" x14ac:dyDescent="0.3">
      <c r="A29" s="278" t="s">
        <v>185</v>
      </c>
      <c r="B29" s="279"/>
      <c r="C29" s="280">
        <v>0</v>
      </c>
      <c r="D29" s="280">
        <v>0</v>
      </c>
      <c r="E29" s="280">
        <v>0</v>
      </c>
      <c r="F29" s="281">
        <v>0</v>
      </c>
      <c r="G29" s="282"/>
      <c r="H29" s="282"/>
      <c r="I29" s="282"/>
      <c r="J29" s="282"/>
    </row>
    <row r="30" spans="1:10" s="157" customFormat="1" ht="27.6" hidden="1" x14ac:dyDescent="0.3">
      <c r="A30" s="113" t="s">
        <v>186</v>
      </c>
      <c r="B30" s="169"/>
      <c r="C30" s="123">
        <v>0</v>
      </c>
      <c r="D30" s="123">
        <v>0</v>
      </c>
      <c r="E30" s="123">
        <v>0</v>
      </c>
      <c r="F30" s="170">
        <v>0</v>
      </c>
      <c r="G30"/>
      <c r="H30"/>
      <c r="I30"/>
      <c r="J30"/>
    </row>
    <row r="31" spans="1:10" s="157" customFormat="1" ht="14.4" hidden="1" x14ac:dyDescent="0.3">
      <c r="A31" s="113" t="s">
        <v>187</v>
      </c>
      <c r="B31" s="169"/>
      <c r="C31" s="123">
        <v>0</v>
      </c>
      <c r="D31" s="123">
        <v>0</v>
      </c>
      <c r="E31" s="123">
        <v>0</v>
      </c>
      <c r="F31" s="170">
        <v>0</v>
      </c>
      <c r="G31"/>
      <c r="H31"/>
      <c r="I31"/>
      <c r="J31"/>
    </row>
    <row r="32" spans="1:10" s="157" customFormat="1" ht="14.4" hidden="1" x14ac:dyDescent="0.3">
      <c r="A32" s="113" t="s">
        <v>188</v>
      </c>
      <c r="B32" s="169"/>
      <c r="C32" s="123">
        <v>0</v>
      </c>
      <c r="D32" s="123">
        <v>0</v>
      </c>
      <c r="E32" s="123">
        <v>0</v>
      </c>
      <c r="F32" s="170">
        <v>0</v>
      </c>
      <c r="G32"/>
      <c r="H32"/>
      <c r="I32"/>
      <c r="J32"/>
    </row>
    <row r="33" spans="1:10" s="157" customFormat="1" ht="14.4" x14ac:dyDescent="0.3">
      <c r="A33" s="174" t="s">
        <v>289</v>
      </c>
      <c r="B33" s="167" t="s">
        <v>443</v>
      </c>
      <c r="C33" s="124">
        <v>0</v>
      </c>
      <c r="D33" s="124">
        <v>6831675000</v>
      </c>
      <c r="E33" s="124">
        <v>-6831675000</v>
      </c>
      <c r="F33" s="168">
        <v>-100</v>
      </c>
      <c r="G33" s="274"/>
      <c r="H33" s="274"/>
      <c r="I33" s="274"/>
      <c r="J33" s="274"/>
    </row>
    <row r="34" spans="1:10" s="157" customFormat="1" ht="14.4" x14ac:dyDescent="0.3">
      <c r="A34" s="113" t="s">
        <v>189</v>
      </c>
      <c r="B34" s="169" t="s">
        <v>444</v>
      </c>
      <c r="C34" s="123">
        <v>0</v>
      </c>
      <c r="D34" s="123">
        <v>6831675000</v>
      </c>
      <c r="E34" s="123">
        <v>-6831675000</v>
      </c>
      <c r="F34" s="170">
        <v>-100</v>
      </c>
      <c r="G34"/>
      <c r="H34"/>
      <c r="I34"/>
      <c r="J34"/>
    </row>
    <row r="35" spans="1:10" s="157" customFormat="1" ht="14.4" x14ac:dyDescent="0.3">
      <c r="A35" s="174" t="s">
        <v>190</v>
      </c>
      <c r="B35" s="167" t="s">
        <v>445</v>
      </c>
      <c r="C35" s="124">
        <v>57422224203</v>
      </c>
      <c r="D35" s="124">
        <v>79565715582</v>
      </c>
      <c r="E35" s="124">
        <v>-22143491379</v>
      </c>
      <c r="F35" s="168">
        <v>-27.830443322261129</v>
      </c>
      <c r="G35"/>
      <c r="H35"/>
      <c r="I35"/>
      <c r="J35"/>
    </row>
    <row r="36" spans="1:10" s="157" customFormat="1" ht="14.4" x14ac:dyDescent="0.3">
      <c r="A36" s="113" t="s">
        <v>191</v>
      </c>
      <c r="B36" s="169" t="s">
        <v>446</v>
      </c>
      <c r="C36" s="123">
        <v>57231224203</v>
      </c>
      <c r="D36" s="123">
        <v>79565715582</v>
      </c>
      <c r="E36" s="123">
        <v>-22334491379</v>
      </c>
      <c r="F36" s="170">
        <v>-28.07049646399798</v>
      </c>
      <c r="G36"/>
      <c r="H36"/>
      <c r="I36"/>
      <c r="J36"/>
    </row>
    <row r="37" spans="1:10" s="157" customFormat="1" ht="14.4" x14ac:dyDescent="0.3">
      <c r="A37" s="113" t="s">
        <v>192</v>
      </c>
      <c r="B37" s="169" t="s">
        <v>447</v>
      </c>
      <c r="C37" s="123">
        <v>191000000</v>
      </c>
      <c r="D37" s="123">
        <v>0</v>
      </c>
      <c r="E37" s="123">
        <v>191000000</v>
      </c>
      <c r="F37" s="170">
        <v>0</v>
      </c>
      <c r="G37"/>
      <c r="H37"/>
      <c r="I37"/>
      <c r="J37"/>
    </row>
    <row r="38" spans="1:10" ht="14.4" x14ac:dyDescent="0.3">
      <c r="A38" s="175"/>
      <c r="B38" s="176"/>
      <c r="C38" s="123"/>
      <c r="D38" s="123"/>
      <c r="E38" s="123"/>
      <c r="F38" s="170"/>
      <c r="G38"/>
      <c r="H38"/>
      <c r="I38"/>
      <c r="J38"/>
    </row>
    <row r="39" spans="1:10" s="157" customFormat="1" ht="14.4" x14ac:dyDescent="0.3">
      <c r="A39" s="166" t="s">
        <v>193</v>
      </c>
      <c r="B39" s="167" t="s">
        <v>448</v>
      </c>
      <c r="C39" s="124">
        <v>55309191811.279999</v>
      </c>
      <c r="D39" s="124">
        <v>48962732865.669998</v>
      </c>
      <c r="E39" s="124">
        <v>6346458945.6100006</v>
      </c>
      <c r="F39" s="168">
        <v>12.961815189159493</v>
      </c>
      <c r="G39"/>
      <c r="H39"/>
      <c r="I39"/>
      <c r="J39"/>
    </row>
    <row r="40" spans="1:10" ht="14.4" x14ac:dyDescent="0.3">
      <c r="A40" s="110" t="s">
        <v>194</v>
      </c>
      <c r="B40" s="169" t="s">
        <v>449</v>
      </c>
      <c r="C40" s="123">
        <v>28984670518.279999</v>
      </c>
      <c r="D40" s="123">
        <v>32818843345.669998</v>
      </c>
      <c r="E40" s="123">
        <v>-3834172827.3899994</v>
      </c>
      <c r="F40" s="170">
        <v>-11.682839602255108</v>
      </c>
      <c r="G40"/>
      <c r="H40"/>
      <c r="I40"/>
      <c r="J40"/>
    </row>
    <row r="41" spans="1:10" ht="14.4" hidden="1" x14ac:dyDescent="0.3">
      <c r="A41" s="110" t="s">
        <v>195</v>
      </c>
      <c r="B41" s="169"/>
      <c r="C41" s="123">
        <v>0</v>
      </c>
      <c r="D41" s="123">
        <v>0</v>
      </c>
      <c r="E41" s="123">
        <v>0</v>
      </c>
      <c r="F41" s="170">
        <v>0</v>
      </c>
      <c r="G41"/>
      <c r="H41"/>
      <c r="I41"/>
      <c r="J41"/>
    </row>
    <row r="42" spans="1:10" ht="27.6" x14ac:dyDescent="0.3">
      <c r="A42" s="110" t="s">
        <v>196</v>
      </c>
      <c r="B42" s="169" t="s">
        <v>450</v>
      </c>
      <c r="C42" s="123">
        <v>26324521293</v>
      </c>
      <c r="D42" s="123">
        <v>16143889520</v>
      </c>
      <c r="E42" s="123">
        <v>10180631773</v>
      </c>
      <c r="F42" s="170">
        <v>63.061827574994453</v>
      </c>
      <c r="G42"/>
      <c r="H42"/>
      <c r="I42"/>
      <c r="J42"/>
    </row>
    <row r="43" spans="1:10" ht="14.4" x14ac:dyDescent="0.3">
      <c r="A43" s="122"/>
      <c r="B43" s="169"/>
      <c r="C43" s="123"/>
      <c r="D43" s="123"/>
      <c r="E43" s="123"/>
      <c r="F43" s="170"/>
      <c r="G43"/>
      <c r="H43"/>
      <c r="I43"/>
      <c r="J43"/>
    </row>
    <row r="44" spans="1:10" s="157" customFormat="1" ht="14.4" x14ac:dyDescent="0.3">
      <c r="A44" s="163" t="s">
        <v>197</v>
      </c>
      <c r="B44" s="164" t="s">
        <v>413</v>
      </c>
      <c r="C44" s="109">
        <v>1950528544171.6758</v>
      </c>
      <c r="D44" s="109">
        <v>1936009689068.54</v>
      </c>
      <c r="E44" s="109">
        <v>14518855103.135742</v>
      </c>
      <c r="F44" s="165">
        <v>0.7499371095669003</v>
      </c>
      <c r="G44"/>
      <c r="H44"/>
      <c r="I44"/>
      <c r="J44"/>
    </row>
    <row r="45" spans="1:10" ht="14.4" x14ac:dyDescent="0.3">
      <c r="A45" s="166" t="s">
        <v>198</v>
      </c>
      <c r="B45" s="167" t="s">
        <v>414</v>
      </c>
      <c r="C45" s="124">
        <v>1818584336797.6758</v>
      </c>
      <c r="D45" s="124">
        <v>1825859684513.54</v>
      </c>
      <c r="E45" s="124">
        <v>-7275347715.8642578</v>
      </c>
      <c r="F45" s="168">
        <v>-0.39846149063763431</v>
      </c>
      <c r="G45"/>
      <c r="H45"/>
      <c r="I45"/>
      <c r="J45"/>
    </row>
    <row r="46" spans="1:10" ht="14.4" x14ac:dyDescent="0.3">
      <c r="A46" s="110" t="s">
        <v>199</v>
      </c>
      <c r="B46" s="169" t="s">
        <v>415</v>
      </c>
      <c r="C46" s="123">
        <v>1062582069447</v>
      </c>
      <c r="D46" s="123">
        <v>955957751085.09998</v>
      </c>
      <c r="E46" s="123">
        <v>106624318361.90002</v>
      </c>
      <c r="F46" s="170">
        <v>11.153664295401299</v>
      </c>
      <c r="G46"/>
      <c r="H46"/>
      <c r="I46"/>
      <c r="J46"/>
    </row>
    <row r="47" spans="1:10" ht="14.4" x14ac:dyDescent="0.3">
      <c r="A47" s="110" t="s">
        <v>200</v>
      </c>
      <c r="B47" s="169" t="s">
        <v>416</v>
      </c>
      <c r="C47" s="123">
        <v>494255716638.64001</v>
      </c>
      <c r="D47" s="123">
        <v>598861003141.15002</v>
      </c>
      <c r="E47" s="123">
        <v>-104605286502.51001</v>
      </c>
      <c r="F47" s="170">
        <v>-17.467373222472929</v>
      </c>
      <c r="G47"/>
      <c r="H47"/>
      <c r="I47"/>
      <c r="J47"/>
    </row>
    <row r="48" spans="1:10" ht="14.4" hidden="1" x14ac:dyDescent="0.3">
      <c r="A48" s="110" t="s">
        <v>201</v>
      </c>
      <c r="B48" s="169"/>
      <c r="C48" s="123">
        <v>0</v>
      </c>
      <c r="D48" s="123">
        <v>0</v>
      </c>
      <c r="E48" s="123">
        <v>0</v>
      </c>
      <c r="F48" s="170">
        <v>0</v>
      </c>
      <c r="G48"/>
      <c r="H48"/>
      <c r="I48"/>
      <c r="J48"/>
    </row>
    <row r="49" spans="1:10" ht="14.4" hidden="1" x14ac:dyDescent="0.3">
      <c r="A49" s="110" t="s">
        <v>202</v>
      </c>
      <c r="B49" s="169"/>
      <c r="C49" s="123">
        <v>0</v>
      </c>
      <c r="D49" s="123">
        <v>0</v>
      </c>
      <c r="E49" s="123">
        <v>0</v>
      </c>
      <c r="F49" s="170">
        <v>0</v>
      </c>
      <c r="G49"/>
      <c r="H49"/>
      <c r="I49"/>
      <c r="J49"/>
    </row>
    <row r="50" spans="1:10" ht="14.4" x14ac:dyDescent="0.3">
      <c r="A50" s="110" t="s">
        <v>203</v>
      </c>
      <c r="B50" s="169" t="s">
        <v>417</v>
      </c>
      <c r="C50" s="123">
        <v>34845228077.5</v>
      </c>
      <c r="D50" s="123">
        <v>63197226557</v>
      </c>
      <c r="E50" s="123">
        <v>-28351998479.5</v>
      </c>
      <c r="F50" s="170">
        <v>-44.862725825362361</v>
      </c>
      <c r="G50"/>
      <c r="H50"/>
      <c r="I50"/>
      <c r="J50"/>
    </row>
    <row r="51" spans="1:10" ht="14.4" x14ac:dyDescent="0.3">
      <c r="A51" s="110" t="s">
        <v>204</v>
      </c>
      <c r="B51" s="169" t="s">
        <v>418</v>
      </c>
      <c r="C51" s="123">
        <v>1684000000</v>
      </c>
      <c r="D51" s="123">
        <v>1386600000</v>
      </c>
      <c r="E51" s="123">
        <v>297400000</v>
      </c>
      <c r="F51" s="170">
        <v>21.448146545506997</v>
      </c>
      <c r="G51"/>
      <c r="H51"/>
      <c r="I51"/>
      <c r="J51"/>
    </row>
    <row r="52" spans="1:10" ht="14.4" x14ac:dyDescent="0.3">
      <c r="A52" s="110" t="s">
        <v>205</v>
      </c>
      <c r="B52" s="169" t="s">
        <v>451</v>
      </c>
      <c r="C52" s="123">
        <v>4435661330.1800003</v>
      </c>
      <c r="D52" s="123">
        <v>5564395155.5599995</v>
      </c>
      <c r="E52" s="123">
        <v>-1128733825.3799992</v>
      </c>
      <c r="F52" s="170">
        <v>-20.284932932057441</v>
      </c>
      <c r="G52"/>
      <c r="H52"/>
      <c r="I52"/>
      <c r="J52"/>
    </row>
    <row r="53" spans="1:10" ht="14.4" x14ac:dyDescent="0.3">
      <c r="A53" s="110" t="s">
        <v>206</v>
      </c>
      <c r="B53" s="169" t="s">
        <v>452</v>
      </c>
      <c r="C53" s="123">
        <v>220781661304.35583</v>
      </c>
      <c r="D53" s="123">
        <v>200892708574.72998</v>
      </c>
      <c r="E53" s="123">
        <v>19888952729.625854</v>
      </c>
      <c r="F53" s="170">
        <v>9.9002860137292501</v>
      </c>
      <c r="G53"/>
      <c r="H53"/>
      <c r="I53"/>
      <c r="J53"/>
    </row>
    <row r="54" spans="1:10" ht="14.4" hidden="1" x14ac:dyDescent="0.3">
      <c r="A54" s="110" t="s">
        <v>207</v>
      </c>
      <c r="B54" s="169"/>
      <c r="C54" s="123">
        <v>0</v>
      </c>
      <c r="D54" s="123">
        <v>0</v>
      </c>
      <c r="E54" s="123">
        <v>0</v>
      </c>
      <c r="F54" s="170">
        <v>0</v>
      </c>
      <c r="G54"/>
      <c r="H54"/>
      <c r="I54"/>
      <c r="J54"/>
    </row>
    <row r="55" spans="1:10" ht="14.4" x14ac:dyDescent="0.3">
      <c r="A55" s="177"/>
      <c r="B55" s="169"/>
      <c r="C55" s="123"/>
      <c r="D55" s="123"/>
      <c r="E55" s="123"/>
      <c r="F55" s="170"/>
      <c r="G55"/>
      <c r="H55"/>
      <c r="I55"/>
      <c r="J55"/>
    </row>
    <row r="56" spans="1:10" ht="14.4" x14ac:dyDescent="0.3">
      <c r="A56" s="166" t="s">
        <v>208</v>
      </c>
      <c r="B56" s="167" t="s">
        <v>419</v>
      </c>
      <c r="C56" s="124">
        <v>131944207374</v>
      </c>
      <c r="D56" s="124">
        <v>110150004555</v>
      </c>
      <c r="E56" s="124">
        <v>21794202819</v>
      </c>
      <c r="F56" s="168">
        <v>19.785930020654462</v>
      </c>
      <c r="G56"/>
      <c r="H56"/>
      <c r="I56"/>
      <c r="J56"/>
    </row>
    <row r="57" spans="1:10" ht="14.4" x14ac:dyDescent="0.3">
      <c r="A57" s="110" t="s">
        <v>209</v>
      </c>
      <c r="B57" s="169" t="s">
        <v>420</v>
      </c>
      <c r="C57" s="123">
        <v>4252200290</v>
      </c>
      <c r="D57" s="123">
        <v>3318345692</v>
      </c>
      <c r="E57" s="123">
        <v>933854598</v>
      </c>
      <c r="F57" s="170">
        <v>28.142173380289275</v>
      </c>
      <c r="G57"/>
      <c r="H57"/>
      <c r="I57"/>
      <c r="J57"/>
    </row>
    <row r="58" spans="1:10" ht="14.4" x14ac:dyDescent="0.3">
      <c r="A58" s="110" t="s">
        <v>210</v>
      </c>
      <c r="B58" s="169" t="s">
        <v>422</v>
      </c>
      <c r="C58" s="123">
        <v>127692007084</v>
      </c>
      <c r="D58" s="123">
        <v>106831658863</v>
      </c>
      <c r="E58" s="123">
        <v>20860348221</v>
      </c>
      <c r="F58" s="170">
        <v>19.526373027447914</v>
      </c>
      <c r="G58"/>
      <c r="H58"/>
      <c r="I58"/>
      <c r="J58"/>
    </row>
    <row r="59" spans="1:10" ht="14.4" x14ac:dyDescent="0.3">
      <c r="A59" s="110"/>
      <c r="B59" s="169"/>
      <c r="C59" s="123"/>
      <c r="D59" s="123"/>
      <c r="E59" s="123"/>
      <c r="F59" s="170"/>
      <c r="G59"/>
      <c r="H59"/>
      <c r="I59"/>
      <c r="J59"/>
    </row>
    <row r="60" spans="1:10" s="157" customFormat="1" ht="14.4" x14ac:dyDescent="0.3">
      <c r="A60" s="178" t="s">
        <v>211</v>
      </c>
      <c r="B60" s="153"/>
      <c r="C60" s="180">
        <v>43429067523.074219</v>
      </c>
      <c r="D60" s="180">
        <v>-99460738738.76709</v>
      </c>
      <c r="E60" s="181">
        <v>142889806261.84131</v>
      </c>
      <c r="F60" s="182">
        <v>-143.66453343679694</v>
      </c>
      <c r="G60"/>
      <c r="H60"/>
      <c r="I60"/>
      <c r="J60"/>
    </row>
    <row r="61" spans="1:10" ht="14.4" x14ac:dyDescent="0.3">
      <c r="A61" s="177"/>
      <c r="B61" s="169"/>
      <c r="C61" s="123"/>
      <c r="D61" s="123"/>
      <c r="E61" s="123"/>
      <c r="F61" s="170"/>
      <c r="G61"/>
      <c r="H61"/>
      <c r="I61"/>
      <c r="J61"/>
    </row>
    <row r="62" spans="1:10" s="157" customFormat="1" ht="14.4" x14ac:dyDescent="0.3">
      <c r="A62" s="152" t="s">
        <v>212</v>
      </c>
      <c r="B62" s="153" t="s">
        <v>421</v>
      </c>
      <c r="C62" s="154"/>
      <c r="D62" s="155"/>
      <c r="E62" s="155"/>
      <c r="F62" s="156"/>
      <c r="G62"/>
      <c r="H62"/>
      <c r="I62"/>
      <c r="J62"/>
    </row>
    <row r="63" spans="1:10" ht="14.4" x14ac:dyDescent="0.3">
      <c r="A63" s="183"/>
      <c r="B63" s="169"/>
      <c r="C63" s="124"/>
      <c r="D63" s="124"/>
      <c r="E63" s="124"/>
      <c r="F63" s="168"/>
      <c r="G63"/>
      <c r="H63"/>
      <c r="I63"/>
      <c r="J63"/>
    </row>
    <row r="64" spans="1:10" s="157" customFormat="1" ht="14.4" x14ac:dyDescent="0.3">
      <c r="A64" s="163" t="s">
        <v>213</v>
      </c>
      <c r="B64" s="164" t="s">
        <v>423</v>
      </c>
      <c r="C64" s="109">
        <v>0</v>
      </c>
      <c r="D64" s="109">
        <v>10360930</v>
      </c>
      <c r="E64" s="109">
        <v>-10360930</v>
      </c>
      <c r="F64" s="165">
        <v>-100</v>
      </c>
      <c r="G64"/>
      <c r="H64"/>
      <c r="I64"/>
      <c r="J64"/>
    </row>
    <row r="65" spans="1:10" ht="27.6" hidden="1" x14ac:dyDescent="0.3">
      <c r="A65" s="184" t="s">
        <v>214</v>
      </c>
      <c r="B65" s="169"/>
      <c r="C65" s="123">
        <v>0</v>
      </c>
      <c r="D65" s="123">
        <v>0</v>
      </c>
      <c r="E65" s="123">
        <v>0</v>
      </c>
      <c r="F65" s="170">
        <v>0</v>
      </c>
      <c r="G65"/>
      <c r="H65"/>
      <c r="I65"/>
      <c r="J65"/>
    </row>
    <row r="66" spans="1:10" ht="14.4" hidden="1" x14ac:dyDescent="0.3">
      <c r="A66" s="184" t="s">
        <v>215</v>
      </c>
      <c r="B66" s="169"/>
      <c r="C66" s="123">
        <v>0</v>
      </c>
      <c r="D66" s="123">
        <v>0</v>
      </c>
      <c r="E66" s="123">
        <v>0</v>
      </c>
      <c r="F66" s="170">
        <v>0</v>
      </c>
      <c r="G66"/>
      <c r="H66"/>
      <c r="I66"/>
      <c r="J66"/>
    </row>
    <row r="67" spans="1:10" ht="14.4" x14ac:dyDescent="0.3">
      <c r="A67" s="184" t="s">
        <v>216</v>
      </c>
      <c r="B67" s="169"/>
      <c r="C67" s="123">
        <v>0</v>
      </c>
      <c r="D67" s="123">
        <v>10360930</v>
      </c>
      <c r="E67" s="123">
        <v>-10360930</v>
      </c>
      <c r="F67" s="170">
        <v>-100</v>
      </c>
      <c r="G67"/>
      <c r="H67"/>
      <c r="I67"/>
      <c r="J67"/>
    </row>
    <row r="68" spans="1:10" ht="14.4" x14ac:dyDescent="0.3">
      <c r="A68" s="183"/>
      <c r="B68" s="169"/>
      <c r="C68" s="124"/>
      <c r="D68" s="124"/>
      <c r="E68" s="124"/>
      <c r="F68" s="168"/>
      <c r="G68"/>
      <c r="H68"/>
      <c r="I68"/>
      <c r="J68"/>
    </row>
    <row r="69" spans="1:10" s="157" customFormat="1" ht="14.4" x14ac:dyDescent="0.3">
      <c r="A69" s="163" t="s">
        <v>217</v>
      </c>
      <c r="B69" s="164" t="s">
        <v>424</v>
      </c>
      <c r="C69" s="109">
        <v>1554388186</v>
      </c>
      <c r="D69" s="109">
        <v>2637947789.25</v>
      </c>
      <c r="E69" s="109">
        <v>-1083559603.25</v>
      </c>
      <c r="F69" s="165">
        <v>-41.075854786271904</v>
      </c>
      <c r="G69"/>
      <c r="H69"/>
      <c r="I69"/>
      <c r="J69"/>
    </row>
    <row r="70" spans="1:10" ht="27.6" hidden="1" x14ac:dyDescent="0.3">
      <c r="A70" s="184" t="s">
        <v>218</v>
      </c>
      <c r="B70" s="169"/>
      <c r="C70" s="123">
        <v>0</v>
      </c>
      <c r="D70" s="123">
        <v>0</v>
      </c>
      <c r="E70" s="123">
        <v>0</v>
      </c>
      <c r="F70" s="170">
        <v>0</v>
      </c>
      <c r="G70"/>
      <c r="H70"/>
      <c r="I70"/>
      <c r="J70"/>
    </row>
    <row r="71" spans="1:10" ht="14.1" hidden="1" customHeight="1" x14ac:dyDescent="0.3">
      <c r="A71" s="184" t="s">
        <v>219</v>
      </c>
      <c r="B71" s="169"/>
      <c r="C71" s="123">
        <v>0</v>
      </c>
      <c r="D71" s="123">
        <v>0</v>
      </c>
      <c r="E71" s="123">
        <v>0</v>
      </c>
      <c r="F71" s="170">
        <v>0</v>
      </c>
      <c r="G71"/>
      <c r="H71"/>
      <c r="I71"/>
      <c r="J71"/>
    </row>
    <row r="72" spans="1:10" ht="14.4" x14ac:dyDescent="0.3">
      <c r="A72" s="184" t="s">
        <v>220</v>
      </c>
      <c r="B72" s="169"/>
      <c r="C72" s="123">
        <v>1554388186</v>
      </c>
      <c r="D72" s="123">
        <v>2637947789.25</v>
      </c>
      <c r="E72" s="123">
        <v>-1083559603.25</v>
      </c>
      <c r="F72" s="170">
        <v>-41.075854786271904</v>
      </c>
      <c r="G72"/>
      <c r="H72"/>
      <c r="I72"/>
      <c r="J72"/>
    </row>
    <row r="73" spans="1:10" ht="14.4" x14ac:dyDescent="0.3">
      <c r="A73" s="183"/>
      <c r="B73" s="169"/>
      <c r="C73" s="124"/>
      <c r="D73" s="124"/>
      <c r="E73" s="124"/>
      <c r="F73" s="168"/>
      <c r="G73"/>
      <c r="H73"/>
      <c r="I73"/>
      <c r="J73"/>
    </row>
    <row r="74" spans="1:10" s="157" customFormat="1" ht="27.6" x14ac:dyDescent="0.3">
      <c r="A74" s="178" t="s">
        <v>221</v>
      </c>
      <c r="B74" s="179"/>
      <c r="C74" s="180">
        <v>-1554388186</v>
      </c>
      <c r="D74" s="180">
        <v>-2627586859.25</v>
      </c>
      <c r="E74" s="181">
        <v>1073198673.25</v>
      </c>
      <c r="F74" s="182">
        <v>-40.843508920436847</v>
      </c>
      <c r="G74"/>
      <c r="H74"/>
      <c r="I74"/>
      <c r="J74"/>
    </row>
    <row r="75" spans="1:10" ht="14.4" x14ac:dyDescent="0.3">
      <c r="A75" s="183"/>
      <c r="B75" s="169"/>
      <c r="C75" s="124"/>
      <c r="D75" s="124"/>
      <c r="E75" s="124"/>
      <c r="F75" s="168"/>
      <c r="G75"/>
      <c r="H75"/>
      <c r="I75"/>
      <c r="J75"/>
    </row>
    <row r="76" spans="1:10" s="157" customFormat="1" ht="14.4" x14ac:dyDescent="0.3">
      <c r="A76" s="178" t="s">
        <v>222</v>
      </c>
      <c r="B76" s="179"/>
      <c r="C76" s="180">
        <v>41874679337.074219</v>
      </c>
      <c r="D76" s="180">
        <v>-102088325598.01709</v>
      </c>
      <c r="E76" s="181">
        <v>143963004935.09131</v>
      </c>
      <c r="F76" s="182">
        <v>-141.01808810339384</v>
      </c>
      <c r="G76"/>
      <c r="H76"/>
      <c r="I76"/>
      <c r="J76"/>
    </row>
    <row r="77" spans="1:10" ht="14.4" x14ac:dyDescent="0.3">
      <c r="A77" s="183"/>
      <c r="B77" s="169"/>
      <c r="C77" s="124"/>
      <c r="D77" s="124"/>
      <c r="E77" s="124"/>
      <c r="F77" s="168"/>
      <c r="G77"/>
      <c r="H77"/>
      <c r="I77"/>
      <c r="J77"/>
    </row>
    <row r="78" spans="1:10" s="157" customFormat="1" ht="14.4" x14ac:dyDescent="0.3">
      <c r="A78" s="152" t="s">
        <v>223</v>
      </c>
      <c r="B78" s="153" t="s">
        <v>425</v>
      </c>
      <c r="C78" s="154"/>
      <c r="D78" s="155"/>
      <c r="E78" s="155"/>
      <c r="F78" s="156"/>
      <c r="G78"/>
      <c r="H78"/>
      <c r="I78"/>
      <c r="J78"/>
    </row>
    <row r="79" spans="1:10" ht="14.4" x14ac:dyDescent="0.3">
      <c r="A79" s="184"/>
      <c r="B79" s="169"/>
      <c r="C79" s="123"/>
      <c r="D79" s="123"/>
      <c r="E79" s="123"/>
      <c r="F79" s="170"/>
      <c r="G79"/>
      <c r="H79"/>
      <c r="I79"/>
      <c r="J79"/>
    </row>
    <row r="80" spans="1:10" s="157" customFormat="1" ht="14.4" x14ac:dyDescent="0.3">
      <c r="A80" s="163" t="s">
        <v>224</v>
      </c>
      <c r="B80" s="164"/>
      <c r="C80" s="109">
        <v>0</v>
      </c>
      <c r="D80" s="109">
        <v>0</v>
      </c>
      <c r="E80" s="109">
        <v>0</v>
      </c>
      <c r="F80" s="165">
        <v>0</v>
      </c>
      <c r="G80"/>
      <c r="H80"/>
      <c r="I80"/>
      <c r="J80"/>
    </row>
    <row r="81" spans="1:10" ht="14.4" hidden="1" x14ac:dyDescent="0.3">
      <c r="A81" s="184" t="s">
        <v>225</v>
      </c>
      <c r="B81" s="169"/>
      <c r="C81" s="123">
        <v>0</v>
      </c>
      <c r="D81" s="123">
        <v>0</v>
      </c>
      <c r="E81" s="123">
        <v>0</v>
      </c>
      <c r="F81" s="170">
        <v>0</v>
      </c>
      <c r="G81"/>
      <c r="H81"/>
      <c r="I81"/>
      <c r="J81"/>
    </row>
    <row r="82" spans="1:10" ht="12.6" hidden="1" customHeight="1" x14ac:dyDescent="0.3">
      <c r="A82" s="184"/>
      <c r="B82" s="169"/>
      <c r="C82" s="123"/>
      <c r="D82" s="123"/>
      <c r="E82" s="123"/>
      <c r="F82" s="170"/>
      <c r="G82"/>
      <c r="H82"/>
      <c r="I82"/>
      <c r="J82"/>
    </row>
    <row r="83" spans="1:10" s="157" customFormat="1" ht="14.4" x14ac:dyDescent="0.3">
      <c r="A83" s="163" t="s">
        <v>226</v>
      </c>
      <c r="B83" s="164"/>
      <c r="C83" s="109">
        <v>0</v>
      </c>
      <c r="D83" s="109">
        <v>0</v>
      </c>
      <c r="E83" s="109">
        <v>0</v>
      </c>
      <c r="F83" s="165">
        <v>0</v>
      </c>
      <c r="G83"/>
      <c r="H83"/>
      <c r="I83"/>
      <c r="J83"/>
    </row>
    <row r="84" spans="1:10" ht="14.4" hidden="1" x14ac:dyDescent="0.3">
      <c r="A84" s="184" t="s">
        <v>227</v>
      </c>
      <c r="B84" s="169"/>
      <c r="C84" s="123">
        <v>0</v>
      </c>
      <c r="D84" s="123">
        <v>0</v>
      </c>
      <c r="E84" s="123">
        <v>0</v>
      </c>
      <c r="F84" s="170">
        <v>0</v>
      </c>
      <c r="G84"/>
      <c r="H84"/>
      <c r="I84"/>
      <c r="J84"/>
    </row>
    <row r="85" spans="1:10" ht="14.4" x14ac:dyDescent="0.3">
      <c r="A85" s="185"/>
      <c r="B85" s="186"/>
      <c r="C85" s="187"/>
      <c r="D85" s="187"/>
      <c r="E85" s="187"/>
      <c r="F85" s="188"/>
      <c r="G85"/>
      <c r="H85"/>
      <c r="I85"/>
      <c r="J85"/>
    </row>
    <row r="86" spans="1:10" s="157" customFormat="1" ht="27" customHeight="1" x14ac:dyDescent="0.3">
      <c r="A86" s="189" t="s">
        <v>228</v>
      </c>
      <c r="B86" s="190" t="s">
        <v>426</v>
      </c>
      <c r="C86" s="127">
        <v>41874679337.074219</v>
      </c>
      <c r="D86" s="127">
        <v>-102088325598.01709</v>
      </c>
      <c r="E86" s="127">
        <v>143963004935.09131</v>
      </c>
      <c r="F86" s="191">
        <v>-141.01808810339384</v>
      </c>
      <c r="G86"/>
      <c r="H86"/>
      <c r="I86"/>
      <c r="J86"/>
    </row>
    <row r="87" spans="1:10" s="157" customFormat="1" ht="14.4" x14ac:dyDescent="0.3">
      <c r="A87" s="192"/>
      <c r="B87" s="193"/>
      <c r="C87" s="194"/>
      <c r="D87" s="194"/>
      <c r="E87" s="194"/>
      <c r="F87" s="195"/>
      <c r="G87"/>
      <c r="H87"/>
      <c r="I87"/>
      <c r="J87"/>
    </row>
    <row r="88" spans="1:10" s="157" customFormat="1" ht="15" customHeight="1" x14ac:dyDescent="0.3">
      <c r="A88" s="320" t="s">
        <v>77</v>
      </c>
      <c r="B88" s="320"/>
      <c r="C88" s="320"/>
      <c r="D88" s="320"/>
      <c r="E88" s="320"/>
      <c r="F88" s="320"/>
      <c r="G88"/>
      <c r="H88"/>
      <c r="I88"/>
      <c r="J88"/>
    </row>
    <row r="89" spans="1:10" ht="14.4" x14ac:dyDescent="0.3">
      <c r="A89" s="320"/>
      <c r="B89" s="320"/>
      <c r="C89" s="320"/>
      <c r="D89" s="320"/>
      <c r="E89" s="320"/>
      <c r="F89" s="320"/>
      <c r="G89"/>
      <c r="H89"/>
      <c r="I89"/>
      <c r="J89"/>
    </row>
    <row r="90" spans="1:10" ht="15" x14ac:dyDescent="0.3">
      <c r="A90" s="134"/>
      <c r="B90" s="134"/>
      <c r="C90" s="134"/>
      <c r="D90" s="134"/>
      <c r="E90" s="134"/>
      <c r="F90" s="134"/>
      <c r="G90"/>
      <c r="H90"/>
      <c r="I90"/>
      <c r="J90"/>
    </row>
    <row r="91" spans="1:10" ht="14.4" x14ac:dyDescent="0.3">
      <c r="A91" s="157"/>
      <c r="B91" s="196"/>
      <c r="C91" s="194"/>
      <c r="D91" s="194"/>
      <c r="E91" s="197"/>
      <c r="F91" s="195"/>
      <c r="G91"/>
      <c r="H91"/>
      <c r="I91"/>
      <c r="J91"/>
    </row>
    <row r="92" spans="1:10" ht="17.399999999999999" x14ac:dyDescent="0.3">
      <c r="B92" s="196"/>
      <c r="C92" s="194"/>
      <c r="D92" s="321" t="s">
        <v>276</v>
      </c>
      <c r="E92" s="321"/>
      <c r="F92" s="321"/>
      <c r="G92"/>
      <c r="H92"/>
      <c r="I92"/>
      <c r="J92"/>
    </row>
    <row r="93" spans="1:10" ht="17.399999999999999" x14ac:dyDescent="0.3">
      <c r="A93" s="157"/>
      <c r="B93" s="196"/>
      <c r="C93" s="194"/>
      <c r="D93" s="199"/>
      <c r="E93" s="200"/>
      <c r="F93" s="201"/>
      <c r="G93"/>
      <c r="H93"/>
      <c r="I93"/>
      <c r="J93"/>
    </row>
    <row r="94" spans="1:10" ht="17.399999999999999" x14ac:dyDescent="0.3">
      <c r="A94" s="157"/>
      <c r="B94" s="202"/>
      <c r="C94" s="194"/>
      <c r="D94" s="199"/>
      <c r="E94" s="200"/>
      <c r="F94" s="201"/>
      <c r="G94"/>
      <c r="H94"/>
      <c r="I94"/>
      <c r="J94"/>
    </row>
    <row r="95" spans="1:10" ht="17.399999999999999" x14ac:dyDescent="0.3">
      <c r="A95" s="157"/>
      <c r="B95" s="202"/>
      <c r="C95" s="194"/>
      <c r="D95" s="199"/>
      <c r="E95" s="200"/>
      <c r="F95" s="201"/>
      <c r="G95"/>
      <c r="H95"/>
      <c r="I95"/>
      <c r="J95"/>
    </row>
    <row r="96" spans="1:10" ht="17.399999999999999" x14ac:dyDescent="0.3">
      <c r="A96" s="157"/>
      <c r="B96" s="202"/>
      <c r="C96" s="194"/>
      <c r="D96" s="199"/>
      <c r="E96" s="200"/>
      <c r="F96" s="201"/>
      <c r="G96"/>
      <c r="H96"/>
      <c r="I96"/>
      <c r="J96"/>
    </row>
    <row r="97" spans="1:10" ht="17.399999999999999" x14ac:dyDescent="0.3">
      <c r="A97" s="157"/>
      <c r="B97" s="202"/>
      <c r="C97" s="194"/>
      <c r="D97" s="321">
        <v>0</v>
      </c>
      <c r="E97" s="321"/>
      <c r="F97" s="321"/>
      <c r="G97"/>
      <c r="H97"/>
      <c r="I97"/>
      <c r="J97"/>
    </row>
    <row r="98" spans="1:10" ht="14.4" x14ac:dyDescent="0.3">
      <c r="A98" s="157"/>
      <c r="B98" s="202"/>
      <c r="C98" s="203"/>
      <c r="D98" s="204"/>
      <c r="E98" s="205"/>
      <c r="F98" s="206"/>
      <c r="G98"/>
      <c r="H98"/>
      <c r="I98"/>
      <c r="J98"/>
    </row>
    <row r="99" spans="1:10" ht="14.4" x14ac:dyDescent="0.3">
      <c r="G99"/>
      <c r="H99"/>
      <c r="I99"/>
      <c r="J99"/>
    </row>
  </sheetData>
  <mergeCells count="9">
    <mergeCell ref="A88:F89"/>
    <mergeCell ref="D92:F92"/>
    <mergeCell ref="D97:F97"/>
    <mergeCell ref="A1:F6"/>
    <mergeCell ref="A7:F7"/>
    <mergeCell ref="A8:F8"/>
    <mergeCell ref="A9:F9"/>
    <mergeCell ref="A10:F10"/>
    <mergeCell ref="A11:F11"/>
  </mergeCells>
  <printOptions horizontalCentered="1"/>
  <pageMargins left="1.1811023622047245" right="0.78740157480314965" top="0.59055118110236227" bottom="1.1811023622047245" header="0.39370078740157483" footer="0.59055118110236227"/>
  <pageSetup paperSize="9" scale="57" fitToHeight="0" orientation="portrait" useFirstPageNumber="1" r:id="rId1"/>
  <headerFooter scaleWithDoc="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3541-0C28-49C7-B614-4FC930E20309}">
  <sheetPr codeName="Sheet17">
    <tabColor rgb="FF1B6744"/>
    <pageSetUpPr fitToPage="1"/>
  </sheetPr>
  <dimension ref="A1:WVN107"/>
  <sheetViews>
    <sheetView view="pageBreakPreview" zoomScale="92" zoomScaleNormal="96" workbookViewId="0">
      <selection sqref="A1:XFD1048576"/>
    </sheetView>
  </sheetViews>
  <sheetFormatPr defaultColWidth="9.21875" defaultRowHeight="13.8" x14ac:dyDescent="0.25"/>
  <cols>
    <col min="1" max="1" width="51.21875" style="212" customWidth="1"/>
    <col min="2" max="2" width="10.77734375" style="212" bestFit="1" customWidth="1"/>
    <col min="3" max="3" width="24" style="247" bestFit="1" customWidth="1"/>
    <col min="4" max="4" width="24" style="223" bestFit="1" customWidth="1"/>
    <col min="5" max="5" width="21.77734375" style="211" customWidth="1"/>
    <col min="6" max="6" width="21.21875" style="212" customWidth="1"/>
    <col min="7" max="8" width="22.21875" style="212" bestFit="1" customWidth="1"/>
    <col min="9" max="251" width="9.21875" style="212"/>
    <col min="252" max="252" width="2.44140625" style="212" customWidth="1"/>
    <col min="253" max="253" width="2.77734375" style="212" customWidth="1"/>
    <col min="254" max="255" width="1.21875" style="212" customWidth="1"/>
    <col min="256" max="256" width="2.77734375" style="212" customWidth="1"/>
    <col min="257" max="257" width="55.21875" style="212" customWidth="1"/>
    <col min="258" max="258" width="10.44140625" style="212" customWidth="1"/>
    <col min="259" max="259" width="18.77734375" style="212" bestFit="1" customWidth="1"/>
    <col min="260" max="260" width="18.44140625" style="212" bestFit="1" customWidth="1"/>
    <col min="261" max="261" width="9.21875" style="212"/>
    <col min="262" max="262" width="11.77734375" style="212" bestFit="1" customWidth="1"/>
    <col min="263" max="507" width="9.21875" style="212"/>
    <col min="508" max="508" width="2.44140625" style="212" customWidth="1"/>
    <col min="509" max="509" width="2.77734375" style="212" customWidth="1"/>
    <col min="510" max="511" width="1.21875" style="212" customWidth="1"/>
    <col min="512" max="512" width="2.77734375" style="212" customWidth="1"/>
    <col min="513" max="513" width="55.21875" style="212" customWidth="1"/>
    <col min="514" max="514" width="10.44140625" style="212" customWidth="1"/>
    <col min="515" max="515" width="18.77734375" style="212" bestFit="1" customWidth="1"/>
    <col min="516" max="516" width="18.44140625" style="212" bestFit="1" customWidth="1"/>
    <col min="517" max="517" width="9.21875" style="212"/>
    <col min="518" max="518" width="11.77734375" style="212" bestFit="1" customWidth="1"/>
    <col min="519" max="763" width="9.21875" style="212"/>
    <col min="764" max="764" width="2.44140625" style="212" customWidth="1"/>
    <col min="765" max="765" width="2.77734375" style="212" customWidth="1"/>
    <col min="766" max="767" width="1.21875" style="212" customWidth="1"/>
    <col min="768" max="768" width="2.77734375" style="212" customWidth="1"/>
    <col min="769" max="769" width="55.21875" style="212" customWidth="1"/>
    <col min="770" max="770" width="10.44140625" style="212" customWidth="1"/>
    <col min="771" max="771" width="18.77734375" style="212" bestFit="1" customWidth="1"/>
    <col min="772" max="772" width="18.44140625" style="212" bestFit="1" customWidth="1"/>
    <col min="773" max="773" width="9.21875" style="212"/>
    <col min="774" max="774" width="11.77734375" style="212" bestFit="1" customWidth="1"/>
    <col min="775" max="1019" width="9.21875" style="212"/>
    <col min="1020" max="1020" width="2.44140625" style="212" customWidth="1"/>
    <col min="1021" max="1021" width="2.77734375" style="212" customWidth="1"/>
    <col min="1022" max="1023" width="1.21875" style="212" customWidth="1"/>
    <col min="1024" max="1024" width="2.77734375" style="212" customWidth="1"/>
    <col min="1025" max="1025" width="55.21875" style="212" customWidth="1"/>
    <col min="1026" max="1026" width="10.44140625" style="212" customWidth="1"/>
    <col min="1027" max="1027" width="18.77734375" style="212" bestFit="1" customWidth="1"/>
    <col min="1028" max="1028" width="18.44140625" style="212" bestFit="1" customWidth="1"/>
    <col min="1029" max="1029" width="9.21875" style="212"/>
    <col min="1030" max="1030" width="11.77734375" style="212" bestFit="1" customWidth="1"/>
    <col min="1031" max="1275" width="9.21875" style="212"/>
    <col min="1276" max="1276" width="2.44140625" style="212" customWidth="1"/>
    <col min="1277" max="1277" width="2.77734375" style="212" customWidth="1"/>
    <col min="1278" max="1279" width="1.21875" style="212" customWidth="1"/>
    <col min="1280" max="1280" width="2.77734375" style="212" customWidth="1"/>
    <col min="1281" max="1281" width="55.21875" style="212" customWidth="1"/>
    <col min="1282" max="1282" width="10.44140625" style="212" customWidth="1"/>
    <col min="1283" max="1283" width="18.77734375" style="212" bestFit="1" customWidth="1"/>
    <col min="1284" max="1284" width="18.44140625" style="212" bestFit="1" customWidth="1"/>
    <col min="1285" max="1285" width="9.21875" style="212"/>
    <col min="1286" max="1286" width="11.77734375" style="212" bestFit="1" customWidth="1"/>
    <col min="1287" max="1531" width="9.21875" style="212"/>
    <col min="1532" max="1532" width="2.44140625" style="212" customWidth="1"/>
    <col min="1533" max="1533" width="2.77734375" style="212" customWidth="1"/>
    <col min="1534" max="1535" width="1.21875" style="212" customWidth="1"/>
    <col min="1536" max="1536" width="2.77734375" style="212" customWidth="1"/>
    <col min="1537" max="1537" width="55.21875" style="212" customWidth="1"/>
    <col min="1538" max="1538" width="10.44140625" style="212" customWidth="1"/>
    <col min="1539" max="1539" width="18.77734375" style="212" bestFit="1" customWidth="1"/>
    <col min="1540" max="1540" width="18.44140625" style="212" bestFit="1" customWidth="1"/>
    <col min="1541" max="1541" width="9.21875" style="212"/>
    <col min="1542" max="1542" width="11.77734375" style="212" bestFit="1" customWidth="1"/>
    <col min="1543" max="1787" width="9.21875" style="212"/>
    <col min="1788" max="1788" width="2.44140625" style="212" customWidth="1"/>
    <col min="1789" max="1789" width="2.77734375" style="212" customWidth="1"/>
    <col min="1790" max="1791" width="1.21875" style="212" customWidth="1"/>
    <col min="1792" max="1792" width="2.77734375" style="212" customWidth="1"/>
    <col min="1793" max="1793" width="55.21875" style="212" customWidth="1"/>
    <col min="1794" max="1794" width="10.44140625" style="212" customWidth="1"/>
    <col min="1795" max="1795" width="18.77734375" style="212" bestFit="1" customWidth="1"/>
    <col min="1796" max="1796" width="18.44140625" style="212" bestFit="1" customWidth="1"/>
    <col min="1797" max="1797" width="9.21875" style="212"/>
    <col min="1798" max="1798" width="11.77734375" style="212" bestFit="1" customWidth="1"/>
    <col min="1799" max="2043" width="9.21875" style="212"/>
    <col min="2044" max="2044" width="2.44140625" style="212" customWidth="1"/>
    <col min="2045" max="2045" width="2.77734375" style="212" customWidth="1"/>
    <col min="2046" max="2047" width="1.21875" style="212" customWidth="1"/>
    <col min="2048" max="2048" width="2.77734375" style="212" customWidth="1"/>
    <col min="2049" max="2049" width="55.21875" style="212" customWidth="1"/>
    <col min="2050" max="2050" width="10.44140625" style="212" customWidth="1"/>
    <col min="2051" max="2051" width="18.77734375" style="212" bestFit="1" customWidth="1"/>
    <col min="2052" max="2052" width="18.44140625" style="212" bestFit="1" customWidth="1"/>
    <col min="2053" max="2053" width="9.21875" style="212"/>
    <col min="2054" max="2054" width="11.77734375" style="212" bestFit="1" customWidth="1"/>
    <col min="2055" max="2299" width="9.21875" style="212"/>
    <col min="2300" max="2300" width="2.44140625" style="212" customWidth="1"/>
    <col min="2301" max="2301" width="2.77734375" style="212" customWidth="1"/>
    <col min="2302" max="2303" width="1.21875" style="212" customWidth="1"/>
    <col min="2304" max="2304" width="2.77734375" style="212" customWidth="1"/>
    <col min="2305" max="2305" width="55.21875" style="212" customWidth="1"/>
    <col min="2306" max="2306" width="10.44140625" style="212" customWidth="1"/>
    <col min="2307" max="2307" width="18.77734375" style="212" bestFit="1" customWidth="1"/>
    <col min="2308" max="2308" width="18.44140625" style="212" bestFit="1" customWidth="1"/>
    <col min="2309" max="2309" width="9.21875" style="212"/>
    <col min="2310" max="2310" width="11.77734375" style="212" bestFit="1" customWidth="1"/>
    <col min="2311" max="2555" width="9.21875" style="212"/>
    <col min="2556" max="2556" width="2.44140625" style="212" customWidth="1"/>
    <col min="2557" max="2557" width="2.77734375" style="212" customWidth="1"/>
    <col min="2558" max="2559" width="1.21875" style="212" customWidth="1"/>
    <col min="2560" max="2560" width="2.77734375" style="212" customWidth="1"/>
    <col min="2561" max="2561" width="55.21875" style="212" customWidth="1"/>
    <col min="2562" max="2562" width="10.44140625" style="212" customWidth="1"/>
    <col min="2563" max="2563" width="18.77734375" style="212" bestFit="1" customWidth="1"/>
    <col min="2564" max="2564" width="18.44140625" style="212" bestFit="1" customWidth="1"/>
    <col min="2565" max="2565" width="9.21875" style="212"/>
    <col min="2566" max="2566" width="11.77734375" style="212" bestFit="1" customWidth="1"/>
    <col min="2567" max="2811" width="9.21875" style="212"/>
    <col min="2812" max="2812" width="2.44140625" style="212" customWidth="1"/>
    <col min="2813" max="2813" width="2.77734375" style="212" customWidth="1"/>
    <col min="2814" max="2815" width="1.21875" style="212" customWidth="1"/>
    <col min="2816" max="2816" width="2.77734375" style="212" customWidth="1"/>
    <col min="2817" max="2817" width="55.21875" style="212" customWidth="1"/>
    <col min="2818" max="2818" width="10.44140625" style="212" customWidth="1"/>
    <col min="2819" max="2819" width="18.77734375" style="212" bestFit="1" customWidth="1"/>
    <col min="2820" max="2820" width="18.44140625" style="212" bestFit="1" customWidth="1"/>
    <col min="2821" max="2821" width="9.21875" style="212"/>
    <col min="2822" max="2822" width="11.77734375" style="212" bestFit="1" customWidth="1"/>
    <col min="2823" max="3067" width="9.21875" style="212"/>
    <col min="3068" max="3068" width="2.44140625" style="212" customWidth="1"/>
    <col min="3069" max="3069" width="2.77734375" style="212" customWidth="1"/>
    <col min="3070" max="3071" width="1.21875" style="212" customWidth="1"/>
    <col min="3072" max="3072" width="2.77734375" style="212" customWidth="1"/>
    <col min="3073" max="3073" width="55.21875" style="212" customWidth="1"/>
    <col min="3074" max="3074" width="10.44140625" style="212" customWidth="1"/>
    <col min="3075" max="3075" width="18.77734375" style="212" bestFit="1" customWidth="1"/>
    <col min="3076" max="3076" width="18.44140625" style="212" bestFit="1" customWidth="1"/>
    <col min="3077" max="3077" width="9.21875" style="212"/>
    <col min="3078" max="3078" width="11.77734375" style="212" bestFit="1" customWidth="1"/>
    <col min="3079" max="3323" width="9.21875" style="212"/>
    <col min="3324" max="3324" width="2.44140625" style="212" customWidth="1"/>
    <col min="3325" max="3325" width="2.77734375" style="212" customWidth="1"/>
    <col min="3326" max="3327" width="1.21875" style="212" customWidth="1"/>
    <col min="3328" max="3328" width="2.77734375" style="212" customWidth="1"/>
    <col min="3329" max="3329" width="55.21875" style="212" customWidth="1"/>
    <col min="3330" max="3330" width="10.44140625" style="212" customWidth="1"/>
    <col min="3331" max="3331" width="18.77734375" style="212" bestFit="1" customWidth="1"/>
    <col min="3332" max="3332" width="18.44140625" style="212" bestFit="1" customWidth="1"/>
    <col min="3333" max="3333" width="9.21875" style="212"/>
    <col min="3334" max="3334" width="11.77734375" style="212" bestFit="1" customWidth="1"/>
    <col min="3335" max="3579" width="9.21875" style="212"/>
    <col min="3580" max="3580" width="2.44140625" style="212" customWidth="1"/>
    <col min="3581" max="3581" width="2.77734375" style="212" customWidth="1"/>
    <col min="3582" max="3583" width="1.21875" style="212" customWidth="1"/>
    <col min="3584" max="3584" width="2.77734375" style="212" customWidth="1"/>
    <col min="3585" max="3585" width="55.21875" style="212" customWidth="1"/>
    <col min="3586" max="3586" width="10.44140625" style="212" customWidth="1"/>
    <col min="3587" max="3587" width="18.77734375" style="212" bestFit="1" customWidth="1"/>
    <col min="3588" max="3588" width="18.44140625" style="212" bestFit="1" customWidth="1"/>
    <col min="3589" max="3589" width="9.21875" style="212"/>
    <col min="3590" max="3590" width="11.77734375" style="212" bestFit="1" customWidth="1"/>
    <col min="3591" max="3835" width="9.21875" style="212"/>
    <col min="3836" max="3836" width="2.44140625" style="212" customWidth="1"/>
    <col min="3837" max="3837" width="2.77734375" style="212" customWidth="1"/>
    <col min="3838" max="3839" width="1.21875" style="212" customWidth="1"/>
    <col min="3840" max="3840" width="2.77734375" style="212" customWidth="1"/>
    <col min="3841" max="3841" width="55.21875" style="212" customWidth="1"/>
    <col min="3842" max="3842" width="10.44140625" style="212" customWidth="1"/>
    <col min="3843" max="3843" width="18.77734375" style="212" bestFit="1" customWidth="1"/>
    <col min="3844" max="3844" width="18.44140625" style="212" bestFit="1" customWidth="1"/>
    <col min="3845" max="3845" width="9.21875" style="212"/>
    <col min="3846" max="3846" width="11.77734375" style="212" bestFit="1" customWidth="1"/>
    <col min="3847" max="4091" width="9.21875" style="212"/>
    <col min="4092" max="4092" width="2.44140625" style="212" customWidth="1"/>
    <col min="4093" max="4093" width="2.77734375" style="212" customWidth="1"/>
    <col min="4094" max="4095" width="1.21875" style="212" customWidth="1"/>
    <col min="4096" max="4096" width="2.77734375" style="212" customWidth="1"/>
    <col min="4097" max="4097" width="55.21875" style="212" customWidth="1"/>
    <col min="4098" max="4098" width="10.44140625" style="212" customWidth="1"/>
    <col min="4099" max="4099" width="18.77734375" style="212" bestFit="1" customWidth="1"/>
    <col min="4100" max="4100" width="18.44140625" style="212" bestFit="1" customWidth="1"/>
    <col min="4101" max="4101" width="9.21875" style="212"/>
    <col min="4102" max="4102" width="11.77734375" style="212" bestFit="1" customWidth="1"/>
    <col min="4103" max="4347" width="9.21875" style="212"/>
    <col min="4348" max="4348" width="2.44140625" style="212" customWidth="1"/>
    <col min="4349" max="4349" width="2.77734375" style="212" customWidth="1"/>
    <col min="4350" max="4351" width="1.21875" style="212" customWidth="1"/>
    <col min="4352" max="4352" width="2.77734375" style="212" customWidth="1"/>
    <col min="4353" max="4353" width="55.21875" style="212" customWidth="1"/>
    <col min="4354" max="4354" width="10.44140625" style="212" customWidth="1"/>
    <col min="4355" max="4355" width="18.77734375" style="212" bestFit="1" customWidth="1"/>
    <col min="4356" max="4356" width="18.44140625" style="212" bestFit="1" customWidth="1"/>
    <col min="4357" max="4357" width="9.21875" style="212"/>
    <col min="4358" max="4358" width="11.77734375" style="212" bestFit="1" customWidth="1"/>
    <col min="4359" max="4603" width="9.21875" style="212"/>
    <col min="4604" max="4604" width="2.44140625" style="212" customWidth="1"/>
    <col min="4605" max="4605" width="2.77734375" style="212" customWidth="1"/>
    <col min="4606" max="4607" width="1.21875" style="212" customWidth="1"/>
    <col min="4608" max="4608" width="2.77734375" style="212" customWidth="1"/>
    <col min="4609" max="4609" width="55.21875" style="212" customWidth="1"/>
    <col min="4610" max="4610" width="10.44140625" style="212" customWidth="1"/>
    <col min="4611" max="4611" width="18.77734375" style="212" bestFit="1" customWidth="1"/>
    <col min="4612" max="4612" width="18.44140625" style="212" bestFit="1" customWidth="1"/>
    <col min="4613" max="4613" width="9.21875" style="212"/>
    <col min="4614" max="4614" width="11.77734375" style="212" bestFit="1" customWidth="1"/>
    <col min="4615" max="4859" width="9.21875" style="212"/>
    <col min="4860" max="4860" width="2.44140625" style="212" customWidth="1"/>
    <col min="4861" max="4861" width="2.77734375" style="212" customWidth="1"/>
    <col min="4862" max="4863" width="1.21875" style="212" customWidth="1"/>
    <col min="4864" max="4864" width="2.77734375" style="212" customWidth="1"/>
    <col min="4865" max="4865" width="55.21875" style="212" customWidth="1"/>
    <col min="4866" max="4866" width="10.44140625" style="212" customWidth="1"/>
    <col min="4867" max="4867" width="18.77734375" style="212" bestFit="1" customWidth="1"/>
    <col min="4868" max="4868" width="18.44140625" style="212" bestFit="1" customWidth="1"/>
    <col min="4869" max="4869" width="9.21875" style="212"/>
    <col min="4870" max="4870" width="11.77734375" style="212" bestFit="1" customWidth="1"/>
    <col min="4871" max="5115" width="9.21875" style="212"/>
    <col min="5116" max="5116" width="2.44140625" style="212" customWidth="1"/>
    <col min="5117" max="5117" width="2.77734375" style="212" customWidth="1"/>
    <col min="5118" max="5119" width="1.21875" style="212" customWidth="1"/>
    <col min="5120" max="5120" width="2.77734375" style="212" customWidth="1"/>
    <col min="5121" max="5121" width="55.21875" style="212" customWidth="1"/>
    <col min="5122" max="5122" width="10.44140625" style="212" customWidth="1"/>
    <col min="5123" max="5123" width="18.77734375" style="212" bestFit="1" customWidth="1"/>
    <col min="5124" max="5124" width="18.44140625" style="212" bestFit="1" customWidth="1"/>
    <col min="5125" max="5125" width="9.21875" style="212"/>
    <col min="5126" max="5126" width="11.77734375" style="212" bestFit="1" customWidth="1"/>
    <col min="5127" max="5371" width="9.21875" style="212"/>
    <col min="5372" max="5372" width="2.44140625" style="212" customWidth="1"/>
    <col min="5373" max="5373" width="2.77734375" style="212" customWidth="1"/>
    <col min="5374" max="5375" width="1.21875" style="212" customWidth="1"/>
    <col min="5376" max="5376" width="2.77734375" style="212" customWidth="1"/>
    <col min="5377" max="5377" width="55.21875" style="212" customWidth="1"/>
    <col min="5378" max="5378" width="10.44140625" style="212" customWidth="1"/>
    <col min="5379" max="5379" width="18.77734375" style="212" bestFit="1" customWidth="1"/>
    <col min="5380" max="5380" width="18.44140625" style="212" bestFit="1" customWidth="1"/>
    <col min="5381" max="5381" width="9.21875" style="212"/>
    <col min="5382" max="5382" width="11.77734375" style="212" bestFit="1" customWidth="1"/>
    <col min="5383" max="5627" width="9.21875" style="212"/>
    <col min="5628" max="5628" width="2.44140625" style="212" customWidth="1"/>
    <col min="5629" max="5629" width="2.77734375" style="212" customWidth="1"/>
    <col min="5630" max="5631" width="1.21875" style="212" customWidth="1"/>
    <col min="5632" max="5632" width="2.77734375" style="212" customWidth="1"/>
    <col min="5633" max="5633" width="55.21875" style="212" customWidth="1"/>
    <col min="5634" max="5634" width="10.44140625" style="212" customWidth="1"/>
    <col min="5635" max="5635" width="18.77734375" style="212" bestFit="1" customWidth="1"/>
    <col min="5636" max="5636" width="18.44140625" style="212" bestFit="1" customWidth="1"/>
    <col min="5637" max="5637" width="9.21875" style="212"/>
    <col min="5638" max="5638" width="11.77734375" style="212" bestFit="1" customWidth="1"/>
    <col min="5639" max="5883" width="9.21875" style="212"/>
    <col min="5884" max="5884" width="2.44140625" style="212" customWidth="1"/>
    <col min="5885" max="5885" width="2.77734375" style="212" customWidth="1"/>
    <col min="5886" max="5887" width="1.21875" style="212" customWidth="1"/>
    <col min="5888" max="5888" width="2.77734375" style="212" customWidth="1"/>
    <col min="5889" max="5889" width="55.21875" style="212" customWidth="1"/>
    <col min="5890" max="5890" width="10.44140625" style="212" customWidth="1"/>
    <col min="5891" max="5891" width="18.77734375" style="212" bestFit="1" customWidth="1"/>
    <col min="5892" max="5892" width="18.44140625" style="212" bestFit="1" customWidth="1"/>
    <col min="5893" max="5893" width="9.21875" style="212"/>
    <col min="5894" max="5894" width="11.77734375" style="212" bestFit="1" customWidth="1"/>
    <col min="5895" max="6139" width="9.21875" style="212"/>
    <col min="6140" max="6140" width="2.44140625" style="212" customWidth="1"/>
    <col min="6141" max="6141" width="2.77734375" style="212" customWidth="1"/>
    <col min="6142" max="6143" width="1.21875" style="212" customWidth="1"/>
    <col min="6144" max="6144" width="2.77734375" style="212" customWidth="1"/>
    <col min="6145" max="6145" width="55.21875" style="212" customWidth="1"/>
    <col min="6146" max="6146" width="10.44140625" style="212" customWidth="1"/>
    <col min="6147" max="6147" width="18.77734375" style="212" bestFit="1" customWidth="1"/>
    <col min="6148" max="6148" width="18.44140625" style="212" bestFit="1" customWidth="1"/>
    <col min="6149" max="6149" width="9.21875" style="212"/>
    <col min="6150" max="6150" width="11.77734375" style="212" bestFit="1" customWidth="1"/>
    <col min="6151" max="6395" width="9.21875" style="212"/>
    <col min="6396" max="6396" width="2.44140625" style="212" customWidth="1"/>
    <col min="6397" max="6397" width="2.77734375" style="212" customWidth="1"/>
    <col min="6398" max="6399" width="1.21875" style="212" customWidth="1"/>
    <col min="6400" max="6400" width="2.77734375" style="212" customWidth="1"/>
    <col min="6401" max="6401" width="55.21875" style="212" customWidth="1"/>
    <col min="6402" max="6402" width="10.44140625" style="212" customWidth="1"/>
    <col min="6403" max="6403" width="18.77734375" style="212" bestFit="1" customWidth="1"/>
    <col min="6404" max="6404" width="18.44140625" style="212" bestFit="1" customWidth="1"/>
    <col min="6405" max="6405" width="9.21875" style="212"/>
    <col min="6406" max="6406" width="11.77734375" style="212" bestFit="1" customWidth="1"/>
    <col min="6407" max="6651" width="9.21875" style="212"/>
    <col min="6652" max="6652" width="2.44140625" style="212" customWidth="1"/>
    <col min="6653" max="6653" width="2.77734375" style="212" customWidth="1"/>
    <col min="6654" max="6655" width="1.21875" style="212" customWidth="1"/>
    <col min="6656" max="6656" width="2.77734375" style="212" customWidth="1"/>
    <col min="6657" max="6657" width="55.21875" style="212" customWidth="1"/>
    <col min="6658" max="6658" width="10.44140625" style="212" customWidth="1"/>
    <col min="6659" max="6659" width="18.77734375" style="212" bestFit="1" customWidth="1"/>
    <col min="6660" max="6660" width="18.44140625" style="212" bestFit="1" customWidth="1"/>
    <col min="6661" max="6661" width="9.21875" style="212"/>
    <col min="6662" max="6662" width="11.77734375" style="212" bestFit="1" customWidth="1"/>
    <col min="6663" max="6907" width="9.21875" style="212"/>
    <col min="6908" max="6908" width="2.44140625" style="212" customWidth="1"/>
    <col min="6909" max="6909" width="2.77734375" style="212" customWidth="1"/>
    <col min="6910" max="6911" width="1.21875" style="212" customWidth="1"/>
    <col min="6912" max="6912" width="2.77734375" style="212" customWidth="1"/>
    <col min="6913" max="6913" width="55.21875" style="212" customWidth="1"/>
    <col min="6914" max="6914" width="10.44140625" style="212" customWidth="1"/>
    <col min="6915" max="6915" width="18.77734375" style="212" bestFit="1" customWidth="1"/>
    <col min="6916" max="6916" width="18.44140625" style="212" bestFit="1" customWidth="1"/>
    <col min="6917" max="6917" width="9.21875" style="212"/>
    <col min="6918" max="6918" width="11.77734375" style="212" bestFit="1" customWidth="1"/>
    <col min="6919" max="7163" width="9.21875" style="212"/>
    <col min="7164" max="7164" width="2.44140625" style="212" customWidth="1"/>
    <col min="7165" max="7165" width="2.77734375" style="212" customWidth="1"/>
    <col min="7166" max="7167" width="1.21875" style="212" customWidth="1"/>
    <col min="7168" max="7168" width="2.77734375" style="212" customWidth="1"/>
    <col min="7169" max="7169" width="55.21875" style="212" customWidth="1"/>
    <col min="7170" max="7170" width="10.44140625" style="212" customWidth="1"/>
    <col min="7171" max="7171" width="18.77734375" style="212" bestFit="1" customWidth="1"/>
    <col min="7172" max="7172" width="18.44140625" style="212" bestFit="1" customWidth="1"/>
    <col min="7173" max="7173" width="9.21875" style="212"/>
    <col min="7174" max="7174" width="11.77734375" style="212" bestFit="1" customWidth="1"/>
    <col min="7175" max="7419" width="9.21875" style="212"/>
    <col min="7420" max="7420" width="2.44140625" style="212" customWidth="1"/>
    <col min="7421" max="7421" width="2.77734375" style="212" customWidth="1"/>
    <col min="7422" max="7423" width="1.21875" style="212" customWidth="1"/>
    <col min="7424" max="7424" width="2.77734375" style="212" customWidth="1"/>
    <col min="7425" max="7425" width="55.21875" style="212" customWidth="1"/>
    <col min="7426" max="7426" width="10.44140625" style="212" customWidth="1"/>
    <col min="7427" max="7427" width="18.77734375" style="212" bestFit="1" customWidth="1"/>
    <col min="7428" max="7428" width="18.44140625" style="212" bestFit="1" customWidth="1"/>
    <col min="7429" max="7429" width="9.21875" style="212"/>
    <col min="7430" max="7430" width="11.77734375" style="212" bestFit="1" customWidth="1"/>
    <col min="7431" max="7675" width="9.21875" style="212"/>
    <col min="7676" max="7676" width="2.44140625" style="212" customWidth="1"/>
    <col min="7677" max="7677" width="2.77734375" style="212" customWidth="1"/>
    <col min="7678" max="7679" width="1.21875" style="212" customWidth="1"/>
    <col min="7680" max="7680" width="2.77734375" style="212" customWidth="1"/>
    <col min="7681" max="7681" width="55.21875" style="212" customWidth="1"/>
    <col min="7682" max="7682" width="10.44140625" style="212" customWidth="1"/>
    <col min="7683" max="7683" width="18.77734375" style="212" bestFit="1" customWidth="1"/>
    <col min="7684" max="7684" width="18.44140625" style="212" bestFit="1" customWidth="1"/>
    <col min="7685" max="7685" width="9.21875" style="212"/>
    <col min="7686" max="7686" width="11.77734375" style="212" bestFit="1" customWidth="1"/>
    <col min="7687" max="7931" width="9.21875" style="212"/>
    <col min="7932" max="7932" width="2.44140625" style="212" customWidth="1"/>
    <col min="7933" max="7933" width="2.77734375" style="212" customWidth="1"/>
    <col min="7934" max="7935" width="1.21875" style="212" customWidth="1"/>
    <col min="7936" max="7936" width="2.77734375" style="212" customWidth="1"/>
    <col min="7937" max="7937" width="55.21875" style="212" customWidth="1"/>
    <col min="7938" max="7938" width="10.44140625" style="212" customWidth="1"/>
    <col min="7939" max="7939" width="18.77734375" style="212" bestFit="1" customWidth="1"/>
    <col min="7940" max="7940" width="18.44140625" style="212" bestFit="1" customWidth="1"/>
    <col min="7941" max="7941" width="9.21875" style="212"/>
    <col min="7942" max="7942" width="11.77734375" style="212" bestFit="1" customWidth="1"/>
    <col min="7943" max="8187" width="9.21875" style="212"/>
    <col min="8188" max="8188" width="2.44140625" style="212" customWidth="1"/>
    <col min="8189" max="8189" width="2.77734375" style="212" customWidth="1"/>
    <col min="8190" max="8191" width="1.21875" style="212" customWidth="1"/>
    <col min="8192" max="8192" width="2.77734375" style="212" customWidth="1"/>
    <col min="8193" max="8193" width="55.21875" style="212" customWidth="1"/>
    <col min="8194" max="8194" width="10.44140625" style="212" customWidth="1"/>
    <col min="8195" max="8195" width="18.77734375" style="212" bestFit="1" customWidth="1"/>
    <col min="8196" max="8196" width="18.44140625" style="212" bestFit="1" customWidth="1"/>
    <col min="8197" max="8197" width="9.21875" style="212"/>
    <col min="8198" max="8198" width="11.77734375" style="212" bestFit="1" customWidth="1"/>
    <col min="8199" max="8443" width="9.21875" style="212"/>
    <col min="8444" max="8444" width="2.44140625" style="212" customWidth="1"/>
    <col min="8445" max="8445" width="2.77734375" style="212" customWidth="1"/>
    <col min="8446" max="8447" width="1.21875" style="212" customWidth="1"/>
    <col min="8448" max="8448" width="2.77734375" style="212" customWidth="1"/>
    <col min="8449" max="8449" width="55.21875" style="212" customWidth="1"/>
    <col min="8450" max="8450" width="10.44140625" style="212" customWidth="1"/>
    <col min="8451" max="8451" width="18.77734375" style="212" bestFit="1" customWidth="1"/>
    <col min="8452" max="8452" width="18.44140625" style="212" bestFit="1" customWidth="1"/>
    <col min="8453" max="8453" width="9.21875" style="212"/>
    <col min="8454" max="8454" width="11.77734375" style="212" bestFit="1" customWidth="1"/>
    <col min="8455" max="8699" width="9.21875" style="212"/>
    <col min="8700" max="8700" width="2.44140625" style="212" customWidth="1"/>
    <col min="8701" max="8701" width="2.77734375" style="212" customWidth="1"/>
    <col min="8702" max="8703" width="1.21875" style="212" customWidth="1"/>
    <col min="8704" max="8704" width="2.77734375" style="212" customWidth="1"/>
    <col min="8705" max="8705" width="55.21875" style="212" customWidth="1"/>
    <col min="8706" max="8706" width="10.44140625" style="212" customWidth="1"/>
    <col min="8707" max="8707" width="18.77734375" style="212" bestFit="1" customWidth="1"/>
    <col min="8708" max="8708" width="18.44140625" style="212" bestFit="1" customWidth="1"/>
    <col min="8709" max="8709" width="9.21875" style="212"/>
    <col min="8710" max="8710" width="11.77734375" style="212" bestFit="1" customWidth="1"/>
    <col min="8711" max="8955" width="9.21875" style="212"/>
    <col min="8956" max="8956" width="2.44140625" style="212" customWidth="1"/>
    <col min="8957" max="8957" width="2.77734375" style="212" customWidth="1"/>
    <col min="8958" max="8959" width="1.21875" style="212" customWidth="1"/>
    <col min="8960" max="8960" width="2.77734375" style="212" customWidth="1"/>
    <col min="8961" max="8961" width="55.21875" style="212" customWidth="1"/>
    <col min="8962" max="8962" width="10.44140625" style="212" customWidth="1"/>
    <col min="8963" max="8963" width="18.77734375" style="212" bestFit="1" customWidth="1"/>
    <col min="8964" max="8964" width="18.44140625" style="212" bestFit="1" customWidth="1"/>
    <col min="8965" max="8965" width="9.21875" style="212"/>
    <col min="8966" max="8966" width="11.77734375" style="212" bestFit="1" customWidth="1"/>
    <col min="8967" max="9211" width="9.21875" style="212"/>
    <col min="9212" max="9212" width="2.44140625" style="212" customWidth="1"/>
    <col min="9213" max="9213" width="2.77734375" style="212" customWidth="1"/>
    <col min="9214" max="9215" width="1.21875" style="212" customWidth="1"/>
    <col min="9216" max="9216" width="2.77734375" style="212" customWidth="1"/>
    <col min="9217" max="9217" width="55.21875" style="212" customWidth="1"/>
    <col min="9218" max="9218" width="10.44140625" style="212" customWidth="1"/>
    <col min="9219" max="9219" width="18.77734375" style="212" bestFit="1" customWidth="1"/>
    <col min="9220" max="9220" width="18.44140625" style="212" bestFit="1" customWidth="1"/>
    <col min="9221" max="9221" width="9.21875" style="212"/>
    <col min="9222" max="9222" width="11.77734375" style="212" bestFit="1" customWidth="1"/>
    <col min="9223" max="9467" width="9.21875" style="212"/>
    <col min="9468" max="9468" width="2.44140625" style="212" customWidth="1"/>
    <col min="9469" max="9469" width="2.77734375" style="212" customWidth="1"/>
    <col min="9470" max="9471" width="1.21875" style="212" customWidth="1"/>
    <col min="9472" max="9472" width="2.77734375" style="212" customWidth="1"/>
    <col min="9473" max="9473" width="55.21875" style="212" customWidth="1"/>
    <col min="9474" max="9474" width="10.44140625" style="212" customWidth="1"/>
    <col min="9475" max="9475" width="18.77734375" style="212" bestFit="1" customWidth="1"/>
    <col min="9476" max="9476" width="18.44140625" style="212" bestFit="1" customWidth="1"/>
    <col min="9477" max="9477" width="9.21875" style="212"/>
    <col min="9478" max="9478" width="11.77734375" style="212" bestFit="1" customWidth="1"/>
    <col min="9479" max="9723" width="9.21875" style="212"/>
    <col min="9724" max="9724" width="2.44140625" style="212" customWidth="1"/>
    <col min="9725" max="9725" width="2.77734375" style="212" customWidth="1"/>
    <col min="9726" max="9727" width="1.21875" style="212" customWidth="1"/>
    <col min="9728" max="9728" width="2.77734375" style="212" customWidth="1"/>
    <col min="9729" max="9729" width="55.21875" style="212" customWidth="1"/>
    <col min="9730" max="9730" width="10.44140625" style="212" customWidth="1"/>
    <col min="9731" max="9731" width="18.77734375" style="212" bestFit="1" customWidth="1"/>
    <col min="9732" max="9732" width="18.44140625" style="212" bestFit="1" customWidth="1"/>
    <col min="9733" max="9733" width="9.21875" style="212"/>
    <col min="9734" max="9734" width="11.77734375" style="212" bestFit="1" customWidth="1"/>
    <col min="9735" max="9979" width="9.21875" style="212"/>
    <col min="9980" max="9980" width="2.44140625" style="212" customWidth="1"/>
    <col min="9981" max="9981" width="2.77734375" style="212" customWidth="1"/>
    <col min="9982" max="9983" width="1.21875" style="212" customWidth="1"/>
    <col min="9984" max="9984" width="2.77734375" style="212" customWidth="1"/>
    <col min="9985" max="9985" width="55.21875" style="212" customWidth="1"/>
    <col min="9986" max="9986" width="10.44140625" style="212" customWidth="1"/>
    <col min="9987" max="9987" width="18.77734375" style="212" bestFit="1" customWidth="1"/>
    <col min="9988" max="9988" width="18.44140625" style="212" bestFit="1" customWidth="1"/>
    <col min="9989" max="9989" width="9.21875" style="212"/>
    <col min="9990" max="9990" width="11.77734375" style="212" bestFit="1" customWidth="1"/>
    <col min="9991" max="10235" width="9.21875" style="212"/>
    <col min="10236" max="10236" width="2.44140625" style="212" customWidth="1"/>
    <col min="10237" max="10237" width="2.77734375" style="212" customWidth="1"/>
    <col min="10238" max="10239" width="1.21875" style="212" customWidth="1"/>
    <col min="10240" max="10240" width="2.77734375" style="212" customWidth="1"/>
    <col min="10241" max="10241" width="55.21875" style="212" customWidth="1"/>
    <col min="10242" max="10242" width="10.44140625" style="212" customWidth="1"/>
    <col min="10243" max="10243" width="18.77734375" style="212" bestFit="1" customWidth="1"/>
    <col min="10244" max="10244" width="18.44140625" style="212" bestFit="1" customWidth="1"/>
    <col min="10245" max="10245" width="9.21875" style="212"/>
    <col min="10246" max="10246" width="11.77734375" style="212" bestFit="1" customWidth="1"/>
    <col min="10247" max="10491" width="9.21875" style="212"/>
    <col min="10492" max="10492" width="2.44140625" style="212" customWidth="1"/>
    <col min="10493" max="10493" width="2.77734375" style="212" customWidth="1"/>
    <col min="10494" max="10495" width="1.21875" style="212" customWidth="1"/>
    <col min="10496" max="10496" width="2.77734375" style="212" customWidth="1"/>
    <col min="10497" max="10497" width="55.21875" style="212" customWidth="1"/>
    <col min="10498" max="10498" width="10.44140625" style="212" customWidth="1"/>
    <col min="10499" max="10499" width="18.77734375" style="212" bestFit="1" customWidth="1"/>
    <col min="10500" max="10500" width="18.44140625" style="212" bestFit="1" customWidth="1"/>
    <col min="10501" max="10501" width="9.21875" style="212"/>
    <col min="10502" max="10502" width="11.77734375" style="212" bestFit="1" customWidth="1"/>
    <col min="10503" max="10747" width="9.21875" style="212"/>
    <col min="10748" max="10748" width="2.44140625" style="212" customWidth="1"/>
    <col min="10749" max="10749" width="2.77734375" style="212" customWidth="1"/>
    <col min="10750" max="10751" width="1.21875" style="212" customWidth="1"/>
    <col min="10752" max="10752" width="2.77734375" style="212" customWidth="1"/>
    <col min="10753" max="10753" width="55.21875" style="212" customWidth="1"/>
    <col min="10754" max="10754" width="10.44140625" style="212" customWidth="1"/>
    <col min="10755" max="10755" width="18.77734375" style="212" bestFit="1" customWidth="1"/>
    <col min="10756" max="10756" width="18.44140625" style="212" bestFit="1" customWidth="1"/>
    <col min="10757" max="10757" width="9.21875" style="212"/>
    <col min="10758" max="10758" width="11.77734375" style="212" bestFit="1" customWidth="1"/>
    <col min="10759" max="11003" width="9.21875" style="212"/>
    <col min="11004" max="11004" width="2.44140625" style="212" customWidth="1"/>
    <col min="11005" max="11005" width="2.77734375" style="212" customWidth="1"/>
    <col min="11006" max="11007" width="1.21875" style="212" customWidth="1"/>
    <col min="11008" max="11008" width="2.77734375" style="212" customWidth="1"/>
    <col min="11009" max="11009" width="55.21875" style="212" customWidth="1"/>
    <col min="11010" max="11010" width="10.44140625" style="212" customWidth="1"/>
    <col min="11011" max="11011" width="18.77734375" style="212" bestFit="1" customWidth="1"/>
    <col min="11012" max="11012" width="18.44140625" style="212" bestFit="1" customWidth="1"/>
    <col min="11013" max="11013" width="9.21875" style="212"/>
    <col min="11014" max="11014" width="11.77734375" style="212" bestFit="1" customWidth="1"/>
    <col min="11015" max="11259" width="9.21875" style="212"/>
    <col min="11260" max="11260" width="2.44140625" style="212" customWidth="1"/>
    <col min="11261" max="11261" width="2.77734375" style="212" customWidth="1"/>
    <col min="11262" max="11263" width="1.21875" style="212" customWidth="1"/>
    <col min="11264" max="11264" width="2.77734375" style="212" customWidth="1"/>
    <col min="11265" max="11265" width="55.21875" style="212" customWidth="1"/>
    <col min="11266" max="11266" width="10.44140625" style="212" customWidth="1"/>
    <col min="11267" max="11267" width="18.77734375" style="212" bestFit="1" customWidth="1"/>
    <col min="11268" max="11268" width="18.44140625" style="212" bestFit="1" customWidth="1"/>
    <col min="11269" max="11269" width="9.21875" style="212"/>
    <col min="11270" max="11270" width="11.77734375" style="212" bestFit="1" customWidth="1"/>
    <col min="11271" max="11515" width="9.21875" style="212"/>
    <col min="11516" max="11516" width="2.44140625" style="212" customWidth="1"/>
    <col min="11517" max="11517" width="2.77734375" style="212" customWidth="1"/>
    <col min="11518" max="11519" width="1.21875" style="212" customWidth="1"/>
    <col min="11520" max="11520" width="2.77734375" style="212" customWidth="1"/>
    <col min="11521" max="11521" width="55.21875" style="212" customWidth="1"/>
    <col min="11522" max="11522" width="10.44140625" style="212" customWidth="1"/>
    <col min="11523" max="11523" width="18.77734375" style="212" bestFit="1" customWidth="1"/>
    <col min="11524" max="11524" width="18.44140625" style="212" bestFit="1" customWidth="1"/>
    <col min="11525" max="11525" width="9.21875" style="212"/>
    <col min="11526" max="11526" width="11.77734375" style="212" bestFit="1" customWidth="1"/>
    <col min="11527" max="11771" width="9.21875" style="212"/>
    <col min="11772" max="11772" width="2.44140625" style="212" customWidth="1"/>
    <col min="11773" max="11773" width="2.77734375" style="212" customWidth="1"/>
    <col min="11774" max="11775" width="1.21875" style="212" customWidth="1"/>
    <col min="11776" max="11776" width="2.77734375" style="212" customWidth="1"/>
    <col min="11777" max="11777" width="55.21875" style="212" customWidth="1"/>
    <col min="11778" max="11778" width="10.44140625" style="212" customWidth="1"/>
    <col min="11779" max="11779" width="18.77734375" style="212" bestFit="1" customWidth="1"/>
    <col min="11780" max="11780" width="18.44140625" style="212" bestFit="1" customWidth="1"/>
    <col min="11781" max="11781" width="9.21875" style="212"/>
    <col min="11782" max="11782" width="11.77734375" style="212" bestFit="1" customWidth="1"/>
    <col min="11783" max="12027" width="9.21875" style="212"/>
    <col min="12028" max="12028" width="2.44140625" style="212" customWidth="1"/>
    <col min="12029" max="12029" width="2.77734375" style="212" customWidth="1"/>
    <col min="12030" max="12031" width="1.21875" style="212" customWidth="1"/>
    <col min="12032" max="12032" width="2.77734375" style="212" customWidth="1"/>
    <col min="12033" max="12033" width="55.21875" style="212" customWidth="1"/>
    <col min="12034" max="12034" width="10.44140625" style="212" customWidth="1"/>
    <col min="12035" max="12035" width="18.77734375" style="212" bestFit="1" customWidth="1"/>
    <col min="12036" max="12036" width="18.44140625" style="212" bestFit="1" customWidth="1"/>
    <col min="12037" max="12037" width="9.21875" style="212"/>
    <col min="12038" max="12038" width="11.77734375" style="212" bestFit="1" customWidth="1"/>
    <col min="12039" max="12283" width="9.21875" style="212"/>
    <col min="12284" max="12284" width="2.44140625" style="212" customWidth="1"/>
    <col min="12285" max="12285" width="2.77734375" style="212" customWidth="1"/>
    <col min="12286" max="12287" width="1.21875" style="212" customWidth="1"/>
    <col min="12288" max="12288" width="2.77734375" style="212" customWidth="1"/>
    <col min="12289" max="12289" width="55.21875" style="212" customWidth="1"/>
    <col min="12290" max="12290" width="10.44140625" style="212" customWidth="1"/>
    <col min="12291" max="12291" width="18.77734375" style="212" bestFit="1" customWidth="1"/>
    <col min="12292" max="12292" width="18.44140625" style="212" bestFit="1" customWidth="1"/>
    <col min="12293" max="12293" width="9.21875" style="212"/>
    <col min="12294" max="12294" width="11.77734375" style="212" bestFit="1" customWidth="1"/>
    <col min="12295" max="12539" width="9.21875" style="212"/>
    <col min="12540" max="12540" width="2.44140625" style="212" customWidth="1"/>
    <col min="12541" max="12541" width="2.77734375" style="212" customWidth="1"/>
    <col min="12542" max="12543" width="1.21875" style="212" customWidth="1"/>
    <col min="12544" max="12544" width="2.77734375" style="212" customWidth="1"/>
    <col min="12545" max="12545" width="55.21875" style="212" customWidth="1"/>
    <col min="12546" max="12546" width="10.44140625" style="212" customWidth="1"/>
    <col min="12547" max="12547" width="18.77734375" style="212" bestFit="1" customWidth="1"/>
    <col min="12548" max="12548" width="18.44140625" style="212" bestFit="1" customWidth="1"/>
    <col min="12549" max="12549" width="9.21875" style="212"/>
    <col min="12550" max="12550" width="11.77734375" style="212" bestFit="1" customWidth="1"/>
    <col min="12551" max="12795" width="9.21875" style="212"/>
    <col min="12796" max="12796" width="2.44140625" style="212" customWidth="1"/>
    <col min="12797" max="12797" width="2.77734375" style="212" customWidth="1"/>
    <col min="12798" max="12799" width="1.21875" style="212" customWidth="1"/>
    <col min="12800" max="12800" width="2.77734375" style="212" customWidth="1"/>
    <col min="12801" max="12801" width="55.21875" style="212" customWidth="1"/>
    <col min="12802" max="12802" width="10.44140625" style="212" customWidth="1"/>
    <col min="12803" max="12803" width="18.77734375" style="212" bestFit="1" customWidth="1"/>
    <col min="12804" max="12804" width="18.44140625" style="212" bestFit="1" customWidth="1"/>
    <col min="12805" max="12805" width="9.21875" style="212"/>
    <col min="12806" max="12806" width="11.77734375" style="212" bestFit="1" customWidth="1"/>
    <col min="12807" max="13051" width="9.21875" style="212"/>
    <col min="13052" max="13052" width="2.44140625" style="212" customWidth="1"/>
    <col min="13053" max="13053" width="2.77734375" style="212" customWidth="1"/>
    <col min="13054" max="13055" width="1.21875" style="212" customWidth="1"/>
    <col min="13056" max="13056" width="2.77734375" style="212" customWidth="1"/>
    <col min="13057" max="13057" width="55.21875" style="212" customWidth="1"/>
    <col min="13058" max="13058" width="10.44140625" style="212" customWidth="1"/>
    <col min="13059" max="13059" width="18.77734375" style="212" bestFit="1" customWidth="1"/>
    <col min="13060" max="13060" width="18.44140625" style="212" bestFit="1" customWidth="1"/>
    <col min="13061" max="13061" width="9.21875" style="212"/>
    <col min="13062" max="13062" width="11.77734375" style="212" bestFit="1" customWidth="1"/>
    <col min="13063" max="13307" width="9.21875" style="212"/>
    <col min="13308" max="13308" width="2.44140625" style="212" customWidth="1"/>
    <col min="13309" max="13309" width="2.77734375" style="212" customWidth="1"/>
    <col min="13310" max="13311" width="1.21875" style="212" customWidth="1"/>
    <col min="13312" max="13312" width="2.77734375" style="212" customWidth="1"/>
    <col min="13313" max="13313" width="55.21875" style="212" customWidth="1"/>
    <col min="13314" max="13314" width="10.44140625" style="212" customWidth="1"/>
    <col min="13315" max="13315" width="18.77734375" style="212" bestFit="1" customWidth="1"/>
    <col min="13316" max="13316" width="18.44140625" style="212" bestFit="1" customWidth="1"/>
    <col min="13317" max="13317" width="9.21875" style="212"/>
    <col min="13318" max="13318" width="11.77734375" style="212" bestFit="1" customWidth="1"/>
    <col min="13319" max="13563" width="9.21875" style="212"/>
    <col min="13564" max="13564" width="2.44140625" style="212" customWidth="1"/>
    <col min="13565" max="13565" width="2.77734375" style="212" customWidth="1"/>
    <col min="13566" max="13567" width="1.21875" style="212" customWidth="1"/>
    <col min="13568" max="13568" width="2.77734375" style="212" customWidth="1"/>
    <col min="13569" max="13569" width="55.21875" style="212" customWidth="1"/>
    <col min="13570" max="13570" width="10.44140625" style="212" customWidth="1"/>
    <col min="13571" max="13571" width="18.77734375" style="212" bestFit="1" customWidth="1"/>
    <col min="13572" max="13572" width="18.44140625" style="212" bestFit="1" customWidth="1"/>
    <col min="13573" max="13573" width="9.21875" style="212"/>
    <col min="13574" max="13574" width="11.77734375" style="212" bestFit="1" customWidth="1"/>
    <col min="13575" max="13819" width="9.21875" style="212"/>
    <col min="13820" max="13820" width="2.44140625" style="212" customWidth="1"/>
    <col min="13821" max="13821" width="2.77734375" style="212" customWidth="1"/>
    <col min="13822" max="13823" width="1.21875" style="212" customWidth="1"/>
    <col min="13824" max="13824" width="2.77734375" style="212" customWidth="1"/>
    <col min="13825" max="13825" width="55.21875" style="212" customWidth="1"/>
    <col min="13826" max="13826" width="10.44140625" style="212" customWidth="1"/>
    <col min="13827" max="13827" width="18.77734375" style="212" bestFit="1" customWidth="1"/>
    <col min="13828" max="13828" width="18.44140625" style="212" bestFit="1" customWidth="1"/>
    <col min="13829" max="13829" width="9.21875" style="212"/>
    <col min="13830" max="13830" width="11.77734375" style="212" bestFit="1" customWidth="1"/>
    <col min="13831" max="14075" width="9.21875" style="212"/>
    <col min="14076" max="14076" width="2.44140625" style="212" customWidth="1"/>
    <col min="14077" max="14077" width="2.77734375" style="212" customWidth="1"/>
    <col min="14078" max="14079" width="1.21875" style="212" customWidth="1"/>
    <col min="14080" max="14080" width="2.77734375" style="212" customWidth="1"/>
    <col min="14081" max="14081" width="55.21875" style="212" customWidth="1"/>
    <col min="14082" max="14082" width="10.44140625" style="212" customWidth="1"/>
    <col min="14083" max="14083" width="18.77734375" style="212" bestFit="1" customWidth="1"/>
    <col min="14084" max="14084" width="18.44140625" style="212" bestFit="1" customWidth="1"/>
    <col min="14085" max="14085" width="9.21875" style="212"/>
    <col min="14086" max="14086" width="11.77734375" style="212" bestFit="1" customWidth="1"/>
    <col min="14087" max="14331" width="9.21875" style="212"/>
    <col min="14332" max="14332" width="2.44140625" style="212" customWidth="1"/>
    <col min="14333" max="14333" width="2.77734375" style="212" customWidth="1"/>
    <col min="14334" max="14335" width="1.21875" style="212" customWidth="1"/>
    <col min="14336" max="14336" width="2.77734375" style="212" customWidth="1"/>
    <col min="14337" max="14337" width="55.21875" style="212" customWidth="1"/>
    <col min="14338" max="14338" width="10.44140625" style="212" customWidth="1"/>
    <col min="14339" max="14339" width="18.77734375" style="212" bestFit="1" customWidth="1"/>
    <col min="14340" max="14340" width="18.44140625" style="212" bestFit="1" customWidth="1"/>
    <col min="14341" max="14341" width="9.21875" style="212"/>
    <col min="14342" max="14342" width="11.77734375" style="212" bestFit="1" customWidth="1"/>
    <col min="14343" max="14587" width="9.21875" style="212"/>
    <col min="14588" max="14588" width="2.44140625" style="212" customWidth="1"/>
    <col min="14589" max="14589" width="2.77734375" style="212" customWidth="1"/>
    <col min="14590" max="14591" width="1.21875" style="212" customWidth="1"/>
    <col min="14592" max="14592" width="2.77734375" style="212" customWidth="1"/>
    <col min="14593" max="14593" width="55.21875" style="212" customWidth="1"/>
    <col min="14594" max="14594" width="10.44140625" style="212" customWidth="1"/>
    <col min="14595" max="14595" width="18.77734375" style="212" bestFit="1" customWidth="1"/>
    <col min="14596" max="14596" width="18.44140625" style="212" bestFit="1" customWidth="1"/>
    <col min="14597" max="14597" width="9.21875" style="212"/>
    <col min="14598" max="14598" width="11.77734375" style="212" bestFit="1" customWidth="1"/>
    <col min="14599" max="14843" width="9.21875" style="212"/>
    <col min="14844" max="14844" width="2.44140625" style="212" customWidth="1"/>
    <col min="14845" max="14845" width="2.77734375" style="212" customWidth="1"/>
    <col min="14846" max="14847" width="1.21875" style="212" customWidth="1"/>
    <col min="14848" max="14848" width="2.77734375" style="212" customWidth="1"/>
    <col min="14849" max="14849" width="55.21875" style="212" customWidth="1"/>
    <col min="14850" max="14850" width="10.44140625" style="212" customWidth="1"/>
    <col min="14851" max="14851" width="18.77734375" style="212" bestFit="1" customWidth="1"/>
    <col min="14852" max="14852" width="18.44140625" style="212" bestFit="1" customWidth="1"/>
    <col min="14853" max="14853" width="9.21875" style="212"/>
    <col min="14854" max="14854" width="11.77734375" style="212" bestFit="1" customWidth="1"/>
    <col min="14855" max="15099" width="9.21875" style="212"/>
    <col min="15100" max="15100" width="2.44140625" style="212" customWidth="1"/>
    <col min="15101" max="15101" width="2.77734375" style="212" customWidth="1"/>
    <col min="15102" max="15103" width="1.21875" style="212" customWidth="1"/>
    <col min="15104" max="15104" width="2.77734375" style="212" customWidth="1"/>
    <col min="15105" max="15105" width="55.21875" style="212" customWidth="1"/>
    <col min="15106" max="15106" width="10.44140625" style="212" customWidth="1"/>
    <col min="15107" max="15107" width="18.77734375" style="212" bestFit="1" customWidth="1"/>
    <col min="15108" max="15108" width="18.44140625" style="212" bestFit="1" customWidth="1"/>
    <col min="15109" max="15109" width="9.21875" style="212"/>
    <col min="15110" max="15110" width="11.77734375" style="212" bestFit="1" customWidth="1"/>
    <col min="15111" max="15355" width="9.21875" style="212"/>
    <col min="15356" max="15356" width="2.44140625" style="212" customWidth="1"/>
    <col min="15357" max="15357" width="2.77734375" style="212" customWidth="1"/>
    <col min="15358" max="15359" width="1.21875" style="212" customWidth="1"/>
    <col min="15360" max="15360" width="2.77734375" style="212" customWidth="1"/>
    <col min="15361" max="15361" width="55.21875" style="212" customWidth="1"/>
    <col min="15362" max="15362" width="10.44140625" style="212" customWidth="1"/>
    <col min="15363" max="15363" width="18.77734375" style="212" bestFit="1" customWidth="1"/>
    <col min="15364" max="15364" width="18.44140625" style="212" bestFit="1" customWidth="1"/>
    <col min="15365" max="15365" width="9.21875" style="212"/>
    <col min="15366" max="15366" width="11.77734375" style="212" bestFit="1" customWidth="1"/>
    <col min="15367" max="15611" width="9.21875" style="212"/>
    <col min="15612" max="15612" width="2.44140625" style="212" customWidth="1"/>
    <col min="15613" max="15613" width="2.77734375" style="212" customWidth="1"/>
    <col min="15614" max="15615" width="1.21875" style="212" customWidth="1"/>
    <col min="15616" max="15616" width="2.77734375" style="212" customWidth="1"/>
    <col min="15617" max="15617" width="55.21875" style="212" customWidth="1"/>
    <col min="15618" max="15618" width="10.44140625" style="212" customWidth="1"/>
    <col min="15619" max="15619" width="18.77734375" style="212" bestFit="1" customWidth="1"/>
    <col min="15620" max="15620" width="18.44140625" style="212" bestFit="1" customWidth="1"/>
    <col min="15621" max="15621" width="9.21875" style="212"/>
    <col min="15622" max="15622" width="11.77734375" style="212" bestFit="1" customWidth="1"/>
    <col min="15623" max="15867" width="9.21875" style="212"/>
    <col min="15868" max="15868" width="2.44140625" style="212" customWidth="1"/>
    <col min="15869" max="15869" width="2.77734375" style="212" customWidth="1"/>
    <col min="15870" max="15871" width="1.21875" style="212" customWidth="1"/>
    <col min="15872" max="15872" width="2.77734375" style="212" customWidth="1"/>
    <col min="15873" max="15873" width="55.21875" style="212" customWidth="1"/>
    <col min="15874" max="15874" width="10.44140625" style="212" customWidth="1"/>
    <col min="15875" max="15875" width="18.77734375" style="212" bestFit="1" customWidth="1"/>
    <col min="15876" max="15876" width="18.44140625" style="212" bestFit="1" customWidth="1"/>
    <col min="15877" max="15877" width="9.21875" style="212"/>
    <col min="15878" max="15878" width="11.77734375" style="212" bestFit="1" customWidth="1"/>
    <col min="15879" max="16123" width="9.21875" style="212"/>
    <col min="16124" max="16124" width="2.44140625" style="212" customWidth="1"/>
    <col min="16125" max="16125" width="2.77734375" style="212" customWidth="1"/>
    <col min="16126" max="16127" width="1.21875" style="212" customWidth="1"/>
    <col min="16128" max="16128" width="2.77734375" style="212" customWidth="1"/>
    <col min="16129" max="16129" width="55.21875" style="212" customWidth="1"/>
    <col min="16130" max="16130" width="10.44140625" style="212" customWidth="1"/>
    <col min="16131" max="16131" width="18.77734375" style="212" bestFit="1" customWidth="1"/>
    <col min="16132" max="16132" width="18.44140625" style="212" bestFit="1" customWidth="1"/>
    <col min="16133" max="16133" width="9.21875" style="212"/>
    <col min="16134" max="16134" width="11.77734375" style="212" bestFit="1" customWidth="1"/>
    <col min="16135" max="16384" width="9.21875" style="212"/>
  </cols>
  <sheetData>
    <row r="1" spans="1:8" ht="14.85" customHeight="1" x14ac:dyDescent="0.25">
      <c r="A1" s="340" t="e" vm="1">
        <v>#VALUE!</v>
      </c>
      <c r="B1" s="340"/>
      <c r="C1" s="340"/>
      <c r="D1" s="340"/>
    </row>
    <row r="2" spans="1:8" x14ac:dyDescent="0.25">
      <c r="A2" s="340"/>
      <c r="B2" s="340"/>
      <c r="C2" s="340"/>
      <c r="D2" s="340"/>
    </row>
    <row r="3" spans="1:8" x14ac:dyDescent="0.25">
      <c r="A3" s="340"/>
      <c r="B3" s="340"/>
      <c r="C3" s="340"/>
      <c r="D3" s="340"/>
    </row>
    <row r="4" spans="1:8" x14ac:dyDescent="0.25">
      <c r="A4" s="340"/>
      <c r="B4" s="340"/>
      <c r="C4" s="340"/>
      <c r="D4" s="340"/>
    </row>
    <row r="5" spans="1:8" x14ac:dyDescent="0.25">
      <c r="A5" s="340"/>
      <c r="B5" s="340"/>
      <c r="C5" s="340"/>
      <c r="D5" s="340"/>
    </row>
    <row r="6" spans="1:8" x14ac:dyDescent="0.25">
      <c r="A6" s="340"/>
      <c r="B6" s="340"/>
      <c r="C6" s="340"/>
      <c r="D6" s="340"/>
    </row>
    <row r="7" spans="1:8" x14ac:dyDescent="0.25">
      <c r="A7" s="341" t="s">
        <v>271</v>
      </c>
      <c r="B7" s="341"/>
      <c r="C7" s="341"/>
      <c r="D7" s="341"/>
    </row>
    <row r="8" spans="1:8" x14ac:dyDescent="0.25">
      <c r="A8" s="341" t="s">
        <v>229</v>
      </c>
      <c r="B8" s="341"/>
      <c r="C8" s="341"/>
      <c r="D8" s="341"/>
    </row>
    <row r="9" spans="1:8" x14ac:dyDescent="0.25">
      <c r="A9" s="341" t="s">
        <v>272</v>
      </c>
      <c r="B9" s="341"/>
      <c r="C9" s="341"/>
      <c r="D9" s="341"/>
    </row>
    <row r="10" spans="1:8" s="215" customFormat="1" x14ac:dyDescent="0.25">
      <c r="A10" s="213"/>
      <c r="B10" s="213"/>
      <c r="C10" s="213"/>
      <c r="D10" s="213"/>
      <c r="E10" s="214"/>
    </row>
    <row r="11" spans="1:8" s="215" customFormat="1" x14ac:dyDescent="0.25">
      <c r="A11" s="213"/>
      <c r="B11" s="213"/>
      <c r="C11" s="213"/>
      <c r="D11" s="216" t="s">
        <v>1</v>
      </c>
      <c r="E11" s="343"/>
      <c r="F11" s="343"/>
      <c r="G11" s="343"/>
      <c r="H11" s="343"/>
    </row>
    <row r="12" spans="1:8" ht="26.1" customHeight="1" x14ac:dyDescent="0.25">
      <c r="A12" s="96" t="s">
        <v>2</v>
      </c>
      <c r="B12" s="96" t="s">
        <v>3</v>
      </c>
      <c r="C12" s="97" t="s">
        <v>278</v>
      </c>
      <c r="D12" s="97" t="s">
        <v>279</v>
      </c>
      <c r="E12" s="217"/>
      <c r="F12" s="217"/>
      <c r="G12" s="121"/>
      <c r="H12" s="121"/>
    </row>
    <row r="13" spans="1:8" x14ac:dyDescent="0.25">
      <c r="A13" s="218"/>
      <c r="B13" s="218"/>
      <c r="C13" s="219"/>
      <c r="D13" s="219"/>
    </row>
    <row r="14" spans="1:8" x14ac:dyDescent="0.25">
      <c r="A14" s="220" t="s">
        <v>230</v>
      </c>
      <c r="B14" s="221" t="s">
        <v>294</v>
      </c>
      <c r="C14" s="222"/>
      <c r="D14" s="222"/>
      <c r="F14" s="223"/>
      <c r="G14" s="224"/>
      <c r="H14" s="224"/>
    </row>
    <row r="15" spans="1:8" x14ac:dyDescent="0.25">
      <c r="A15" s="225" t="s">
        <v>231</v>
      </c>
      <c r="B15" s="163" t="s">
        <v>295</v>
      </c>
      <c r="C15" s="109">
        <v>2059835145140.1201</v>
      </c>
      <c r="D15" s="109">
        <v>2090708430810.4299</v>
      </c>
      <c r="F15" s="223"/>
      <c r="G15" s="224"/>
      <c r="H15" s="224"/>
    </row>
    <row r="16" spans="1:8" x14ac:dyDescent="0.25">
      <c r="A16" s="226" t="s">
        <v>7</v>
      </c>
      <c r="B16" s="111"/>
      <c r="C16" s="123">
        <v>35786367464.910004</v>
      </c>
      <c r="D16" s="123">
        <v>16684150219.549999</v>
      </c>
      <c r="F16" s="223"/>
      <c r="G16" s="224"/>
      <c r="H16" s="224"/>
    </row>
    <row r="17" spans="1:8" x14ac:dyDescent="0.25">
      <c r="A17" s="226" t="s">
        <v>8</v>
      </c>
      <c r="B17" s="111"/>
      <c r="C17" s="123">
        <v>156436905965.89999</v>
      </c>
      <c r="D17" s="123">
        <v>17699305005</v>
      </c>
      <c r="F17" s="227"/>
      <c r="G17" s="224"/>
      <c r="H17" s="224"/>
    </row>
    <row r="18" spans="1:8" x14ac:dyDescent="0.25">
      <c r="A18" s="226" t="s">
        <v>9</v>
      </c>
      <c r="B18" s="111"/>
      <c r="C18" s="123">
        <v>8443342308</v>
      </c>
      <c r="D18" s="123">
        <v>8152466371</v>
      </c>
      <c r="F18" s="227"/>
      <c r="G18" s="224"/>
      <c r="H18" s="224"/>
    </row>
    <row r="19" spans="1:8" x14ac:dyDescent="0.25">
      <c r="A19" s="226" t="s">
        <v>232</v>
      </c>
      <c r="B19" s="111"/>
      <c r="C19" s="123">
        <v>7787464477.3100014</v>
      </c>
      <c r="D19" s="123">
        <v>127373601344.87999</v>
      </c>
      <c r="F19" s="227"/>
      <c r="G19" s="224"/>
      <c r="H19" s="224"/>
    </row>
    <row r="20" spans="1:8" x14ac:dyDescent="0.25">
      <c r="A20" s="226" t="s">
        <v>12</v>
      </c>
      <c r="B20" s="111"/>
      <c r="C20" s="123">
        <v>1760720762880</v>
      </c>
      <c r="D20" s="123">
        <v>1753884676899</v>
      </c>
      <c r="F20" s="227"/>
      <c r="G20" s="224"/>
      <c r="H20" s="224"/>
    </row>
    <row r="21" spans="1:8" x14ac:dyDescent="0.25">
      <c r="A21" s="226" t="s">
        <v>22</v>
      </c>
      <c r="B21" s="111"/>
      <c r="C21" s="123">
        <v>64335780751</v>
      </c>
      <c r="D21" s="123">
        <v>78121624847</v>
      </c>
      <c r="F21" s="223"/>
      <c r="G21" s="224"/>
      <c r="H21" s="224"/>
    </row>
    <row r="22" spans="1:8" x14ac:dyDescent="0.25">
      <c r="A22" s="226" t="s">
        <v>26</v>
      </c>
      <c r="B22" s="111"/>
      <c r="C22" s="123">
        <v>0</v>
      </c>
      <c r="D22" s="123">
        <v>18572830000</v>
      </c>
      <c r="G22" s="224"/>
      <c r="H22" s="224"/>
    </row>
    <row r="23" spans="1:8" x14ac:dyDescent="0.25">
      <c r="A23" s="226" t="s">
        <v>27</v>
      </c>
      <c r="B23" s="111"/>
      <c r="C23" s="123">
        <v>0</v>
      </c>
      <c r="D23" s="123">
        <v>0</v>
      </c>
      <c r="G23" s="224"/>
      <c r="H23" s="224"/>
    </row>
    <row r="24" spans="1:8" ht="27.6" x14ac:dyDescent="0.25">
      <c r="A24" s="226" t="s">
        <v>28</v>
      </c>
      <c r="B24" s="111"/>
      <c r="C24" s="123">
        <v>26324521293</v>
      </c>
      <c r="D24" s="123">
        <v>70219776124</v>
      </c>
      <c r="F24" s="223"/>
      <c r="G24" s="224"/>
      <c r="H24" s="224"/>
    </row>
    <row r="25" spans="1:8" x14ac:dyDescent="0.25">
      <c r="A25" s="225" t="s">
        <v>233</v>
      </c>
      <c r="B25" s="163" t="s">
        <v>296</v>
      </c>
      <c r="C25" s="109">
        <v>1869127302800.9399</v>
      </c>
      <c r="D25" s="109">
        <v>1866888829482.9199</v>
      </c>
      <c r="F25" s="223"/>
      <c r="G25" s="224"/>
      <c r="H25" s="224"/>
    </row>
    <row r="26" spans="1:8" x14ac:dyDescent="0.25">
      <c r="A26" s="226" t="s">
        <v>31</v>
      </c>
      <c r="B26" s="228"/>
      <c r="C26" s="123">
        <v>1059733779975</v>
      </c>
      <c r="D26" s="123">
        <v>959315205223.09998</v>
      </c>
      <c r="F26" s="223"/>
      <c r="G26" s="224"/>
      <c r="H26" s="224"/>
    </row>
    <row r="27" spans="1:8" x14ac:dyDescent="0.25">
      <c r="A27" s="226" t="s">
        <v>32</v>
      </c>
      <c r="B27" s="228"/>
      <c r="C27" s="123">
        <v>488796577286.94</v>
      </c>
      <c r="D27" s="123">
        <v>543166017911.81995</v>
      </c>
      <c r="F27" s="223"/>
      <c r="G27" s="224"/>
      <c r="H27" s="224"/>
    </row>
    <row r="28" spans="1:8" hidden="1" x14ac:dyDescent="0.25">
      <c r="A28" s="226" t="s">
        <v>33</v>
      </c>
      <c r="B28" s="228"/>
      <c r="C28" s="123">
        <v>0</v>
      </c>
      <c r="D28" s="123">
        <v>0</v>
      </c>
      <c r="G28" s="224"/>
      <c r="H28" s="224"/>
    </row>
    <row r="29" spans="1:8" hidden="1" x14ac:dyDescent="0.25">
      <c r="A29" s="226" t="s">
        <v>34</v>
      </c>
      <c r="B29" s="228"/>
      <c r="C29" s="123">
        <v>0</v>
      </c>
      <c r="D29" s="123">
        <v>0</v>
      </c>
      <c r="F29" s="223"/>
      <c r="G29" s="224"/>
      <c r="H29" s="224"/>
    </row>
    <row r="30" spans="1:8" x14ac:dyDescent="0.25">
      <c r="A30" s="226" t="s">
        <v>35</v>
      </c>
      <c r="B30" s="228"/>
      <c r="C30" s="123">
        <v>30165321985</v>
      </c>
      <c r="D30" s="123">
        <v>65180177793</v>
      </c>
      <c r="F30" s="223"/>
      <c r="G30" s="224"/>
      <c r="H30" s="224"/>
    </row>
    <row r="31" spans="1:8" x14ac:dyDescent="0.25">
      <c r="A31" s="226" t="s">
        <v>36</v>
      </c>
      <c r="B31" s="228"/>
      <c r="C31" s="123">
        <v>451000000</v>
      </c>
      <c r="D31" s="123">
        <v>310600000</v>
      </c>
      <c r="F31" s="223"/>
      <c r="G31" s="224"/>
      <c r="H31" s="224"/>
    </row>
    <row r="32" spans="1:8" hidden="1" x14ac:dyDescent="0.25">
      <c r="A32" s="226" t="s">
        <v>37</v>
      </c>
      <c r="B32" s="228"/>
      <c r="C32" s="123">
        <v>0</v>
      </c>
      <c r="D32" s="123">
        <v>0</v>
      </c>
      <c r="F32" s="223"/>
      <c r="G32" s="224"/>
      <c r="H32" s="224"/>
    </row>
    <row r="33" spans="1:8" x14ac:dyDescent="0.25">
      <c r="A33" s="226" t="s">
        <v>46</v>
      </c>
      <c r="B33" s="228"/>
      <c r="C33" s="123">
        <v>3938150000</v>
      </c>
      <c r="D33" s="123">
        <v>1621640000</v>
      </c>
      <c r="F33" s="223"/>
      <c r="G33" s="224"/>
      <c r="H33" s="224"/>
    </row>
    <row r="34" spans="1:8" x14ac:dyDescent="0.25">
      <c r="A34" s="226" t="s">
        <v>48</v>
      </c>
      <c r="B34" s="228"/>
      <c r="C34" s="123">
        <v>4252200290</v>
      </c>
      <c r="D34" s="123">
        <v>3318345692</v>
      </c>
      <c r="F34" s="223"/>
      <c r="G34" s="224"/>
      <c r="H34" s="224"/>
    </row>
    <row r="35" spans="1:8" x14ac:dyDescent="0.25">
      <c r="A35" s="226" t="s">
        <v>51</v>
      </c>
      <c r="B35" s="229"/>
      <c r="C35" s="123">
        <v>281790273264</v>
      </c>
      <c r="D35" s="123">
        <v>293976842863</v>
      </c>
      <c r="F35" s="223"/>
      <c r="G35" s="224"/>
      <c r="H35" s="224"/>
    </row>
    <row r="36" spans="1:8" x14ac:dyDescent="0.25">
      <c r="A36" s="230" t="s">
        <v>234</v>
      </c>
      <c r="B36" s="231"/>
      <c r="C36" s="232">
        <v>190707842339.18018</v>
      </c>
      <c r="D36" s="232">
        <v>223819601327.51001</v>
      </c>
      <c r="F36" s="223"/>
      <c r="G36" s="224"/>
      <c r="H36" s="224"/>
    </row>
    <row r="37" spans="1:8" x14ac:dyDescent="0.25">
      <c r="A37" s="228"/>
      <c r="B37" s="229"/>
      <c r="C37" s="123"/>
      <c r="D37" s="123"/>
      <c r="G37" s="224"/>
      <c r="H37" s="224"/>
    </row>
    <row r="38" spans="1:8" x14ac:dyDescent="0.25">
      <c r="A38" s="220" t="s">
        <v>235</v>
      </c>
      <c r="B38" s="221" t="s">
        <v>297</v>
      </c>
      <c r="C38" s="222"/>
      <c r="D38" s="222"/>
      <c r="F38" s="223"/>
      <c r="G38" s="224"/>
      <c r="H38" s="224"/>
    </row>
    <row r="39" spans="1:8" x14ac:dyDescent="0.25">
      <c r="A39" s="225" t="s">
        <v>236</v>
      </c>
      <c r="B39" s="163" t="s">
        <v>298</v>
      </c>
      <c r="C39" s="109">
        <v>1104999500</v>
      </c>
      <c r="D39" s="109">
        <v>16400000</v>
      </c>
      <c r="F39" s="223"/>
      <c r="G39" s="224"/>
      <c r="H39" s="224"/>
    </row>
    <row r="40" spans="1:8" hidden="1" x14ac:dyDescent="0.25">
      <c r="A40" s="226" t="s">
        <v>62</v>
      </c>
      <c r="B40" s="229"/>
      <c r="C40" s="123">
        <v>0</v>
      </c>
      <c r="D40" s="123">
        <v>0</v>
      </c>
      <c r="G40" s="224"/>
      <c r="H40" s="224"/>
    </row>
    <row r="41" spans="1:8" hidden="1" x14ac:dyDescent="0.25">
      <c r="A41" s="226" t="s">
        <v>63</v>
      </c>
      <c r="B41" s="229"/>
      <c r="C41" s="123">
        <v>0</v>
      </c>
      <c r="D41" s="123">
        <v>0</v>
      </c>
      <c r="G41" s="224"/>
      <c r="H41" s="224"/>
    </row>
    <row r="42" spans="1:8" x14ac:dyDescent="0.25">
      <c r="A42" s="226" t="s">
        <v>237</v>
      </c>
      <c r="B42" s="228"/>
      <c r="C42" s="123">
        <v>1104999500</v>
      </c>
      <c r="D42" s="123">
        <v>16400000</v>
      </c>
      <c r="F42" s="223"/>
      <c r="G42" s="224"/>
      <c r="H42" s="224"/>
    </row>
    <row r="43" spans="1:8" x14ac:dyDescent="0.25">
      <c r="A43" s="225" t="s">
        <v>238</v>
      </c>
      <c r="B43" s="163" t="s">
        <v>299</v>
      </c>
      <c r="C43" s="109">
        <v>163326710730</v>
      </c>
      <c r="D43" s="109">
        <v>213987711149</v>
      </c>
      <c r="F43" s="223"/>
      <c r="G43" s="224"/>
      <c r="H43" s="224"/>
    </row>
    <row r="44" spans="1:8" x14ac:dyDescent="0.25">
      <c r="A44" s="226" t="s">
        <v>39</v>
      </c>
      <c r="B44" s="228"/>
      <c r="C44" s="123">
        <v>273738000</v>
      </c>
      <c r="D44" s="123">
        <v>241362000</v>
      </c>
      <c r="F44" s="223"/>
      <c r="G44" s="224"/>
      <c r="H44" s="224"/>
    </row>
    <row r="45" spans="1:8" x14ac:dyDescent="0.25">
      <c r="A45" s="226" t="s">
        <v>40</v>
      </c>
      <c r="B45" s="228"/>
      <c r="C45" s="123">
        <v>36383268312</v>
      </c>
      <c r="D45" s="123">
        <v>45626675608</v>
      </c>
      <c r="F45" s="223"/>
      <c r="G45" s="224"/>
      <c r="H45" s="224"/>
    </row>
    <row r="46" spans="1:8" x14ac:dyDescent="0.25">
      <c r="A46" s="226" t="s">
        <v>41</v>
      </c>
      <c r="B46" s="228"/>
      <c r="C46" s="123">
        <v>70165358002</v>
      </c>
      <c r="D46" s="123">
        <v>111617512105</v>
      </c>
      <c r="F46" s="223"/>
      <c r="G46" s="224"/>
      <c r="H46" s="224"/>
    </row>
    <row r="47" spans="1:8" x14ac:dyDescent="0.25">
      <c r="A47" s="226" t="s">
        <v>42</v>
      </c>
      <c r="B47" s="228"/>
      <c r="C47" s="123">
        <v>48711569675</v>
      </c>
      <c r="D47" s="123">
        <v>52778791401</v>
      </c>
      <c r="F47" s="223"/>
      <c r="G47" s="224"/>
      <c r="H47" s="224"/>
    </row>
    <row r="48" spans="1:8" x14ac:dyDescent="0.25">
      <c r="A48" s="226" t="s">
        <v>43</v>
      </c>
      <c r="B48" s="228"/>
      <c r="C48" s="123">
        <v>7592776741</v>
      </c>
      <c r="D48" s="123">
        <v>2667420035</v>
      </c>
      <c r="F48" s="223"/>
      <c r="G48" s="224"/>
      <c r="H48" s="224"/>
    </row>
    <row r="49" spans="1:8" x14ac:dyDescent="0.25">
      <c r="A49" s="226" t="s">
        <v>44</v>
      </c>
      <c r="B49" s="228"/>
      <c r="C49" s="123">
        <v>0</v>
      </c>
      <c r="D49" s="123">
        <v>55950000</v>
      </c>
      <c r="F49" s="223"/>
      <c r="G49" s="224"/>
      <c r="H49" s="224"/>
    </row>
    <row r="50" spans="1:8" hidden="1" x14ac:dyDescent="0.25">
      <c r="A50" s="226" t="s">
        <v>68</v>
      </c>
      <c r="B50" s="228"/>
      <c r="C50" s="123">
        <v>0</v>
      </c>
      <c r="D50" s="123">
        <v>0</v>
      </c>
      <c r="F50" s="223"/>
      <c r="G50" s="224"/>
      <c r="H50" s="224"/>
    </row>
    <row r="51" spans="1:8" x14ac:dyDescent="0.25">
      <c r="A51" s="226" t="s">
        <v>69</v>
      </c>
      <c r="B51" s="228"/>
      <c r="C51" s="123">
        <v>200000000</v>
      </c>
      <c r="D51" s="123">
        <v>1000000000</v>
      </c>
      <c r="F51" s="223"/>
      <c r="G51" s="224"/>
      <c r="H51" s="224"/>
    </row>
    <row r="52" spans="1:8" x14ac:dyDescent="0.25">
      <c r="A52" s="230" t="s">
        <v>239</v>
      </c>
      <c r="B52" s="231"/>
      <c r="C52" s="232">
        <v>-162221711230</v>
      </c>
      <c r="D52" s="232">
        <v>-213971311149</v>
      </c>
      <c r="F52" s="223"/>
      <c r="G52" s="224"/>
      <c r="H52" s="224"/>
    </row>
    <row r="53" spans="1:8" x14ac:dyDescent="0.25">
      <c r="A53" s="228"/>
      <c r="B53" s="229"/>
      <c r="C53" s="123"/>
      <c r="D53" s="123"/>
      <c r="G53" s="224"/>
      <c r="H53" s="224"/>
    </row>
    <row r="54" spans="1:8" x14ac:dyDescent="0.25">
      <c r="A54" s="220" t="s">
        <v>240</v>
      </c>
      <c r="B54" s="221" t="s">
        <v>300</v>
      </c>
      <c r="C54" s="222"/>
      <c r="D54" s="222"/>
      <c r="G54" s="224"/>
      <c r="H54" s="224"/>
    </row>
    <row r="55" spans="1:8" x14ac:dyDescent="0.25">
      <c r="A55" s="225" t="s">
        <v>241</v>
      </c>
      <c r="B55" s="163" t="s">
        <v>301</v>
      </c>
      <c r="C55" s="109">
        <v>3478464</v>
      </c>
      <c r="D55" s="109">
        <v>6880000</v>
      </c>
      <c r="G55" s="224"/>
      <c r="H55" s="224"/>
    </row>
    <row r="56" spans="1:8" x14ac:dyDescent="0.25">
      <c r="A56" s="226" t="s">
        <v>64</v>
      </c>
      <c r="B56" s="228"/>
      <c r="C56" s="123">
        <v>0</v>
      </c>
      <c r="D56" s="123">
        <v>0</v>
      </c>
      <c r="G56" s="224"/>
      <c r="H56" s="224"/>
    </row>
    <row r="57" spans="1:8" x14ac:dyDescent="0.25">
      <c r="A57" s="226" t="s">
        <v>65</v>
      </c>
      <c r="B57" s="228"/>
      <c r="C57" s="123">
        <v>3478464</v>
      </c>
      <c r="D57" s="123">
        <v>6880000</v>
      </c>
      <c r="G57" s="224"/>
      <c r="H57" s="224"/>
    </row>
    <row r="58" spans="1:8" ht="27.6" x14ac:dyDescent="0.25">
      <c r="A58" s="226" t="s">
        <v>66</v>
      </c>
      <c r="B58" s="228"/>
      <c r="C58" s="123">
        <v>0</v>
      </c>
      <c r="D58" s="123">
        <v>0</v>
      </c>
      <c r="G58" s="224"/>
      <c r="H58" s="224"/>
    </row>
    <row r="59" spans="1:8" x14ac:dyDescent="0.25">
      <c r="A59" s="225" t="s">
        <v>242</v>
      </c>
      <c r="B59" s="163" t="s">
        <v>302</v>
      </c>
      <c r="C59" s="109">
        <v>0</v>
      </c>
      <c r="D59" s="109">
        <v>0</v>
      </c>
      <c r="G59" s="224"/>
      <c r="H59" s="224"/>
    </row>
    <row r="60" spans="1:8" x14ac:dyDescent="0.25">
      <c r="A60" s="226" t="s">
        <v>70</v>
      </c>
      <c r="B60" s="229"/>
      <c r="C60" s="123">
        <v>0</v>
      </c>
      <c r="D60" s="123">
        <v>0</v>
      </c>
      <c r="G60" s="224"/>
      <c r="H60" s="224"/>
    </row>
    <row r="61" spans="1:8" x14ac:dyDescent="0.25">
      <c r="A61" s="226" t="s">
        <v>71</v>
      </c>
      <c r="B61" s="229"/>
      <c r="C61" s="123">
        <v>0</v>
      </c>
      <c r="D61" s="123">
        <v>0</v>
      </c>
      <c r="G61" s="224"/>
      <c r="H61" s="224"/>
    </row>
    <row r="62" spans="1:8" ht="27.6" x14ac:dyDescent="0.25">
      <c r="A62" s="226" t="s">
        <v>72</v>
      </c>
      <c r="B62" s="229"/>
      <c r="C62" s="123">
        <v>0</v>
      </c>
      <c r="D62" s="123">
        <v>0</v>
      </c>
      <c r="G62" s="224"/>
      <c r="H62" s="224"/>
    </row>
    <row r="63" spans="1:8" x14ac:dyDescent="0.25">
      <c r="A63" s="230" t="s">
        <v>243</v>
      </c>
      <c r="B63" s="231"/>
      <c r="C63" s="232">
        <v>3478464</v>
      </c>
      <c r="D63" s="232">
        <v>6880000</v>
      </c>
      <c r="G63" s="224"/>
      <c r="H63" s="224"/>
    </row>
    <row r="64" spans="1:8" x14ac:dyDescent="0.25">
      <c r="A64" s="228"/>
      <c r="B64" s="229"/>
      <c r="C64" s="123"/>
      <c r="D64" s="123"/>
      <c r="G64" s="224"/>
      <c r="H64" s="224"/>
    </row>
    <row r="65" spans="1:8" x14ac:dyDescent="0.25">
      <c r="A65" s="220" t="s">
        <v>244</v>
      </c>
      <c r="B65" s="221" t="s">
        <v>303</v>
      </c>
      <c r="C65" s="222"/>
      <c r="D65" s="222"/>
      <c r="G65" s="224"/>
      <c r="H65" s="224"/>
    </row>
    <row r="66" spans="1:8" x14ac:dyDescent="0.25">
      <c r="A66" s="225" t="s">
        <v>245</v>
      </c>
      <c r="B66" s="163" t="s">
        <v>304</v>
      </c>
      <c r="C66" s="109">
        <v>134471737221.3</v>
      </c>
      <c r="D66" s="109">
        <v>128253794423.24901</v>
      </c>
      <c r="G66" s="224"/>
      <c r="H66" s="224"/>
    </row>
    <row r="67" spans="1:8" x14ac:dyDescent="0.25">
      <c r="A67" s="226" t="s">
        <v>246</v>
      </c>
      <c r="B67" s="228"/>
      <c r="C67" s="123">
        <v>120436338084.3</v>
      </c>
      <c r="D67" s="123">
        <v>110865880009.554</v>
      </c>
      <c r="F67" s="233"/>
      <c r="G67" s="224"/>
      <c r="H67" s="224"/>
    </row>
    <row r="68" spans="1:8" ht="27.6" x14ac:dyDescent="0.25">
      <c r="A68" s="226" t="s">
        <v>247</v>
      </c>
      <c r="B68" s="228"/>
      <c r="C68" s="123">
        <v>13954299137</v>
      </c>
      <c r="D68" s="123">
        <v>17387885163.345001</v>
      </c>
      <c r="G68" s="224"/>
      <c r="H68" s="224"/>
    </row>
    <row r="69" spans="1:8" x14ac:dyDescent="0.25">
      <c r="A69" s="226" t="s">
        <v>248</v>
      </c>
      <c r="B69" s="228"/>
      <c r="C69" s="123">
        <v>81100000</v>
      </c>
      <c r="D69" s="123">
        <v>29250.35</v>
      </c>
      <c r="G69" s="224"/>
      <c r="H69" s="224"/>
    </row>
    <row r="70" spans="1:8" x14ac:dyDescent="0.25">
      <c r="A70" s="225" t="s">
        <v>249</v>
      </c>
      <c r="B70" s="163" t="s">
        <v>305</v>
      </c>
      <c r="C70" s="109">
        <v>134290216917.32001</v>
      </c>
      <c r="D70" s="109">
        <v>128349778556.175</v>
      </c>
      <c r="G70" s="224"/>
      <c r="H70" s="224"/>
    </row>
    <row r="71" spans="1:8" x14ac:dyDescent="0.25">
      <c r="A71" s="226" t="s">
        <v>250</v>
      </c>
      <c r="B71" s="228"/>
      <c r="C71" s="123">
        <v>120330709864.32001</v>
      </c>
      <c r="D71" s="287">
        <v>110890945951.175</v>
      </c>
      <c r="E71" s="293"/>
      <c r="G71" s="224"/>
      <c r="H71" s="224"/>
    </row>
    <row r="72" spans="1:8" ht="16.350000000000001" customHeight="1" x14ac:dyDescent="0.25">
      <c r="A72" s="226" t="s">
        <v>251</v>
      </c>
      <c r="B72" s="228"/>
      <c r="C72" s="123">
        <v>13959507053</v>
      </c>
      <c r="D72" s="287">
        <v>17377732605</v>
      </c>
      <c r="E72" s="293"/>
      <c r="G72" s="224"/>
      <c r="H72" s="224"/>
    </row>
    <row r="73" spans="1:8" x14ac:dyDescent="0.25">
      <c r="A73" s="226" t="s">
        <v>252</v>
      </c>
      <c r="B73" s="228"/>
      <c r="C73" s="123">
        <v>0</v>
      </c>
      <c r="D73" s="287">
        <v>81100000</v>
      </c>
      <c r="E73" s="293"/>
      <c r="G73" s="224"/>
      <c r="H73" s="224"/>
    </row>
    <row r="74" spans="1:8" x14ac:dyDescent="0.25">
      <c r="A74" s="230" t="s">
        <v>253</v>
      </c>
      <c r="B74" s="231"/>
      <c r="C74" s="232">
        <v>181520303.97999573</v>
      </c>
      <c r="D74" s="232">
        <v>-95984132.925994873</v>
      </c>
      <c r="G74" s="224"/>
      <c r="H74" s="224"/>
    </row>
    <row r="75" spans="1:8" x14ac:dyDescent="0.25">
      <c r="A75" s="228"/>
      <c r="B75" s="229"/>
      <c r="C75" s="123"/>
      <c r="D75" s="123"/>
      <c r="G75" s="224"/>
      <c r="H75" s="224"/>
    </row>
    <row r="76" spans="1:8" x14ac:dyDescent="0.25">
      <c r="A76" s="101" t="s">
        <v>254</v>
      </c>
      <c r="B76" s="234" t="s">
        <v>306</v>
      </c>
      <c r="C76" s="103">
        <v>28671129877.160172</v>
      </c>
      <c r="D76" s="103">
        <v>9759186045.5840149</v>
      </c>
      <c r="F76" s="223"/>
      <c r="G76" s="224"/>
      <c r="H76" s="224"/>
    </row>
    <row r="77" spans="1:8" x14ac:dyDescent="0.25">
      <c r="A77" s="228"/>
      <c r="B77" s="229"/>
      <c r="C77" s="123"/>
      <c r="D77" s="123"/>
      <c r="G77" s="224"/>
      <c r="H77" s="224"/>
    </row>
    <row r="78" spans="1:8" x14ac:dyDescent="0.25">
      <c r="A78" s="101" t="s">
        <v>255</v>
      </c>
      <c r="B78" s="234" t="s">
        <v>307</v>
      </c>
      <c r="C78" s="103">
        <v>40009174630.370003</v>
      </c>
      <c r="D78" s="103">
        <v>29736265144.880001</v>
      </c>
      <c r="F78" s="223"/>
      <c r="G78" s="224"/>
      <c r="H78" s="224"/>
    </row>
    <row r="79" spans="1:8" x14ac:dyDescent="0.25">
      <c r="A79" s="228"/>
      <c r="B79" s="229"/>
      <c r="C79" s="123"/>
      <c r="D79" s="123"/>
      <c r="G79" s="224"/>
      <c r="H79" s="224"/>
    </row>
    <row r="80" spans="1:8" x14ac:dyDescent="0.25">
      <c r="A80" s="235" t="s">
        <v>285</v>
      </c>
      <c r="B80" s="236"/>
      <c r="C80" s="100">
        <v>81100000</v>
      </c>
      <c r="D80" s="100">
        <v>29250.35</v>
      </c>
      <c r="G80" s="224"/>
      <c r="H80" s="224"/>
    </row>
    <row r="81" spans="1:8" x14ac:dyDescent="0.25">
      <c r="A81" s="235" t="s">
        <v>286</v>
      </c>
      <c r="B81" s="236"/>
      <c r="C81" s="100">
        <v>0</v>
      </c>
      <c r="D81" s="100">
        <v>10152558.34</v>
      </c>
      <c r="G81" s="224"/>
      <c r="H81" s="224"/>
    </row>
    <row r="82" spans="1:8" x14ac:dyDescent="0.25">
      <c r="A82" s="235" t="s">
        <v>311</v>
      </c>
      <c r="B82" s="236"/>
      <c r="C82" s="100">
        <v>0</v>
      </c>
      <c r="D82" s="100">
        <v>0</v>
      </c>
      <c r="G82" s="224"/>
      <c r="H82" s="224"/>
    </row>
    <row r="83" spans="1:8" x14ac:dyDescent="0.25">
      <c r="A83" s="235"/>
      <c r="B83" s="236"/>
      <c r="C83" s="100"/>
      <c r="D83" s="100"/>
      <c r="G83" s="224"/>
      <c r="H83" s="224"/>
    </row>
    <row r="84" spans="1:8" x14ac:dyDescent="0.25">
      <c r="A84" s="101" t="s">
        <v>284</v>
      </c>
      <c r="B84" s="234" t="s">
        <v>308</v>
      </c>
      <c r="C84" s="103">
        <v>39928074630.370003</v>
      </c>
      <c r="D84" s="103">
        <v>29726083336.190002</v>
      </c>
      <c r="G84" s="224"/>
      <c r="H84" s="224"/>
    </row>
    <row r="85" spans="1:8" x14ac:dyDescent="0.25">
      <c r="A85" s="235"/>
      <c r="B85" s="236"/>
      <c r="C85" s="100"/>
      <c r="D85" s="100"/>
      <c r="G85" s="224"/>
      <c r="H85" s="224"/>
    </row>
    <row r="86" spans="1:8" x14ac:dyDescent="0.25">
      <c r="A86" s="101" t="s">
        <v>256</v>
      </c>
      <c r="B86" s="234" t="s">
        <v>309</v>
      </c>
      <c r="C86" s="103">
        <v>-220637.44</v>
      </c>
      <c r="D86" s="103">
        <v>442805248.60000002</v>
      </c>
      <c r="F86" s="223"/>
      <c r="G86" s="224"/>
      <c r="H86" s="224"/>
    </row>
    <row r="87" spans="1:8" x14ac:dyDescent="0.25">
      <c r="A87" s="265"/>
      <c r="B87" s="266"/>
      <c r="C87" s="267"/>
      <c r="D87" s="267"/>
      <c r="E87" s="264"/>
      <c r="F87" s="223"/>
      <c r="G87" s="224"/>
      <c r="H87" s="224"/>
    </row>
    <row r="88" spans="1:8" x14ac:dyDescent="0.25">
      <c r="A88" s="235" t="s">
        <v>287</v>
      </c>
      <c r="B88" s="268"/>
      <c r="C88" s="277">
        <v>0</v>
      </c>
      <c r="D88" s="277">
        <v>81100000</v>
      </c>
      <c r="E88" s="264"/>
      <c r="F88" s="223"/>
      <c r="G88" s="224"/>
      <c r="H88" s="224"/>
    </row>
    <row r="89" spans="1:8" x14ac:dyDescent="0.25">
      <c r="A89" s="235" t="s">
        <v>288</v>
      </c>
      <c r="B89" s="268"/>
      <c r="C89" s="277">
        <v>5207916</v>
      </c>
      <c r="D89" s="277">
        <v>0</v>
      </c>
      <c r="E89" s="264"/>
      <c r="F89" s="223"/>
      <c r="G89" s="224"/>
      <c r="H89" s="224"/>
    </row>
    <row r="90" spans="1:8" x14ac:dyDescent="0.25">
      <c r="A90" s="235" t="s">
        <v>312</v>
      </c>
      <c r="B90" s="291"/>
      <c r="C90" s="292">
        <v>0</v>
      </c>
      <c r="D90" s="292">
        <v>0</v>
      </c>
      <c r="E90" s="264"/>
      <c r="F90" s="223"/>
      <c r="G90" s="224"/>
      <c r="H90" s="224"/>
    </row>
    <row r="91" spans="1:8" ht="14.4" thickBot="1" x14ac:dyDescent="0.3">
      <c r="A91" s="269"/>
      <c r="B91" s="270"/>
      <c r="C91" s="271"/>
      <c r="D91" s="271"/>
      <c r="E91" s="264"/>
      <c r="G91" s="224"/>
      <c r="H91" s="224"/>
    </row>
    <row r="92" spans="1:8" hidden="1" x14ac:dyDescent="0.25">
      <c r="A92" s="101" t="s">
        <v>257</v>
      </c>
      <c r="B92" s="234"/>
      <c r="C92" s="103">
        <v>0</v>
      </c>
      <c r="D92" s="103">
        <v>0</v>
      </c>
      <c r="G92" s="224"/>
      <c r="H92" s="224"/>
    </row>
    <row r="93" spans="1:8" ht="14.4" hidden="1" thickBot="1" x14ac:dyDescent="0.3">
      <c r="A93" s="228"/>
      <c r="B93" s="229"/>
      <c r="C93" s="123"/>
      <c r="D93" s="123"/>
      <c r="G93" s="224"/>
      <c r="H93" s="224"/>
    </row>
    <row r="94" spans="1:8" ht="26.1" customHeight="1" x14ac:dyDescent="0.25">
      <c r="A94" s="237" t="s">
        <v>258</v>
      </c>
      <c r="B94" s="311" t="s">
        <v>310</v>
      </c>
      <c r="C94" s="238">
        <v>68604191786.090172</v>
      </c>
      <c r="D94" s="238">
        <v>40009174630.374016</v>
      </c>
      <c r="F94" s="223"/>
      <c r="G94" s="224"/>
      <c r="H94" s="224"/>
    </row>
    <row r="95" spans="1:8" ht="6.6" customHeight="1" x14ac:dyDescent="0.25">
      <c r="B95" s="239"/>
      <c r="C95" s="240"/>
      <c r="D95" s="241"/>
    </row>
    <row r="96" spans="1:8" ht="16.350000000000001" customHeight="1" x14ac:dyDescent="0.25">
      <c r="A96" s="320" t="s">
        <v>77</v>
      </c>
      <c r="B96" s="320"/>
      <c r="C96" s="320"/>
      <c r="D96" s="320"/>
      <c r="F96" s="223"/>
    </row>
    <row r="97" spans="1:16134" ht="16.350000000000001" customHeight="1" x14ac:dyDescent="0.25">
      <c r="A97" s="320"/>
      <c r="B97" s="320"/>
      <c r="C97" s="320"/>
      <c r="D97" s="320"/>
      <c r="F97" s="223"/>
    </row>
    <row r="98" spans="1:16134" x14ac:dyDescent="0.25">
      <c r="B98" s="239"/>
      <c r="C98" s="240"/>
      <c r="D98" s="241"/>
    </row>
    <row r="99" spans="1:16134" x14ac:dyDescent="0.25">
      <c r="B99" s="239"/>
      <c r="C99" s="240"/>
      <c r="D99" s="241"/>
    </row>
    <row r="100" spans="1:16134" ht="17.399999999999999" x14ac:dyDescent="0.3">
      <c r="C100" s="342" t="s">
        <v>276</v>
      </c>
      <c r="D100" s="342"/>
    </row>
    <row r="101" spans="1:16134" ht="17.399999999999999" x14ac:dyDescent="0.3">
      <c r="C101" s="342"/>
      <c r="D101" s="342"/>
    </row>
    <row r="102" spans="1:16134" ht="17.399999999999999" x14ac:dyDescent="0.3">
      <c r="C102" s="242"/>
      <c r="D102" s="242"/>
    </row>
    <row r="103" spans="1:16134" ht="17.399999999999999" x14ac:dyDescent="0.3">
      <c r="C103" s="243"/>
      <c r="D103" s="244"/>
    </row>
    <row r="104" spans="1:16134" ht="17.399999999999999" hidden="1" x14ac:dyDescent="0.3">
      <c r="C104" s="344"/>
      <c r="D104" s="344"/>
    </row>
    <row r="105" spans="1:16134" ht="17.399999999999999" hidden="1" x14ac:dyDescent="0.3">
      <c r="C105" s="345"/>
      <c r="D105" s="345"/>
    </row>
    <row r="106" spans="1:16134" ht="17.399999999999999" x14ac:dyDescent="0.3">
      <c r="C106" s="245"/>
      <c r="D106" s="246"/>
    </row>
    <row r="107" spans="1:16134" s="211" customFormat="1" ht="17.399999999999999" x14ac:dyDescent="0.3">
      <c r="A107" s="212"/>
      <c r="B107" s="212"/>
      <c r="C107" s="342">
        <v>0</v>
      </c>
      <c r="D107" s="342"/>
      <c r="F107" s="212"/>
      <c r="G107" s="212"/>
      <c r="H107" s="212"/>
      <c r="I107" s="212"/>
      <c r="J107" s="212"/>
      <c r="K107" s="212"/>
      <c r="L107" s="212"/>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c r="AI107" s="212"/>
      <c r="AJ107" s="212"/>
      <c r="AK107" s="212"/>
      <c r="AL107" s="212"/>
      <c r="AM107" s="212"/>
      <c r="AN107" s="212"/>
      <c r="AO107" s="212"/>
      <c r="AP107" s="212"/>
      <c r="AQ107" s="212"/>
      <c r="AR107" s="212"/>
      <c r="AS107" s="212"/>
      <c r="AT107" s="212"/>
      <c r="AU107" s="212"/>
      <c r="AV107" s="212"/>
      <c r="AW107" s="212"/>
      <c r="AX107" s="212"/>
      <c r="AY107" s="212"/>
      <c r="AZ107" s="212"/>
      <c r="BA107" s="212"/>
      <c r="BB107" s="212"/>
      <c r="BC107" s="212"/>
      <c r="BD107" s="212"/>
      <c r="BE107" s="212"/>
      <c r="BF107" s="212"/>
      <c r="BG107" s="212"/>
      <c r="BH107" s="212"/>
      <c r="BI107" s="212"/>
      <c r="BJ107" s="212"/>
      <c r="BK107" s="212"/>
      <c r="BL107" s="212"/>
      <c r="BM107" s="212"/>
      <c r="BN107" s="212"/>
      <c r="BO107" s="212"/>
      <c r="BP107" s="212"/>
      <c r="BQ107" s="212"/>
      <c r="BR107" s="212"/>
      <c r="BS107" s="212"/>
      <c r="BT107" s="212"/>
      <c r="BU107" s="212"/>
      <c r="BV107" s="212"/>
      <c r="BW107" s="212"/>
      <c r="BX107" s="212"/>
      <c r="BY107" s="212"/>
      <c r="BZ107" s="212"/>
      <c r="CA107" s="212"/>
      <c r="CB107" s="212"/>
      <c r="CC107" s="212"/>
      <c r="CD107" s="212"/>
      <c r="CE107" s="212"/>
      <c r="CF107" s="212"/>
      <c r="CG107" s="212"/>
      <c r="CH107" s="212"/>
      <c r="CI107" s="212"/>
      <c r="CJ107" s="212"/>
      <c r="CK107" s="212"/>
      <c r="CL107" s="212"/>
      <c r="CM107" s="212"/>
      <c r="CN107" s="212"/>
      <c r="CO107" s="212"/>
      <c r="CP107" s="212"/>
      <c r="CQ107" s="212"/>
      <c r="CR107" s="212"/>
      <c r="CS107" s="212"/>
      <c r="CT107" s="212"/>
      <c r="CU107" s="212"/>
      <c r="CV107" s="212"/>
      <c r="CW107" s="212"/>
      <c r="CX107" s="212"/>
      <c r="CY107" s="212"/>
      <c r="CZ107" s="212"/>
      <c r="DA107" s="212"/>
      <c r="DB107" s="212"/>
      <c r="DC107" s="212"/>
      <c r="DD107" s="212"/>
      <c r="DE107" s="212"/>
      <c r="DF107" s="212"/>
      <c r="DG107" s="212"/>
      <c r="DH107" s="212"/>
      <c r="DI107" s="212"/>
      <c r="DJ107" s="212"/>
      <c r="DK107" s="212"/>
      <c r="DL107" s="212"/>
      <c r="DM107" s="212"/>
      <c r="DN107" s="212"/>
      <c r="DO107" s="212"/>
      <c r="DP107" s="212"/>
      <c r="DQ107" s="212"/>
      <c r="DR107" s="212"/>
      <c r="DS107" s="212"/>
      <c r="DT107" s="212"/>
      <c r="DU107" s="212"/>
      <c r="DV107" s="212"/>
      <c r="DW107" s="212"/>
      <c r="DX107" s="212"/>
      <c r="DY107" s="212"/>
      <c r="DZ107" s="212"/>
      <c r="EA107" s="212"/>
      <c r="EB107" s="212"/>
      <c r="EC107" s="212"/>
      <c r="ED107" s="212"/>
      <c r="EE107" s="212"/>
      <c r="EF107" s="212"/>
      <c r="EG107" s="212"/>
      <c r="EH107" s="212"/>
      <c r="EI107" s="212"/>
      <c r="EJ107" s="212"/>
      <c r="EK107" s="212"/>
      <c r="EL107" s="212"/>
      <c r="EM107" s="212"/>
      <c r="EN107" s="212"/>
      <c r="EO107" s="212"/>
      <c r="EP107" s="212"/>
      <c r="EQ107" s="212"/>
      <c r="ER107" s="212"/>
      <c r="ES107" s="212"/>
      <c r="ET107" s="212"/>
      <c r="EU107" s="212"/>
      <c r="EV107" s="212"/>
      <c r="EW107" s="212"/>
      <c r="EX107" s="212"/>
      <c r="EY107" s="212"/>
      <c r="EZ107" s="212"/>
      <c r="FA107" s="212"/>
      <c r="FB107" s="212"/>
      <c r="FC107" s="212"/>
      <c r="FD107" s="212"/>
      <c r="FE107" s="212"/>
      <c r="FF107" s="212"/>
      <c r="FG107" s="212"/>
      <c r="FH107" s="212"/>
      <c r="FI107" s="212"/>
      <c r="FJ107" s="212"/>
      <c r="FK107" s="212"/>
      <c r="FL107" s="212"/>
      <c r="FM107" s="212"/>
      <c r="FN107" s="212"/>
      <c r="FO107" s="212"/>
      <c r="FP107" s="212"/>
      <c r="FQ107" s="212"/>
      <c r="FR107" s="212"/>
      <c r="FS107" s="212"/>
      <c r="FT107" s="212"/>
      <c r="FU107" s="212"/>
      <c r="FV107" s="212"/>
      <c r="FW107" s="212"/>
      <c r="FX107" s="212"/>
      <c r="FY107" s="212"/>
      <c r="FZ107" s="212"/>
      <c r="GA107" s="212"/>
      <c r="GB107" s="212"/>
      <c r="GC107" s="212"/>
      <c r="GD107" s="212"/>
      <c r="GE107" s="212"/>
      <c r="GF107" s="212"/>
      <c r="GG107" s="212"/>
      <c r="GH107" s="212"/>
      <c r="GI107" s="212"/>
      <c r="GJ107" s="212"/>
      <c r="GK107" s="212"/>
      <c r="GL107" s="212"/>
      <c r="GM107" s="212"/>
      <c r="GN107" s="212"/>
      <c r="GO107" s="212"/>
      <c r="GP107" s="212"/>
      <c r="GQ107" s="212"/>
      <c r="GR107" s="212"/>
      <c r="GS107" s="212"/>
      <c r="GT107" s="212"/>
      <c r="GU107" s="212"/>
      <c r="GV107" s="212"/>
      <c r="GW107" s="212"/>
      <c r="GX107" s="212"/>
      <c r="GY107" s="212"/>
      <c r="GZ107" s="212"/>
      <c r="HA107" s="212"/>
      <c r="HB107" s="212"/>
      <c r="HC107" s="212"/>
      <c r="HD107" s="212"/>
      <c r="HE107" s="212"/>
      <c r="HF107" s="212"/>
      <c r="HG107" s="212"/>
      <c r="HH107" s="212"/>
      <c r="HI107" s="212"/>
      <c r="HJ107" s="212"/>
      <c r="HK107" s="212"/>
      <c r="HL107" s="212"/>
      <c r="HM107" s="212"/>
      <c r="HN107" s="212"/>
      <c r="HO107" s="212"/>
      <c r="HP107" s="212"/>
      <c r="HQ107" s="212"/>
      <c r="HR107" s="212"/>
      <c r="HS107" s="212"/>
      <c r="HT107" s="212"/>
      <c r="HU107" s="212"/>
      <c r="HV107" s="212"/>
      <c r="HW107" s="212"/>
      <c r="HX107" s="212"/>
      <c r="HY107" s="212"/>
      <c r="HZ107" s="212"/>
      <c r="IA107" s="212"/>
      <c r="IB107" s="212"/>
      <c r="IC107" s="212"/>
      <c r="ID107" s="212"/>
      <c r="IE107" s="212"/>
      <c r="IF107" s="212"/>
      <c r="IG107" s="212"/>
      <c r="IH107" s="212"/>
      <c r="II107" s="212"/>
      <c r="IJ107" s="212"/>
      <c r="IK107" s="212"/>
      <c r="IL107" s="212"/>
      <c r="IM107" s="212"/>
      <c r="IN107" s="212"/>
      <c r="IO107" s="212"/>
      <c r="IP107" s="212"/>
      <c r="IQ107" s="212"/>
      <c r="IR107" s="212"/>
      <c r="IS107" s="212"/>
      <c r="IT107" s="212"/>
      <c r="IU107" s="212"/>
      <c r="IV107" s="212"/>
      <c r="IW107" s="212"/>
      <c r="IX107" s="212"/>
      <c r="IY107" s="212"/>
      <c r="IZ107" s="212"/>
      <c r="JA107" s="212"/>
      <c r="JB107" s="212"/>
      <c r="JC107" s="212"/>
      <c r="JD107" s="212"/>
      <c r="JE107" s="212"/>
      <c r="JF107" s="212"/>
      <c r="JG107" s="212"/>
      <c r="JH107" s="212"/>
      <c r="JI107" s="212"/>
      <c r="JJ107" s="212"/>
      <c r="JK107" s="212"/>
      <c r="JL107" s="212"/>
      <c r="JM107" s="212"/>
      <c r="JN107" s="212"/>
      <c r="JO107" s="212"/>
      <c r="JP107" s="212"/>
      <c r="JQ107" s="212"/>
      <c r="JR107" s="212"/>
      <c r="JS107" s="212"/>
      <c r="JT107" s="212"/>
      <c r="JU107" s="212"/>
      <c r="JV107" s="212"/>
      <c r="JW107" s="212"/>
      <c r="JX107" s="212"/>
      <c r="JY107" s="212"/>
      <c r="JZ107" s="212"/>
      <c r="KA107" s="212"/>
      <c r="KB107" s="212"/>
      <c r="KC107" s="212"/>
      <c r="KD107" s="212"/>
      <c r="KE107" s="212"/>
      <c r="KF107" s="212"/>
      <c r="KG107" s="212"/>
      <c r="KH107" s="212"/>
      <c r="KI107" s="212"/>
      <c r="KJ107" s="212"/>
      <c r="KK107" s="212"/>
      <c r="KL107" s="212"/>
      <c r="KM107" s="212"/>
      <c r="KN107" s="212"/>
      <c r="KO107" s="212"/>
      <c r="KP107" s="212"/>
      <c r="KQ107" s="212"/>
      <c r="KR107" s="212"/>
      <c r="KS107" s="212"/>
      <c r="KT107" s="212"/>
      <c r="KU107" s="212"/>
      <c r="KV107" s="212"/>
      <c r="KW107" s="212"/>
      <c r="KX107" s="212"/>
      <c r="KY107" s="212"/>
      <c r="KZ107" s="212"/>
      <c r="LA107" s="212"/>
      <c r="LB107" s="212"/>
      <c r="LC107" s="212"/>
      <c r="LD107" s="212"/>
      <c r="LE107" s="212"/>
      <c r="LF107" s="212"/>
      <c r="LG107" s="212"/>
      <c r="LH107" s="212"/>
      <c r="LI107" s="212"/>
      <c r="LJ107" s="212"/>
      <c r="LK107" s="212"/>
      <c r="LL107" s="212"/>
      <c r="LM107" s="212"/>
      <c r="LN107" s="212"/>
      <c r="LO107" s="212"/>
      <c r="LP107" s="212"/>
      <c r="LQ107" s="212"/>
      <c r="LR107" s="212"/>
      <c r="LS107" s="212"/>
      <c r="LT107" s="212"/>
      <c r="LU107" s="212"/>
      <c r="LV107" s="212"/>
      <c r="LW107" s="212"/>
      <c r="LX107" s="212"/>
      <c r="LY107" s="212"/>
      <c r="LZ107" s="212"/>
      <c r="MA107" s="212"/>
      <c r="MB107" s="212"/>
      <c r="MC107" s="212"/>
      <c r="MD107" s="212"/>
      <c r="ME107" s="212"/>
      <c r="MF107" s="212"/>
      <c r="MG107" s="212"/>
      <c r="MH107" s="212"/>
      <c r="MI107" s="212"/>
      <c r="MJ107" s="212"/>
      <c r="MK107" s="212"/>
      <c r="ML107" s="212"/>
      <c r="MM107" s="212"/>
      <c r="MN107" s="212"/>
      <c r="MO107" s="212"/>
      <c r="MP107" s="212"/>
      <c r="MQ107" s="212"/>
      <c r="MR107" s="212"/>
      <c r="MS107" s="212"/>
      <c r="MT107" s="212"/>
      <c r="MU107" s="212"/>
      <c r="MV107" s="212"/>
      <c r="MW107" s="212"/>
      <c r="MX107" s="212"/>
      <c r="MY107" s="212"/>
      <c r="MZ107" s="212"/>
      <c r="NA107" s="212"/>
      <c r="NB107" s="212"/>
      <c r="NC107" s="212"/>
      <c r="ND107" s="212"/>
      <c r="NE107" s="212"/>
      <c r="NF107" s="212"/>
      <c r="NG107" s="212"/>
      <c r="NH107" s="212"/>
      <c r="NI107" s="212"/>
      <c r="NJ107" s="212"/>
      <c r="NK107" s="212"/>
      <c r="NL107" s="212"/>
      <c r="NM107" s="212"/>
      <c r="NN107" s="212"/>
      <c r="NO107" s="212"/>
      <c r="NP107" s="212"/>
      <c r="NQ107" s="212"/>
      <c r="NR107" s="212"/>
      <c r="NS107" s="212"/>
      <c r="NT107" s="212"/>
      <c r="NU107" s="212"/>
      <c r="NV107" s="212"/>
      <c r="NW107" s="212"/>
      <c r="NX107" s="212"/>
      <c r="NY107" s="212"/>
      <c r="NZ107" s="212"/>
      <c r="OA107" s="212"/>
      <c r="OB107" s="212"/>
      <c r="OC107" s="212"/>
      <c r="OD107" s="212"/>
      <c r="OE107" s="212"/>
      <c r="OF107" s="212"/>
      <c r="OG107" s="212"/>
      <c r="OH107" s="212"/>
      <c r="OI107" s="212"/>
      <c r="OJ107" s="212"/>
      <c r="OK107" s="212"/>
      <c r="OL107" s="212"/>
      <c r="OM107" s="212"/>
      <c r="ON107" s="212"/>
      <c r="OO107" s="212"/>
      <c r="OP107" s="212"/>
      <c r="OQ107" s="212"/>
      <c r="OR107" s="212"/>
      <c r="OS107" s="212"/>
      <c r="OT107" s="212"/>
      <c r="OU107" s="212"/>
      <c r="OV107" s="212"/>
      <c r="OW107" s="212"/>
      <c r="OX107" s="212"/>
      <c r="OY107" s="212"/>
      <c r="OZ107" s="212"/>
      <c r="PA107" s="212"/>
      <c r="PB107" s="212"/>
      <c r="PC107" s="212"/>
      <c r="PD107" s="212"/>
      <c r="PE107" s="212"/>
      <c r="PF107" s="212"/>
      <c r="PG107" s="212"/>
      <c r="PH107" s="212"/>
      <c r="PI107" s="212"/>
      <c r="PJ107" s="212"/>
      <c r="PK107" s="212"/>
      <c r="PL107" s="212"/>
      <c r="PM107" s="212"/>
      <c r="PN107" s="212"/>
      <c r="PO107" s="212"/>
      <c r="PP107" s="212"/>
      <c r="PQ107" s="212"/>
      <c r="PR107" s="212"/>
      <c r="PS107" s="212"/>
      <c r="PT107" s="212"/>
      <c r="PU107" s="212"/>
      <c r="PV107" s="212"/>
      <c r="PW107" s="212"/>
      <c r="PX107" s="212"/>
      <c r="PY107" s="212"/>
      <c r="PZ107" s="212"/>
      <c r="QA107" s="212"/>
      <c r="QB107" s="212"/>
      <c r="QC107" s="212"/>
      <c r="QD107" s="212"/>
      <c r="QE107" s="212"/>
      <c r="QF107" s="212"/>
      <c r="QG107" s="212"/>
      <c r="QH107" s="212"/>
      <c r="QI107" s="212"/>
      <c r="QJ107" s="212"/>
      <c r="QK107" s="212"/>
      <c r="QL107" s="212"/>
      <c r="QM107" s="212"/>
      <c r="QN107" s="212"/>
      <c r="QO107" s="212"/>
      <c r="QP107" s="212"/>
      <c r="QQ107" s="212"/>
      <c r="QR107" s="212"/>
      <c r="QS107" s="212"/>
      <c r="QT107" s="212"/>
      <c r="QU107" s="212"/>
      <c r="QV107" s="212"/>
      <c r="QW107" s="212"/>
      <c r="QX107" s="212"/>
      <c r="QY107" s="212"/>
      <c r="QZ107" s="212"/>
      <c r="RA107" s="212"/>
      <c r="RB107" s="212"/>
      <c r="RC107" s="212"/>
      <c r="RD107" s="212"/>
      <c r="RE107" s="212"/>
      <c r="RF107" s="212"/>
      <c r="RG107" s="212"/>
      <c r="RH107" s="212"/>
      <c r="RI107" s="212"/>
      <c r="RJ107" s="212"/>
      <c r="RK107" s="212"/>
      <c r="RL107" s="212"/>
      <c r="RM107" s="212"/>
      <c r="RN107" s="212"/>
      <c r="RO107" s="212"/>
      <c r="RP107" s="212"/>
      <c r="RQ107" s="212"/>
      <c r="RR107" s="212"/>
      <c r="RS107" s="212"/>
      <c r="RT107" s="212"/>
      <c r="RU107" s="212"/>
      <c r="RV107" s="212"/>
      <c r="RW107" s="212"/>
      <c r="RX107" s="212"/>
      <c r="RY107" s="212"/>
      <c r="RZ107" s="212"/>
      <c r="SA107" s="212"/>
      <c r="SB107" s="212"/>
      <c r="SC107" s="212"/>
      <c r="SD107" s="212"/>
      <c r="SE107" s="212"/>
      <c r="SF107" s="212"/>
      <c r="SG107" s="212"/>
      <c r="SH107" s="212"/>
      <c r="SI107" s="212"/>
      <c r="SJ107" s="212"/>
      <c r="SK107" s="212"/>
      <c r="SL107" s="212"/>
      <c r="SM107" s="212"/>
      <c r="SN107" s="212"/>
      <c r="SO107" s="212"/>
      <c r="SP107" s="212"/>
      <c r="SQ107" s="212"/>
      <c r="SR107" s="212"/>
      <c r="SS107" s="212"/>
      <c r="ST107" s="212"/>
      <c r="SU107" s="212"/>
      <c r="SV107" s="212"/>
      <c r="SW107" s="212"/>
      <c r="SX107" s="212"/>
      <c r="SY107" s="212"/>
      <c r="SZ107" s="212"/>
      <c r="TA107" s="212"/>
      <c r="TB107" s="212"/>
      <c r="TC107" s="212"/>
      <c r="TD107" s="212"/>
      <c r="TE107" s="212"/>
      <c r="TF107" s="212"/>
      <c r="TG107" s="212"/>
      <c r="TH107" s="212"/>
      <c r="TI107" s="212"/>
      <c r="TJ107" s="212"/>
      <c r="TK107" s="212"/>
      <c r="TL107" s="212"/>
      <c r="TM107" s="212"/>
      <c r="TN107" s="212"/>
      <c r="TO107" s="212"/>
      <c r="TP107" s="212"/>
      <c r="TQ107" s="212"/>
      <c r="TR107" s="212"/>
      <c r="TS107" s="212"/>
      <c r="TT107" s="212"/>
      <c r="TU107" s="212"/>
      <c r="TV107" s="212"/>
      <c r="TW107" s="212"/>
      <c r="TX107" s="212"/>
      <c r="TY107" s="212"/>
      <c r="TZ107" s="212"/>
      <c r="UA107" s="212"/>
      <c r="UB107" s="212"/>
      <c r="UC107" s="212"/>
      <c r="UD107" s="212"/>
      <c r="UE107" s="212"/>
      <c r="UF107" s="212"/>
      <c r="UG107" s="212"/>
      <c r="UH107" s="212"/>
      <c r="UI107" s="212"/>
      <c r="UJ107" s="212"/>
      <c r="UK107" s="212"/>
      <c r="UL107" s="212"/>
      <c r="UM107" s="212"/>
      <c r="UN107" s="212"/>
      <c r="UO107" s="212"/>
      <c r="UP107" s="212"/>
      <c r="UQ107" s="212"/>
      <c r="UR107" s="212"/>
      <c r="US107" s="212"/>
      <c r="UT107" s="212"/>
      <c r="UU107" s="212"/>
      <c r="UV107" s="212"/>
      <c r="UW107" s="212"/>
      <c r="UX107" s="212"/>
      <c r="UY107" s="212"/>
      <c r="UZ107" s="212"/>
      <c r="VA107" s="212"/>
      <c r="VB107" s="212"/>
      <c r="VC107" s="212"/>
      <c r="VD107" s="212"/>
      <c r="VE107" s="212"/>
      <c r="VF107" s="212"/>
      <c r="VG107" s="212"/>
      <c r="VH107" s="212"/>
      <c r="VI107" s="212"/>
      <c r="VJ107" s="212"/>
      <c r="VK107" s="212"/>
      <c r="VL107" s="212"/>
      <c r="VM107" s="212"/>
      <c r="VN107" s="212"/>
      <c r="VO107" s="212"/>
      <c r="VP107" s="212"/>
      <c r="VQ107" s="212"/>
      <c r="VR107" s="212"/>
      <c r="VS107" s="212"/>
      <c r="VT107" s="212"/>
      <c r="VU107" s="212"/>
      <c r="VV107" s="212"/>
      <c r="VW107" s="212"/>
      <c r="VX107" s="212"/>
      <c r="VY107" s="212"/>
      <c r="VZ107" s="212"/>
      <c r="WA107" s="212"/>
      <c r="WB107" s="212"/>
      <c r="WC107" s="212"/>
      <c r="WD107" s="212"/>
      <c r="WE107" s="212"/>
      <c r="WF107" s="212"/>
      <c r="WG107" s="212"/>
      <c r="WH107" s="212"/>
      <c r="WI107" s="212"/>
      <c r="WJ107" s="212"/>
      <c r="WK107" s="212"/>
      <c r="WL107" s="212"/>
      <c r="WM107" s="212"/>
      <c r="WN107" s="212"/>
      <c r="WO107" s="212"/>
      <c r="WP107" s="212"/>
      <c r="WQ107" s="212"/>
      <c r="WR107" s="212"/>
      <c r="WS107" s="212"/>
      <c r="WT107" s="212"/>
      <c r="WU107" s="212"/>
      <c r="WV107" s="212"/>
      <c r="WW107" s="212"/>
      <c r="WX107" s="212"/>
      <c r="WY107" s="212"/>
      <c r="WZ107" s="212"/>
      <c r="XA107" s="212"/>
      <c r="XB107" s="212"/>
      <c r="XC107" s="212"/>
      <c r="XD107" s="212"/>
      <c r="XE107" s="212"/>
      <c r="XF107" s="212"/>
      <c r="XG107" s="212"/>
      <c r="XH107" s="212"/>
      <c r="XI107" s="212"/>
      <c r="XJ107" s="212"/>
      <c r="XK107" s="212"/>
      <c r="XL107" s="212"/>
      <c r="XM107" s="212"/>
      <c r="XN107" s="212"/>
      <c r="XO107" s="212"/>
      <c r="XP107" s="212"/>
      <c r="XQ107" s="212"/>
      <c r="XR107" s="212"/>
      <c r="XS107" s="212"/>
      <c r="XT107" s="212"/>
      <c r="XU107" s="212"/>
      <c r="XV107" s="212"/>
      <c r="XW107" s="212"/>
      <c r="XX107" s="212"/>
      <c r="XY107" s="212"/>
      <c r="XZ107" s="212"/>
      <c r="YA107" s="212"/>
      <c r="YB107" s="212"/>
      <c r="YC107" s="212"/>
      <c r="YD107" s="212"/>
      <c r="YE107" s="212"/>
      <c r="YF107" s="212"/>
      <c r="YG107" s="212"/>
      <c r="YH107" s="212"/>
      <c r="YI107" s="212"/>
      <c r="YJ107" s="212"/>
      <c r="YK107" s="212"/>
      <c r="YL107" s="212"/>
      <c r="YM107" s="212"/>
      <c r="YN107" s="212"/>
      <c r="YO107" s="212"/>
      <c r="YP107" s="212"/>
      <c r="YQ107" s="212"/>
      <c r="YR107" s="212"/>
      <c r="YS107" s="212"/>
      <c r="YT107" s="212"/>
      <c r="YU107" s="212"/>
      <c r="YV107" s="212"/>
      <c r="YW107" s="212"/>
      <c r="YX107" s="212"/>
      <c r="YY107" s="212"/>
      <c r="YZ107" s="212"/>
      <c r="ZA107" s="212"/>
      <c r="ZB107" s="212"/>
      <c r="ZC107" s="212"/>
      <c r="ZD107" s="212"/>
      <c r="ZE107" s="212"/>
      <c r="ZF107" s="212"/>
      <c r="ZG107" s="212"/>
      <c r="ZH107" s="212"/>
      <c r="ZI107" s="212"/>
      <c r="ZJ107" s="212"/>
      <c r="ZK107" s="212"/>
      <c r="ZL107" s="212"/>
      <c r="ZM107" s="212"/>
      <c r="ZN107" s="212"/>
      <c r="ZO107" s="212"/>
      <c r="ZP107" s="212"/>
      <c r="ZQ107" s="212"/>
      <c r="ZR107" s="212"/>
      <c r="ZS107" s="212"/>
      <c r="ZT107" s="212"/>
      <c r="ZU107" s="212"/>
      <c r="ZV107" s="212"/>
      <c r="ZW107" s="212"/>
      <c r="ZX107" s="212"/>
      <c r="ZY107" s="212"/>
      <c r="ZZ107" s="212"/>
      <c r="AAA107" s="212"/>
      <c r="AAB107" s="212"/>
      <c r="AAC107" s="212"/>
      <c r="AAD107" s="212"/>
      <c r="AAE107" s="212"/>
      <c r="AAF107" s="212"/>
      <c r="AAG107" s="212"/>
      <c r="AAH107" s="212"/>
      <c r="AAI107" s="212"/>
      <c r="AAJ107" s="212"/>
      <c r="AAK107" s="212"/>
      <c r="AAL107" s="212"/>
      <c r="AAM107" s="212"/>
      <c r="AAN107" s="212"/>
      <c r="AAO107" s="212"/>
      <c r="AAP107" s="212"/>
      <c r="AAQ107" s="212"/>
      <c r="AAR107" s="212"/>
      <c r="AAS107" s="212"/>
      <c r="AAT107" s="212"/>
      <c r="AAU107" s="212"/>
      <c r="AAV107" s="212"/>
      <c r="AAW107" s="212"/>
      <c r="AAX107" s="212"/>
      <c r="AAY107" s="212"/>
      <c r="AAZ107" s="212"/>
      <c r="ABA107" s="212"/>
      <c r="ABB107" s="212"/>
      <c r="ABC107" s="212"/>
      <c r="ABD107" s="212"/>
      <c r="ABE107" s="212"/>
      <c r="ABF107" s="212"/>
      <c r="ABG107" s="212"/>
      <c r="ABH107" s="212"/>
      <c r="ABI107" s="212"/>
      <c r="ABJ107" s="212"/>
      <c r="ABK107" s="212"/>
      <c r="ABL107" s="212"/>
      <c r="ABM107" s="212"/>
      <c r="ABN107" s="212"/>
      <c r="ABO107" s="212"/>
      <c r="ABP107" s="212"/>
      <c r="ABQ107" s="212"/>
      <c r="ABR107" s="212"/>
      <c r="ABS107" s="212"/>
      <c r="ABT107" s="212"/>
      <c r="ABU107" s="212"/>
      <c r="ABV107" s="212"/>
      <c r="ABW107" s="212"/>
      <c r="ABX107" s="212"/>
      <c r="ABY107" s="212"/>
      <c r="ABZ107" s="212"/>
      <c r="ACA107" s="212"/>
      <c r="ACB107" s="212"/>
      <c r="ACC107" s="212"/>
      <c r="ACD107" s="212"/>
      <c r="ACE107" s="212"/>
      <c r="ACF107" s="212"/>
      <c r="ACG107" s="212"/>
      <c r="ACH107" s="212"/>
      <c r="ACI107" s="212"/>
      <c r="ACJ107" s="212"/>
      <c r="ACK107" s="212"/>
      <c r="ACL107" s="212"/>
      <c r="ACM107" s="212"/>
      <c r="ACN107" s="212"/>
      <c r="ACO107" s="212"/>
      <c r="ACP107" s="212"/>
      <c r="ACQ107" s="212"/>
      <c r="ACR107" s="212"/>
      <c r="ACS107" s="212"/>
      <c r="ACT107" s="212"/>
      <c r="ACU107" s="212"/>
      <c r="ACV107" s="212"/>
      <c r="ACW107" s="212"/>
      <c r="ACX107" s="212"/>
      <c r="ACY107" s="212"/>
      <c r="ACZ107" s="212"/>
      <c r="ADA107" s="212"/>
      <c r="ADB107" s="212"/>
      <c r="ADC107" s="212"/>
      <c r="ADD107" s="212"/>
      <c r="ADE107" s="212"/>
      <c r="ADF107" s="212"/>
      <c r="ADG107" s="212"/>
      <c r="ADH107" s="212"/>
      <c r="ADI107" s="212"/>
      <c r="ADJ107" s="212"/>
      <c r="ADK107" s="212"/>
      <c r="ADL107" s="212"/>
      <c r="ADM107" s="212"/>
      <c r="ADN107" s="212"/>
      <c r="ADO107" s="212"/>
      <c r="ADP107" s="212"/>
      <c r="ADQ107" s="212"/>
      <c r="ADR107" s="212"/>
      <c r="ADS107" s="212"/>
      <c r="ADT107" s="212"/>
      <c r="ADU107" s="212"/>
      <c r="ADV107" s="212"/>
      <c r="ADW107" s="212"/>
      <c r="ADX107" s="212"/>
      <c r="ADY107" s="212"/>
      <c r="ADZ107" s="212"/>
      <c r="AEA107" s="212"/>
      <c r="AEB107" s="212"/>
      <c r="AEC107" s="212"/>
      <c r="AED107" s="212"/>
      <c r="AEE107" s="212"/>
      <c r="AEF107" s="212"/>
      <c r="AEG107" s="212"/>
      <c r="AEH107" s="212"/>
      <c r="AEI107" s="212"/>
      <c r="AEJ107" s="212"/>
      <c r="AEK107" s="212"/>
      <c r="AEL107" s="212"/>
      <c r="AEM107" s="212"/>
      <c r="AEN107" s="212"/>
      <c r="AEO107" s="212"/>
      <c r="AEP107" s="212"/>
      <c r="AEQ107" s="212"/>
      <c r="AER107" s="212"/>
      <c r="AES107" s="212"/>
      <c r="AET107" s="212"/>
      <c r="AEU107" s="212"/>
      <c r="AEV107" s="212"/>
      <c r="AEW107" s="212"/>
      <c r="AEX107" s="212"/>
      <c r="AEY107" s="212"/>
      <c r="AEZ107" s="212"/>
      <c r="AFA107" s="212"/>
      <c r="AFB107" s="212"/>
      <c r="AFC107" s="212"/>
      <c r="AFD107" s="212"/>
      <c r="AFE107" s="212"/>
      <c r="AFF107" s="212"/>
      <c r="AFG107" s="212"/>
      <c r="AFH107" s="212"/>
      <c r="AFI107" s="212"/>
      <c r="AFJ107" s="212"/>
      <c r="AFK107" s="212"/>
      <c r="AFL107" s="212"/>
      <c r="AFM107" s="212"/>
      <c r="AFN107" s="212"/>
      <c r="AFO107" s="212"/>
      <c r="AFP107" s="212"/>
      <c r="AFQ107" s="212"/>
      <c r="AFR107" s="212"/>
      <c r="AFS107" s="212"/>
      <c r="AFT107" s="212"/>
      <c r="AFU107" s="212"/>
      <c r="AFV107" s="212"/>
      <c r="AFW107" s="212"/>
      <c r="AFX107" s="212"/>
      <c r="AFY107" s="212"/>
      <c r="AFZ107" s="212"/>
      <c r="AGA107" s="212"/>
      <c r="AGB107" s="212"/>
      <c r="AGC107" s="212"/>
      <c r="AGD107" s="212"/>
      <c r="AGE107" s="212"/>
      <c r="AGF107" s="212"/>
      <c r="AGG107" s="212"/>
      <c r="AGH107" s="212"/>
      <c r="AGI107" s="212"/>
      <c r="AGJ107" s="212"/>
      <c r="AGK107" s="212"/>
      <c r="AGL107" s="212"/>
      <c r="AGM107" s="212"/>
      <c r="AGN107" s="212"/>
      <c r="AGO107" s="212"/>
      <c r="AGP107" s="212"/>
      <c r="AGQ107" s="212"/>
      <c r="AGR107" s="212"/>
      <c r="AGS107" s="212"/>
      <c r="AGT107" s="212"/>
      <c r="AGU107" s="212"/>
      <c r="AGV107" s="212"/>
      <c r="AGW107" s="212"/>
      <c r="AGX107" s="212"/>
      <c r="AGY107" s="212"/>
      <c r="AGZ107" s="212"/>
      <c r="AHA107" s="212"/>
      <c r="AHB107" s="212"/>
      <c r="AHC107" s="212"/>
      <c r="AHD107" s="212"/>
      <c r="AHE107" s="212"/>
      <c r="AHF107" s="212"/>
      <c r="AHG107" s="212"/>
      <c r="AHH107" s="212"/>
      <c r="AHI107" s="212"/>
      <c r="AHJ107" s="212"/>
      <c r="AHK107" s="212"/>
      <c r="AHL107" s="212"/>
      <c r="AHM107" s="212"/>
      <c r="AHN107" s="212"/>
      <c r="AHO107" s="212"/>
      <c r="AHP107" s="212"/>
      <c r="AHQ107" s="212"/>
      <c r="AHR107" s="212"/>
      <c r="AHS107" s="212"/>
      <c r="AHT107" s="212"/>
      <c r="AHU107" s="212"/>
      <c r="AHV107" s="212"/>
      <c r="AHW107" s="212"/>
      <c r="AHX107" s="212"/>
      <c r="AHY107" s="212"/>
      <c r="AHZ107" s="212"/>
      <c r="AIA107" s="212"/>
      <c r="AIB107" s="212"/>
      <c r="AIC107" s="212"/>
      <c r="AID107" s="212"/>
      <c r="AIE107" s="212"/>
      <c r="AIF107" s="212"/>
      <c r="AIG107" s="212"/>
      <c r="AIH107" s="212"/>
      <c r="AII107" s="212"/>
      <c r="AIJ107" s="212"/>
      <c r="AIK107" s="212"/>
      <c r="AIL107" s="212"/>
      <c r="AIM107" s="212"/>
      <c r="AIN107" s="212"/>
      <c r="AIO107" s="212"/>
      <c r="AIP107" s="212"/>
      <c r="AIQ107" s="212"/>
      <c r="AIR107" s="212"/>
      <c r="AIS107" s="212"/>
      <c r="AIT107" s="212"/>
      <c r="AIU107" s="212"/>
      <c r="AIV107" s="212"/>
      <c r="AIW107" s="212"/>
      <c r="AIX107" s="212"/>
      <c r="AIY107" s="212"/>
      <c r="AIZ107" s="212"/>
      <c r="AJA107" s="212"/>
      <c r="AJB107" s="212"/>
      <c r="AJC107" s="212"/>
      <c r="AJD107" s="212"/>
      <c r="AJE107" s="212"/>
      <c r="AJF107" s="212"/>
      <c r="AJG107" s="212"/>
      <c r="AJH107" s="212"/>
      <c r="AJI107" s="212"/>
      <c r="AJJ107" s="212"/>
      <c r="AJK107" s="212"/>
      <c r="AJL107" s="212"/>
      <c r="AJM107" s="212"/>
      <c r="AJN107" s="212"/>
      <c r="AJO107" s="212"/>
      <c r="AJP107" s="212"/>
      <c r="AJQ107" s="212"/>
      <c r="AJR107" s="212"/>
      <c r="AJS107" s="212"/>
      <c r="AJT107" s="212"/>
      <c r="AJU107" s="212"/>
      <c r="AJV107" s="212"/>
      <c r="AJW107" s="212"/>
      <c r="AJX107" s="212"/>
      <c r="AJY107" s="212"/>
      <c r="AJZ107" s="212"/>
      <c r="AKA107" s="212"/>
      <c r="AKB107" s="212"/>
      <c r="AKC107" s="212"/>
      <c r="AKD107" s="212"/>
      <c r="AKE107" s="212"/>
      <c r="AKF107" s="212"/>
      <c r="AKG107" s="212"/>
      <c r="AKH107" s="212"/>
      <c r="AKI107" s="212"/>
      <c r="AKJ107" s="212"/>
      <c r="AKK107" s="212"/>
      <c r="AKL107" s="212"/>
      <c r="AKM107" s="212"/>
      <c r="AKN107" s="212"/>
      <c r="AKO107" s="212"/>
      <c r="AKP107" s="212"/>
      <c r="AKQ107" s="212"/>
      <c r="AKR107" s="212"/>
      <c r="AKS107" s="212"/>
      <c r="AKT107" s="212"/>
      <c r="AKU107" s="212"/>
      <c r="AKV107" s="212"/>
      <c r="AKW107" s="212"/>
      <c r="AKX107" s="212"/>
      <c r="AKY107" s="212"/>
      <c r="AKZ107" s="212"/>
      <c r="ALA107" s="212"/>
      <c r="ALB107" s="212"/>
      <c r="ALC107" s="212"/>
      <c r="ALD107" s="212"/>
      <c r="ALE107" s="212"/>
      <c r="ALF107" s="212"/>
      <c r="ALG107" s="212"/>
      <c r="ALH107" s="212"/>
      <c r="ALI107" s="212"/>
      <c r="ALJ107" s="212"/>
      <c r="ALK107" s="212"/>
      <c r="ALL107" s="212"/>
      <c r="ALM107" s="212"/>
      <c r="ALN107" s="212"/>
      <c r="ALO107" s="212"/>
      <c r="ALP107" s="212"/>
      <c r="ALQ107" s="212"/>
      <c r="ALR107" s="212"/>
      <c r="ALS107" s="212"/>
      <c r="ALT107" s="212"/>
      <c r="ALU107" s="212"/>
      <c r="ALV107" s="212"/>
      <c r="ALW107" s="212"/>
      <c r="ALX107" s="212"/>
      <c r="ALY107" s="212"/>
      <c r="ALZ107" s="212"/>
      <c r="AMA107" s="212"/>
      <c r="AMB107" s="212"/>
      <c r="AMC107" s="212"/>
      <c r="AMD107" s="212"/>
      <c r="AME107" s="212"/>
      <c r="AMF107" s="212"/>
      <c r="AMG107" s="212"/>
      <c r="AMH107" s="212"/>
      <c r="AMI107" s="212"/>
      <c r="AMJ107" s="212"/>
      <c r="AMK107" s="212"/>
      <c r="AML107" s="212"/>
      <c r="AMM107" s="212"/>
      <c r="AMN107" s="212"/>
      <c r="AMO107" s="212"/>
      <c r="AMP107" s="212"/>
      <c r="AMQ107" s="212"/>
      <c r="AMR107" s="212"/>
      <c r="AMS107" s="212"/>
      <c r="AMT107" s="212"/>
      <c r="AMU107" s="212"/>
      <c r="AMV107" s="212"/>
      <c r="AMW107" s="212"/>
      <c r="AMX107" s="212"/>
      <c r="AMY107" s="212"/>
      <c r="AMZ107" s="212"/>
      <c r="ANA107" s="212"/>
      <c r="ANB107" s="212"/>
      <c r="ANC107" s="212"/>
      <c r="AND107" s="212"/>
      <c r="ANE107" s="212"/>
      <c r="ANF107" s="212"/>
      <c r="ANG107" s="212"/>
      <c r="ANH107" s="212"/>
      <c r="ANI107" s="212"/>
      <c r="ANJ107" s="212"/>
      <c r="ANK107" s="212"/>
      <c r="ANL107" s="212"/>
      <c r="ANM107" s="212"/>
      <c r="ANN107" s="212"/>
      <c r="ANO107" s="212"/>
      <c r="ANP107" s="212"/>
      <c r="ANQ107" s="212"/>
      <c r="ANR107" s="212"/>
      <c r="ANS107" s="212"/>
      <c r="ANT107" s="212"/>
      <c r="ANU107" s="212"/>
      <c r="ANV107" s="212"/>
      <c r="ANW107" s="212"/>
      <c r="ANX107" s="212"/>
      <c r="ANY107" s="212"/>
      <c r="ANZ107" s="212"/>
      <c r="AOA107" s="212"/>
      <c r="AOB107" s="212"/>
      <c r="AOC107" s="212"/>
      <c r="AOD107" s="212"/>
      <c r="AOE107" s="212"/>
      <c r="AOF107" s="212"/>
      <c r="AOG107" s="212"/>
      <c r="AOH107" s="212"/>
      <c r="AOI107" s="212"/>
      <c r="AOJ107" s="212"/>
      <c r="AOK107" s="212"/>
      <c r="AOL107" s="212"/>
      <c r="AOM107" s="212"/>
      <c r="AON107" s="212"/>
      <c r="AOO107" s="212"/>
      <c r="AOP107" s="212"/>
      <c r="AOQ107" s="212"/>
      <c r="AOR107" s="212"/>
      <c r="AOS107" s="212"/>
      <c r="AOT107" s="212"/>
      <c r="AOU107" s="212"/>
      <c r="AOV107" s="212"/>
      <c r="AOW107" s="212"/>
      <c r="AOX107" s="212"/>
      <c r="AOY107" s="212"/>
      <c r="AOZ107" s="212"/>
      <c r="APA107" s="212"/>
      <c r="APB107" s="212"/>
      <c r="APC107" s="212"/>
      <c r="APD107" s="212"/>
      <c r="APE107" s="212"/>
      <c r="APF107" s="212"/>
      <c r="APG107" s="212"/>
      <c r="APH107" s="212"/>
      <c r="API107" s="212"/>
      <c r="APJ107" s="212"/>
      <c r="APK107" s="212"/>
      <c r="APL107" s="212"/>
      <c r="APM107" s="212"/>
      <c r="APN107" s="212"/>
      <c r="APO107" s="212"/>
      <c r="APP107" s="212"/>
      <c r="APQ107" s="212"/>
      <c r="APR107" s="212"/>
      <c r="APS107" s="212"/>
      <c r="APT107" s="212"/>
      <c r="APU107" s="212"/>
      <c r="APV107" s="212"/>
      <c r="APW107" s="212"/>
      <c r="APX107" s="212"/>
      <c r="APY107" s="212"/>
      <c r="APZ107" s="212"/>
      <c r="AQA107" s="212"/>
      <c r="AQB107" s="212"/>
      <c r="AQC107" s="212"/>
      <c r="AQD107" s="212"/>
      <c r="AQE107" s="212"/>
      <c r="AQF107" s="212"/>
      <c r="AQG107" s="212"/>
      <c r="AQH107" s="212"/>
      <c r="AQI107" s="212"/>
      <c r="AQJ107" s="212"/>
      <c r="AQK107" s="212"/>
      <c r="AQL107" s="212"/>
      <c r="AQM107" s="212"/>
      <c r="AQN107" s="212"/>
      <c r="AQO107" s="212"/>
      <c r="AQP107" s="212"/>
      <c r="AQQ107" s="212"/>
      <c r="AQR107" s="212"/>
      <c r="AQS107" s="212"/>
      <c r="AQT107" s="212"/>
      <c r="AQU107" s="212"/>
      <c r="AQV107" s="212"/>
      <c r="AQW107" s="212"/>
      <c r="AQX107" s="212"/>
      <c r="AQY107" s="212"/>
      <c r="AQZ107" s="212"/>
      <c r="ARA107" s="212"/>
      <c r="ARB107" s="212"/>
      <c r="ARC107" s="212"/>
      <c r="ARD107" s="212"/>
      <c r="ARE107" s="212"/>
      <c r="ARF107" s="212"/>
      <c r="ARG107" s="212"/>
      <c r="ARH107" s="212"/>
      <c r="ARI107" s="212"/>
      <c r="ARJ107" s="212"/>
      <c r="ARK107" s="212"/>
      <c r="ARL107" s="212"/>
      <c r="ARM107" s="212"/>
      <c r="ARN107" s="212"/>
      <c r="ARO107" s="212"/>
      <c r="ARP107" s="212"/>
      <c r="ARQ107" s="212"/>
      <c r="ARR107" s="212"/>
      <c r="ARS107" s="212"/>
      <c r="ART107" s="212"/>
      <c r="ARU107" s="212"/>
      <c r="ARV107" s="212"/>
      <c r="ARW107" s="212"/>
      <c r="ARX107" s="212"/>
      <c r="ARY107" s="212"/>
      <c r="ARZ107" s="212"/>
      <c r="ASA107" s="212"/>
      <c r="ASB107" s="212"/>
      <c r="ASC107" s="212"/>
      <c r="ASD107" s="212"/>
      <c r="ASE107" s="212"/>
      <c r="ASF107" s="212"/>
      <c r="ASG107" s="212"/>
      <c r="ASH107" s="212"/>
      <c r="ASI107" s="212"/>
      <c r="ASJ107" s="212"/>
      <c r="ASK107" s="212"/>
      <c r="ASL107" s="212"/>
      <c r="ASM107" s="212"/>
      <c r="ASN107" s="212"/>
      <c r="ASO107" s="212"/>
      <c r="ASP107" s="212"/>
      <c r="ASQ107" s="212"/>
      <c r="ASR107" s="212"/>
      <c r="ASS107" s="212"/>
      <c r="AST107" s="212"/>
      <c r="ASU107" s="212"/>
      <c r="ASV107" s="212"/>
      <c r="ASW107" s="212"/>
      <c r="ASX107" s="212"/>
      <c r="ASY107" s="212"/>
      <c r="ASZ107" s="212"/>
      <c r="ATA107" s="212"/>
      <c r="ATB107" s="212"/>
      <c r="ATC107" s="212"/>
      <c r="ATD107" s="212"/>
      <c r="ATE107" s="212"/>
      <c r="ATF107" s="212"/>
      <c r="ATG107" s="212"/>
      <c r="ATH107" s="212"/>
      <c r="ATI107" s="212"/>
      <c r="ATJ107" s="212"/>
      <c r="ATK107" s="212"/>
      <c r="ATL107" s="212"/>
      <c r="ATM107" s="212"/>
      <c r="ATN107" s="212"/>
      <c r="ATO107" s="212"/>
      <c r="ATP107" s="212"/>
      <c r="ATQ107" s="212"/>
      <c r="ATR107" s="212"/>
      <c r="ATS107" s="212"/>
      <c r="ATT107" s="212"/>
      <c r="ATU107" s="212"/>
      <c r="ATV107" s="212"/>
      <c r="ATW107" s="212"/>
      <c r="ATX107" s="212"/>
      <c r="ATY107" s="212"/>
      <c r="ATZ107" s="212"/>
      <c r="AUA107" s="212"/>
      <c r="AUB107" s="212"/>
      <c r="AUC107" s="212"/>
      <c r="AUD107" s="212"/>
      <c r="AUE107" s="212"/>
      <c r="AUF107" s="212"/>
      <c r="AUG107" s="212"/>
      <c r="AUH107" s="212"/>
      <c r="AUI107" s="212"/>
      <c r="AUJ107" s="212"/>
      <c r="AUK107" s="212"/>
      <c r="AUL107" s="212"/>
      <c r="AUM107" s="212"/>
      <c r="AUN107" s="212"/>
      <c r="AUO107" s="212"/>
      <c r="AUP107" s="212"/>
      <c r="AUQ107" s="212"/>
      <c r="AUR107" s="212"/>
      <c r="AUS107" s="212"/>
      <c r="AUT107" s="212"/>
      <c r="AUU107" s="212"/>
      <c r="AUV107" s="212"/>
      <c r="AUW107" s="212"/>
      <c r="AUX107" s="212"/>
      <c r="AUY107" s="212"/>
      <c r="AUZ107" s="212"/>
      <c r="AVA107" s="212"/>
      <c r="AVB107" s="212"/>
      <c r="AVC107" s="212"/>
      <c r="AVD107" s="212"/>
      <c r="AVE107" s="212"/>
      <c r="AVF107" s="212"/>
      <c r="AVG107" s="212"/>
      <c r="AVH107" s="212"/>
      <c r="AVI107" s="212"/>
      <c r="AVJ107" s="212"/>
      <c r="AVK107" s="212"/>
      <c r="AVL107" s="212"/>
      <c r="AVM107" s="212"/>
      <c r="AVN107" s="212"/>
      <c r="AVO107" s="212"/>
      <c r="AVP107" s="212"/>
      <c r="AVQ107" s="212"/>
      <c r="AVR107" s="212"/>
      <c r="AVS107" s="212"/>
      <c r="AVT107" s="212"/>
      <c r="AVU107" s="212"/>
      <c r="AVV107" s="212"/>
      <c r="AVW107" s="212"/>
      <c r="AVX107" s="212"/>
      <c r="AVY107" s="212"/>
      <c r="AVZ107" s="212"/>
      <c r="AWA107" s="212"/>
      <c r="AWB107" s="212"/>
      <c r="AWC107" s="212"/>
      <c r="AWD107" s="212"/>
      <c r="AWE107" s="212"/>
      <c r="AWF107" s="212"/>
      <c r="AWG107" s="212"/>
      <c r="AWH107" s="212"/>
      <c r="AWI107" s="212"/>
      <c r="AWJ107" s="212"/>
      <c r="AWK107" s="212"/>
      <c r="AWL107" s="212"/>
      <c r="AWM107" s="212"/>
      <c r="AWN107" s="212"/>
      <c r="AWO107" s="212"/>
      <c r="AWP107" s="212"/>
      <c r="AWQ107" s="212"/>
      <c r="AWR107" s="212"/>
      <c r="AWS107" s="212"/>
      <c r="AWT107" s="212"/>
      <c r="AWU107" s="212"/>
      <c r="AWV107" s="212"/>
      <c r="AWW107" s="212"/>
      <c r="AWX107" s="212"/>
      <c r="AWY107" s="212"/>
      <c r="AWZ107" s="212"/>
      <c r="AXA107" s="212"/>
      <c r="AXB107" s="212"/>
      <c r="AXC107" s="212"/>
      <c r="AXD107" s="212"/>
      <c r="AXE107" s="212"/>
      <c r="AXF107" s="212"/>
      <c r="AXG107" s="212"/>
      <c r="AXH107" s="212"/>
      <c r="AXI107" s="212"/>
      <c r="AXJ107" s="212"/>
      <c r="AXK107" s="212"/>
      <c r="AXL107" s="212"/>
      <c r="AXM107" s="212"/>
      <c r="AXN107" s="212"/>
      <c r="AXO107" s="212"/>
      <c r="AXP107" s="212"/>
      <c r="AXQ107" s="212"/>
      <c r="AXR107" s="212"/>
      <c r="AXS107" s="212"/>
      <c r="AXT107" s="212"/>
      <c r="AXU107" s="212"/>
      <c r="AXV107" s="212"/>
      <c r="AXW107" s="212"/>
      <c r="AXX107" s="212"/>
      <c r="AXY107" s="212"/>
      <c r="AXZ107" s="212"/>
      <c r="AYA107" s="212"/>
      <c r="AYB107" s="212"/>
      <c r="AYC107" s="212"/>
      <c r="AYD107" s="212"/>
      <c r="AYE107" s="212"/>
      <c r="AYF107" s="212"/>
      <c r="AYG107" s="212"/>
      <c r="AYH107" s="212"/>
      <c r="AYI107" s="212"/>
      <c r="AYJ107" s="212"/>
      <c r="AYK107" s="212"/>
      <c r="AYL107" s="212"/>
      <c r="AYM107" s="212"/>
      <c r="AYN107" s="212"/>
      <c r="AYO107" s="212"/>
      <c r="AYP107" s="212"/>
      <c r="AYQ107" s="212"/>
      <c r="AYR107" s="212"/>
      <c r="AYS107" s="212"/>
      <c r="AYT107" s="212"/>
      <c r="AYU107" s="212"/>
      <c r="AYV107" s="212"/>
      <c r="AYW107" s="212"/>
      <c r="AYX107" s="212"/>
      <c r="AYY107" s="212"/>
      <c r="AYZ107" s="212"/>
      <c r="AZA107" s="212"/>
      <c r="AZB107" s="212"/>
      <c r="AZC107" s="212"/>
      <c r="AZD107" s="212"/>
      <c r="AZE107" s="212"/>
      <c r="AZF107" s="212"/>
      <c r="AZG107" s="212"/>
      <c r="AZH107" s="212"/>
      <c r="AZI107" s="212"/>
      <c r="AZJ107" s="212"/>
      <c r="AZK107" s="212"/>
      <c r="AZL107" s="212"/>
      <c r="AZM107" s="212"/>
      <c r="AZN107" s="212"/>
      <c r="AZO107" s="212"/>
      <c r="AZP107" s="212"/>
      <c r="AZQ107" s="212"/>
      <c r="AZR107" s="212"/>
      <c r="AZS107" s="212"/>
      <c r="AZT107" s="212"/>
      <c r="AZU107" s="212"/>
      <c r="AZV107" s="212"/>
      <c r="AZW107" s="212"/>
      <c r="AZX107" s="212"/>
      <c r="AZY107" s="212"/>
      <c r="AZZ107" s="212"/>
      <c r="BAA107" s="212"/>
      <c r="BAB107" s="212"/>
      <c r="BAC107" s="212"/>
      <c r="BAD107" s="212"/>
      <c r="BAE107" s="212"/>
      <c r="BAF107" s="212"/>
      <c r="BAG107" s="212"/>
      <c r="BAH107" s="212"/>
      <c r="BAI107" s="212"/>
      <c r="BAJ107" s="212"/>
      <c r="BAK107" s="212"/>
      <c r="BAL107" s="212"/>
      <c r="BAM107" s="212"/>
      <c r="BAN107" s="212"/>
      <c r="BAO107" s="212"/>
      <c r="BAP107" s="212"/>
      <c r="BAQ107" s="212"/>
      <c r="BAR107" s="212"/>
      <c r="BAS107" s="212"/>
      <c r="BAT107" s="212"/>
      <c r="BAU107" s="212"/>
      <c r="BAV107" s="212"/>
      <c r="BAW107" s="212"/>
      <c r="BAX107" s="212"/>
      <c r="BAY107" s="212"/>
      <c r="BAZ107" s="212"/>
      <c r="BBA107" s="212"/>
      <c r="BBB107" s="212"/>
      <c r="BBC107" s="212"/>
      <c r="BBD107" s="212"/>
      <c r="BBE107" s="212"/>
      <c r="BBF107" s="212"/>
      <c r="BBG107" s="212"/>
      <c r="BBH107" s="212"/>
      <c r="BBI107" s="212"/>
      <c r="BBJ107" s="212"/>
      <c r="BBK107" s="212"/>
      <c r="BBL107" s="212"/>
      <c r="BBM107" s="212"/>
      <c r="BBN107" s="212"/>
      <c r="BBO107" s="212"/>
      <c r="BBP107" s="212"/>
      <c r="BBQ107" s="212"/>
      <c r="BBR107" s="212"/>
      <c r="BBS107" s="212"/>
      <c r="BBT107" s="212"/>
      <c r="BBU107" s="212"/>
      <c r="BBV107" s="212"/>
      <c r="BBW107" s="212"/>
      <c r="BBX107" s="212"/>
      <c r="BBY107" s="212"/>
      <c r="BBZ107" s="212"/>
      <c r="BCA107" s="212"/>
      <c r="BCB107" s="212"/>
      <c r="BCC107" s="212"/>
      <c r="BCD107" s="212"/>
      <c r="BCE107" s="212"/>
      <c r="BCF107" s="212"/>
      <c r="BCG107" s="212"/>
      <c r="BCH107" s="212"/>
      <c r="BCI107" s="212"/>
      <c r="BCJ107" s="212"/>
      <c r="BCK107" s="212"/>
      <c r="BCL107" s="212"/>
      <c r="BCM107" s="212"/>
      <c r="BCN107" s="212"/>
      <c r="BCO107" s="212"/>
      <c r="BCP107" s="212"/>
      <c r="BCQ107" s="212"/>
      <c r="BCR107" s="212"/>
      <c r="BCS107" s="212"/>
      <c r="BCT107" s="212"/>
      <c r="BCU107" s="212"/>
      <c r="BCV107" s="212"/>
      <c r="BCW107" s="212"/>
      <c r="BCX107" s="212"/>
      <c r="BCY107" s="212"/>
      <c r="BCZ107" s="212"/>
      <c r="BDA107" s="212"/>
      <c r="BDB107" s="212"/>
      <c r="BDC107" s="212"/>
      <c r="BDD107" s="212"/>
      <c r="BDE107" s="212"/>
      <c r="BDF107" s="212"/>
      <c r="BDG107" s="212"/>
      <c r="BDH107" s="212"/>
      <c r="BDI107" s="212"/>
      <c r="BDJ107" s="212"/>
      <c r="BDK107" s="212"/>
      <c r="BDL107" s="212"/>
      <c r="BDM107" s="212"/>
      <c r="BDN107" s="212"/>
      <c r="BDO107" s="212"/>
      <c r="BDP107" s="212"/>
      <c r="BDQ107" s="212"/>
      <c r="BDR107" s="212"/>
      <c r="BDS107" s="212"/>
      <c r="BDT107" s="212"/>
      <c r="BDU107" s="212"/>
      <c r="BDV107" s="212"/>
      <c r="BDW107" s="212"/>
      <c r="BDX107" s="212"/>
      <c r="BDY107" s="212"/>
      <c r="BDZ107" s="212"/>
      <c r="BEA107" s="212"/>
      <c r="BEB107" s="212"/>
      <c r="BEC107" s="212"/>
      <c r="BED107" s="212"/>
      <c r="BEE107" s="212"/>
      <c r="BEF107" s="212"/>
      <c r="BEG107" s="212"/>
      <c r="BEH107" s="212"/>
      <c r="BEI107" s="212"/>
      <c r="BEJ107" s="212"/>
      <c r="BEK107" s="212"/>
      <c r="BEL107" s="212"/>
      <c r="BEM107" s="212"/>
      <c r="BEN107" s="212"/>
      <c r="BEO107" s="212"/>
      <c r="BEP107" s="212"/>
      <c r="BEQ107" s="212"/>
      <c r="BER107" s="212"/>
      <c r="BES107" s="212"/>
      <c r="BET107" s="212"/>
      <c r="BEU107" s="212"/>
      <c r="BEV107" s="212"/>
      <c r="BEW107" s="212"/>
      <c r="BEX107" s="212"/>
      <c r="BEY107" s="212"/>
      <c r="BEZ107" s="212"/>
      <c r="BFA107" s="212"/>
      <c r="BFB107" s="212"/>
      <c r="BFC107" s="212"/>
      <c r="BFD107" s="212"/>
      <c r="BFE107" s="212"/>
      <c r="BFF107" s="212"/>
      <c r="BFG107" s="212"/>
      <c r="BFH107" s="212"/>
      <c r="BFI107" s="212"/>
      <c r="BFJ107" s="212"/>
      <c r="BFK107" s="212"/>
      <c r="BFL107" s="212"/>
      <c r="BFM107" s="212"/>
      <c r="BFN107" s="212"/>
      <c r="BFO107" s="212"/>
      <c r="BFP107" s="212"/>
      <c r="BFQ107" s="212"/>
      <c r="BFR107" s="212"/>
      <c r="BFS107" s="212"/>
      <c r="BFT107" s="212"/>
      <c r="BFU107" s="212"/>
      <c r="BFV107" s="212"/>
      <c r="BFW107" s="212"/>
      <c r="BFX107" s="212"/>
      <c r="BFY107" s="212"/>
      <c r="BFZ107" s="212"/>
      <c r="BGA107" s="212"/>
      <c r="BGB107" s="212"/>
      <c r="BGC107" s="212"/>
      <c r="BGD107" s="212"/>
      <c r="BGE107" s="212"/>
      <c r="BGF107" s="212"/>
      <c r="BGG107" s="212"/>
      <c r="BGH107" s="212"/>
      <c r="BGI107" s="212"/>
      <c r="BGJ107" s="212"/>
      <c r="BGK107" s="212"/>
      <c r="BGL107" s="212"/>
      <c r="BGM107" s="212"/>
      <c r="BGN107" s="212"/>
      <c r="BGO107" s="212"/>
      <c r="BGP107" s="212"/>
      <c r="BGQ107" s="212"/>
      <c r="BGR107" s="212"/>
      <c r="BGS107" s="212"/>
      <c r="BGT107" s="212"/>
      <c r="BGU107" s="212"/>
      <c r="BGV107" s="212"/>
      <c r="BGW107" s="212"/>
      <c r="BGX107" s="212"/>
      <c r="BGY107" s="212"/>
      <c r="BGZ107" s="212"/>
      <c r="BHA107" s="212"/>
      <c r="BHB107" s="212"/>
      <c r="BHC107" s="212"/>
      <c r="BHD107" s="212"/>
      <c r="BHE107" s="212"/>
      <c r="BHF107" s="212"/>
      <c r="BHG107" s="212"/>
      <c r="BHH107" s="212"/>
      <c r="BHI107" s="212"/>
      <c r="BHJ107" s="212"/>
      <c r="BHK107" s="212"/>
      <c r="BHL107" s="212"/>
      <c r="BHM107" s="212"/>
      <c r="BHN107" s="212"/>
      <c r="BHO107" s="212"/>
      <c r="BHP107" s="212"/>
      <c r="BHQ107" s="212"/>
      <c r="BHR107" s="212"/>
      <c r="BHS107" s="212"/>
      <c r="BHT107" s="212"/>
      <c r="BHU107" s="212"/>
      <c r="BHV107" s="212"/>
      <c r="BHW107" s="212"/>
      <c r="BHX107" s="212"/>
      <c r="BHY107" s="212"/>
      <c r="BHZ107" s="212"/>
      <c r="BIA107" s="212"/>
      <c r="BIB107" s="212"/>
      <c r="BIC107" s="212"/>
      <c r="BID107" s="212"/>
      <c r="BIE107" s="212"/>
      <c r="BIF107" s="212"/>
      <c r="BIG107" s="212"/>
      <c r="BIH107" s="212"/>
      <c r="BII107" s="212"/>
      <c r="BIJ107" s="212"/>
      <c r="BIK107" s="212"/>
      <c r="BIL107" s="212"/>
      <c r="BIM107" s="212"/>
      <c r="BIN107" s="212"/>
      <c r="BIO107" s="212"/>
      <c r="BIP107" s="212"/>
      <c r="BIQ107" s="212"/>
      <c r="BIR107" s="212"/>
      <c r="BIS107" s="212"/>
      <c r="BIT107" s="212"/>
      <c r="BIU107" s="212"/>
      <c r="BIV107" s="212"/>
      <c r="BIW107" s="212"/>
      <c r="BIX107" s="212"/>
      <c r="BIY107" s="212"/>
      <c r="BIZ107" s="212"/>
      <c r="BJA107" s="212"/>
      <c r="BJB107" s="212"/>
      <c r="BJC107" s="212"/>
      <c r="BJD107" s="212"/>
      <c r="BJE107" s="212"/>
      <c r="BJF107" s="212"/>
      <c r="BJG107" s="212"/>
      <c r="BJH107" s="212"/>
      <c r="BJI107" s="212"/>
      <c r="BJJ107" s="212"/>
      <c r="BJK107" s="212"/>
      <c r="BJL107" s="212"/>
      <c r="BJM107" s="212"/>
      <c r="BJN107" s="212"/>
      <c r="BJO107" s="212"/>
      <c r="BJP107" s="212"/>
      <c r="BJQ107" s="212"/>
      <c r="BJR107" s="212"/>
      <c r="BJS107" s="212"/>
      <c r="BJT107" s="212"/>
      <c r="BJU107" s="212"/>
      <c r="BJV107" s="212"/>
      <c r="BJW107" s="212"/>
      <c r="BJX107" s="212"/>
      <c r="BJY107" s="212"/>
      <c r="BJZ107" s="212"/>
      <c r="BKA107" s="212"/>
      <c r="BKB107" s="212"/>
      <c r="BKC107" s="212"/>
      <c r="BKD107" s="212"/>
      <c r="BKE107" s="212"/>
      <c r="BKF107" s="212"/>
      <c r="BKG107" s="212"/>
      <c r="BKH107" s="212"/>
      <c r="BKI107" s="212"/>
      <c r="BKJ107" s="212"/>
      <c r="BKK107" s="212"/>
      <c r="BKL107" s="212"/>
      <c r="BKM107" s="212"/>
      <c r="BKN107" s="212"/>
      <c r="BKO107" s="212"/>
      <c r="BKP107" s="212"/>
      <c r="BKQ107" s="212"/>
      <c r="BKR107" s="212"/>
      <c r="BKS107" s="212"/>
      <c r="BKT107" s="212"/>
      <c r="BKU107" s="212"/>
      <c r="BKV107" s="212"/>
      <c r="BKW107" s="212"/>
      <c r="BKX107" s="212"/>
      <c r="BKY107" s="212"/>
      <c r="BKZ107" s="212"/>
      <c r="BLA107" s="212"/>
      <c r="BLB107" s="212"/>
      <c r="BLC107" s="212"/>
      <c r="BLD107" s="212"/>
      <c r="BLE107" s="212"/>
      <c r="BLF107" s="212"/>
      <c r="BLG107" s="212"/>
      <c r="BLH107" s="212"/>
      <c r="BLI107" s="212"/>
      <c r="BLJ107" s="212"/>
      <c r="BLK107" s="212"/>
      <c r="BLL107" s="212"/>
      <c r="BLM107" s="212"/>
      <c r="BLN107" s="212"/>
      <c r="BLO107" s="212"/>
      <c r="BLP107" s="212"/>
      <c r="BLQ107" s="212"/>
      <c r="BLR107" s="212"/>
      <c r="BLS107" s="212"/>
      <c r="BLT107" s="212"/>
      <c r="BLU107" s="212"/>
      <c r="BLV107" s="212"/>
      <c r="BLW107" s="212"/>
      <c r="BLX107" s="212"/>
      <c r="BLY107" s="212"/>
      <c r="BLZ107" s="212"/>
      <c r="BMA107" s="212"/>
      <c r="BMB107" s="212"/>
      <c r="BMC107" s="212"/>
      <c r="BMD107" s="212"/>
      <c r="BME107" s="212"/>
      <c r="BMF107" s="212"/>
      <c r="BMG107" s="212"/>
      <c r="BMH107" s="212"/>
      <c r="BMI107" s="212"/>
      <c r="BMJ107" s="212"/>
      <c r="BMK107" s="212"/>
      <c r="BML107" s="212"/>
      <c r="BMM107" s="212"/>
      <c r="BMN107" s="212"/>
      <c r="BMO107" s="212"/>
      <c r="BMP107" s="212"/>
      <c r="BMQ107" s="212"/>
      <c r="BMR107" s="212"/>
      <c r="BMS107" s="212"/>
      <c r="BMT107" s="212"/>
      <c r="BMU107" s="212"/>
      <c r="BMV107" s="212"/>
      <c r="BMW107" s="212"/>
      <c r="BMX107" s="212"/>
      <c r="BMY107" s="212"/>
      <c r="BMZ107" s="212"/>
      <c r="BNA107" s="212"/>
      <c r="BNB107" s="212"/>
      <c r="BNC107" s="212"/>
      <c r="BND107" s="212"/>
      <c r="BNE107" s="212"/>
      <c r="BNF107" s="212"/>
      <c r="BNG107" s="212"/>
      <c r="BNH107" s="212"/>
      <c r="BNI107" s="212"/>
      <c r="BNJ107" s="212"/>
      <c r="BNK107" s="212"/>
      <c r="BNL107" s="212"/>
      <c r="BNM107" s="212"/>
      <c r="BNN107" s="212"/>
      <c r="BNO107" s="212"/>
      <c r="BNP107" s="212"/>
      <c r="BNQ107" s="212"/>
      <c r="BNR107" s="212"/>
      <c r="BNS107" s="212"/>
      <c r="BNT107" s="212"/>
      <c r="BNU107" s="212"/>
      <c r="BNV107" s="212"/>
      <c r="BNW107" s="212"/>
      <c r="BNX107" s="212"/>
      <c r="BNY107" s="212"/>
      <c r="BNZ107" s="212"/>
      <c r="BOA107" s="212"/>
      <c r="BOB107" s="212"/>
      <c r="BOC107" s="212"/>
      <c r="BOD107" s="212"/>
      <c r="BOE107" s="212"/>
      <c r="BOF107" s="212"/>
      <c r="BOG107" s="212"/>
      <c r="BOH107" s="212"/>
      <c r="BOI107" s="212"/>
      <c r="BOJ107" s="212"/>
      <c r="BOK107" s="212"/>
      <c r="BOL107" s="212"/>
      <c r="BOM107" s="212"/>
      <c r="BON107" s="212"/>
      <c r="BOO107" s="212"/>
      <c r="BOP107" s="212"/>
      <c r="BOQ107" s="212"/>
      <c r="BOR107" s="212"/>
      <c r="BOS107" s="212"/>
      <c r="BOT107" s="212"/>
      <c r="BOU107" s="212"/>
      <c r="BOV107" s="212"/>
      <c r="BOW107" s="212"/>
      <c r="BOX107" s="212"/>
      <c r="BOY107" s="212"/>
      <c r="BOZ107" s="212"/>
      <c r="BPA107" s="212"/>
      <c r="BPB107" s="212"/>
      <c r="BPC107" s="212"/>
      <c r="BPD107" s="212"/>
      <c r="BPE107" s="212"/>
      <c r="BPF107" s="212"/>
      <c r="BPG107" s="212"/>
      <c r="BPH107" s="212"/>
      <c r="BPI107" s="212"/>
      <c r="BPJ107" s="212"/>
      <c r="BPK107" s="212"/>
      <c r="BPL107" s="212"/>
      <c r="BPM107" s="212"/>
      <c r="BPN107" s="212"/>
      <c r="BPO107" s="212"/>
      <c r="BPP107" s="212"/>
      <c r="BPQ107" s="212"/>
      <c r="BPR107" s="212"/>
      <c r="BPS107" s="212"/>
      <c r="BPT107" s="212"/>
      <c r="BPU107" s="212"/>
      <c r="BPV107" s="212"/>
      <c r="BPW107" s="212"/>
      <c r="BPX107" s="212"/>
      <c r="BPY107" s="212"/>
      <c r="BPZ107" s="212"/>
      <c r="BQA107" s="212"/>
      <c r="BQB107" s="212"/>
      <c r="BQC107" s="212"/>
      <c r="BQD107" s="212"/>
      <c r="BQE107" s="212"/>
      <c r="BQF107" s="212"/>
      <c r="BQG107" s="212"/>
      <c r="BQH107" s="212"/>
      <c r="BQI107" s="212"/>
      <c r="BQJ107" s="212"/>
      <c r="BQK107" s="212"/>
      <c r="BQL107" s="212"/>
      <c r="BQM107" s="212"/>
      <c r="BQN107" s="212"/>
      <c r="BQO107" s="212"/>
      <c r="BQP107" s="212"/>
      <c r="BQQ107" s="212"/>
      <c r="BQR107" s="212"/>
      <c r="BQS107" s="212"/>
      <c r="BQT107" s="212"/>
      <c r="BQU107" s="212"/>
      <c r="BQV107" s="212"/>
      <c r="BQW107" s="212"/>
      <c r="BQX107" s="212"/>
      <c r="BQY107" s="212"/>
      <c r="BQZ107" s="212"/>
      <c r="BRA107" s="212"/>
      <c r="BRB107" s="212"/>
      <c r="BRC107" s="212"/>
      <c r="BRD107" s="212"/>
      <c r="BRE107" s="212"/>
      <c r="BRF107" s="212"/>
      <c r="BRG107" s="212"/>
      <c r="BRH107" s="212"/>
      <c r="BRI107" s="212"/>
      <c r="BRJ107" s="212"/>
      <c r="BRK107" s="212"/>
      <c r="BRL107" s="212"/>
      <c r="BRM107" s="212"/>
      <c r="BRN107" s="212"/>
      <c r="BRO107" s="212"/>
      <c r="BRP107" s="212"/>
      <c r="BRQ107" s="212"/>
      <c r="BRR107" s="212"/>
      <c r="BRS107" s="212"/>
      <c r="BRT107" s="212"/>
      <c r="BRU107" s="212"/>
      <c r="BRV107" s="212"/>
      <c r="BRW107" s="212"/>
      <c r="BRX107" s="212"/>
      <c r="BRY107" s="212"/>
      <c r="BRZ107" s="212"/>
      <c r="BSA107" s="212"/>
      <c r="BSB107" s="212"/>
      <c r="BSC107" s="212"/>
      <c r="BSD107" s="212"/>
      <c r="BSE107" s="212"/>
      <c r="BSF107" s="212"/>
      <c r="BSG107" s="212"/>
      <c r="BSH107" s="212"/>
      <c r="BSI107" s="212"/>
      <c r="BSJ107" s="212"/>
      <c r="BSK107" s="212"/>
      <c r="BSL107" s="212"/>
      <c r="BSM107" s="212"/>
      <c r="BSN107" s="212"/>
      <c r="BSO107" s="212"/>
      <c r="BSP107" s="212"/>
      <c r="BSQ107" s="212"/>
      <c r="BSR107" s="212"/>
      <c r="BSS107" s="212"/>
      <c r="BST107" s="212"/>
      <c r="BSU107" s="212"/>
      <c r="BSV107" s="212"/>
      <c r="BSW107" s="212"/>
      <c r="BSX107" s="212"/>
      <c r="BSY107" s="212"/>
      <c r="BSZ107" s="212"/>
      <c r="BTA107" s="212"/>
      <c r="BTB107" s="212"/>
      <c r="BTC107" s="212"/>
      <c r="BTD107" s="212"/>
      <c r="BTE107" s="212"/>
      <c r="BTF107" s="212"/>
      <c r="BTG107" s="212"/>
      <c r="BTH107" s="212"/>
      <c r="BTI107" s="212"/>
      <c r="BTJ107" s="212"/>
      <c r="BTK107" s="212"/>
      <c r="BTL107" s="212"/>
      <c r="BTM107" s="212"/>
      <c r="BTN107" s="212"/>
      <c r="BTO107" s="212"/>
      <c r="BTP107" s="212"/>
      <c r="BTQ107" s="212"/>
      <c r="BTR107" s="212"/>
      <c r="BTS107" s="212"/>
      <c r="BTT107" s="212"/>
      <c r="BTU107" s="212"/>
      <c r="BTV107" s="212"/>
      <c r="BTW107" s="212"/>
      <c r="BTX107" s="212"/>
      <c r="BTY107" s="212"/>
      <c r="BTZ107" s="212"/>
      <c r="BUA107" s="212"/>
      <c r="BUB107" s="212"/>
      <c r="BUC107" s="212"/>
      <c r="BUD107" s="212"/>
      <c r="BUE107" s="212"/>
      <c r="BUF107" s="212"/>
      <c r="BUG107" s="212"/>
      <c r="BUH107" s="212"/>
      <c r="BUI107" s="212"/>
      <c r="BUJ107" s="212"/>
      <c r="BUK107" s="212"/>
      <c r="BUL107" s="212"/>
      <c r="BUM107" s="212"/>
      <c r="BUN107" s="212"/>
      <c r="BUO107" s="212"/>
      <c r="BUP107" s="212"/>
      <c r="BUQ107" s="212"/>
      <c r="BUR107" s="212"/>
      <c r="BUS107" s="212"/>
      <c r="BUT107" s="212"/>
      <c r="BUU107" s="212"/>
      <c r="BUV107" s="212"/>
      <c r="BUW107" s="212"/>
      <c r="BUX107" s="212"/>
      <c r="BUY107" s="212"/>
      <c r="BUZ107" s="212"/>
      <c r="BVA107" s="212"/>
      <c r="BVB107" s="212"/>
      <c r="BVC107" s="212"/>
      <c r="BVD107" s="212"/>
      <c r="BVE107" s="212"/>
      <c r="BVF107" s="212"/>
      <c r="BVG107" s="212"/>
      <c r="BVH107" s="212"/>
      <c r="BVI107" s="212"/>
      <c r="BVJ107" s="212"/>
      <c r="BVK107" s="212"/>
      <c r="BVL107" s="212"/>
      <c r="BVM107" s="212"/>
      <c r="BVN107" s="212"/>
      <c r="BVO107" s="212"/>
      <c r="BVP107" s="212"/>
      <c r="BVQ107" s="212"/>
      <c r="BVR107" s="212"/>
      <c r="BVS107" s="212"/>
      <c r="BVT107" s="212"/>
      <c r="BVU107" s="212"/>
      <c r="BVV107" s="212"/>
      <c r="BVW107" s="212"/>
      <c r="BVX107" s="212"/>
      <c r="BVY107" s="212"/>
      <c r="BVZ107" s="212"/>
      <c r="BWA107" s="212"/>
      <c r="BWB107" s="212"/>
      <c r="BWC107" s="212"/>
      <c r="BWD107" s="212"/>
      <c r="BWE107" s="212"/>
      <c r="BWF107" s="212"/>
      <c r="BWG107" s="212"/>
      <c r="BWH107" s="212"/>
      <c r="BWI107" s="212"/>
      <c r="BWJ107" s="212"/>
      <c r="BWK107" s="212"/>
      <c r="BWL107" s="212"/>
      <c r="BWM107" s="212"/>
      <c r="BWN107" s="212"/>
      <c r="BWO107" s="212"/>
      <c r="BWP107" s="212"/>
      <c r="BWQ107" s="212"/>
      <c r="BWR107" s="212"/>
      <c r="BWS107" s="212"/>
      <c r="BWT107" s="212"/>
      <c r="BWU107" s="212"/>
      <c r="BWV107" s="212"/>
      <c r="BWW107" s="212"/>
      <c r="BWX107" s="212"/>
      <c r="BWY107" s="212"/>
      <c r="BWZ107" s="212"/>
      <c r="BXA107" s="212"/>
      <c r="BXB107" s="212"/>
      <c r="BXC107" s="212"/>
      <c r="BXD107" s="212"/>
      <c r="BXE107" s="212"/>
      <c r="BXF107" s="212"/>
      <c r="BXG107" s="212"/>
      <c r="BXH107" s="212"/>
      <c r="BXI107" s="212"/>
      <c r="BXJ107" s="212"/>
      <c r="BXK107" s="212"/>
      <c r="BXL107" s="212"/>
      <c r="BXM107" s="212"/>
      <c r="BXN107" s="212"/>
      <c r="BXO107" s="212"/>
      <c r="BXP107" s="212"/>
      <c r="BXQ107" s="212"/>
      <c r="BXR107" s="212"/>
      <c r="BXS107" s="212"/>
      <c r="BXT107" s="212"/>
      <c r="BXU107" s="212"/>
      <c r="BXV107" s="212"/>
      <c r="BXW107" s="212"/>
      <c r="BXX107" s="212"/>
      <c r="BXY107" s="212"/>
      <c r="BXZ107" s="212"/>
      <c r="BYA107" s="212"/>
      <c r="BYB107" s="212"/>
      <c r="BYC107" s="212"/>
      <c r="BYD107" s="212"/>
      <c r="BYE107" s="212"/>
      <c r="BYF107" s="212"/>
      <c r="BYG107" s="212"/>
      <c r="BYH107" s="212"/>
      <c r="BYI107" s="212"/>
      <c r="BYJ107" s="212"/>
      <c r="BYK107" s="212"/>
      <c r="BYL107" s="212"/>
      <c r="BYM107" s="212"/>
      <c r="BYN107" s="212"/>
      <c r="BYO107" s="212"/>
      <c r="BYP107" s="212"/>
      <c r="BYQ107" s="212"/>
      <c r="BYR107" s="212"/>
      <c r="BYS107" s="212"/>
      <c r="BYT107" s="212"/>
      <c r="BYU107" s="212"/>
      <c r="BYV107" s="212"/>
      <c r="BYW107" s="212"/>
      <c r="BYX107" s="212"/>
      <c r="BYY107" s="212"/>
      <c r="BYZ107" s="212"/>
      <c r="BZA107" s="212"/>
      <c r="BZB107" s="212"/>
      <c r="BZC107" s="212"/>
      <c r="BZD107" s="212"/>
      <c r="BZE107" s="212"/>
      <c r="BZF107" s="212"/>
      <c r="BZG107" s="212"/>
      <c r="BZH107" s="212"/>
      <c r="BZI107" s="212"/>
      <c r="BZJ107" s="212"/>
      <c r="BZK107" s="212"/>
      <c r="BZL107" s="212"/>
      <c r="BZM107" s="212"/>
      <c r="BZN107" s="212"/>
      <c r="BZO107" s="212"/>
      <c r="BZP107" s="212"/>
      <c r="BZQ107" s="212"/>
      <c r="BZR107" s="212"/>
      <c r="BZS107" s="212"/>
      <c r="BZT107" s="212"/>
      <c r="BZU107" s="212"/>
      <c r="BZV107" s="212"/>
      <c r="BZW107" s="212"/>
      <c r="BZX107" s="212"/>
      <c r="BZY107" s="212"/>
      <c r="BZZ107" s="212"/>
      <c r="CAA107" s="212"/>
      <c r="CAB107" s="212"/>
      <c r="CAC107" s="212"/>
      <c r="CAD107" s="212"/>
      <c r="CAE107" s="212"/>
      <c r="CAF107" s="212"/>
      <c r="CAG107" s="212"/>
      <c r="CAH107" s="212"/>
      <c r="CAI107" s="212"/>
      <c r="CAJ107" s="212"/>
      <c r="CAK107" s="212"/>
      <c r="CAL107" s="212"/>
      <c r="CAM107" s="212"/>
      <c r="CAN107" s="212"/>
      <c r="CAO107" s="212"/>
      <c r="CAP107" s="212"/>
      <c r="CAQ107" s="212"/>
      <c r="CAR107" s="212"/>
      <c r="CAS107" s="212"/>
      <c r="CAT107" s="212"/>
      <c r="CAU107" s="212"/>
      <c r="CAV107" s="212"/>
      <c r="CAW107" s="212"/>
      <c r="CAX107" s="212"/>
      <c r="CAY107" s="212"/>
      <c r="CAZ107" s="212"/>
      <c r="CBA107" s="212"/>
      <c r="CBB107" s="212"/>
      <c r="CBC107" s="212"/>
      <c r="CBD107" s="212"/>
      <c r="CBE107" s="212"/>
      <c r="CBF107" s="212"/>
      <c r="CBG107" s="212"/>
      <c r="CBH107" s="212"/>
      <c r="CBI107" s="212"/>
      <c r="CBJ107" s="212"/>
      <c r="CBK107" s="212"/>
      <c r="CBL107" s="212"/>
      <c r="CBM107" s="212"/>
      <c r="CBN107" s="212"/>
      <c r="CBO107" s="212"/>
      <c r="CBP107" s="212"/>
      <c r="CBQ107" s="212"/>
      <c r="CBR107" s="212"/>
      <c r="CBS107" s="212"/>
      <c r="CBT107" s="212"/>
      <c r="CBU107" s="212"/>
      <c r="CBV107" s="212"/>
      <c r="CBW107" s="212"/>
      <c r="CBX107" s="212"/>
      <c r="CBY107" s="212"/>
      <c r="CBZ107" s="212"/>
      <c r="CCA107" s="212"/>
      <c r="CCB107" s="212"/>
      <c r="CCC107" s="212"/>
      <c r="CCD107" s="212"/>
      <c r="CCE107" s="212"/>
      <c r="CCF107" s="212"/>
      <c r="CCG107" s="212"/>
      <c r="CCH107" s="212"/>
      <c r="CCI107" s="212"/>
      <c r="CCJ107" s="212"/>
      <c r="CCK107" s="212"/>
      <c r="CCL107" s="212"/>
      <c r="CCM107" s="212"/>
      <c r="CCN107" s="212"/>
      <c r="CCO107" s="212"/>
      <c r="CCP107" s="212"/>
      <c r="CCQ107" s="212"/>
      <c r="CCR107" s="212"/>
      <c r="CCS107" s="212"/>
      <c r="CCT107" s="212"/>
      <c r="CCU107" s="212"/>
      <c r="CCV107" s="212"/>
      <c r="CCW107" s="212"/>
      <c r="CCX107" s="212"/>
      <c r="CCY107" s="212"/>
      <c r="CCZ107" s="212"/>
      <c r="CDA107" s="212"/>
      <c r="CDB107" s="212"/>
      <c r="CDC107" s="212"/>
      <c r="CDD107" s="212"/>
      <c r="CDE107" s="212"/>
      <c r="CDF107" s="212"/>
      <c r="CDG107" s="212"/>
      <c r="CDH107" s="212"/>
      <c r="CDI107" s="212"/>
      <c r="CDJ107" s="212"/>
      <c r="CDK107" s="212"/>
      <c r="CDL107" s="212"/>
      <c r="CDM107" s="212"/>
      <c r="CDN107" s="212"/>
      <c r="CDO107" s="212"/>
      <c r="CDP107" s="212"/>
      <c r="CDQ107" s="212"/>
      <c r="CDR107" s="212"/>
      <c r="CDS107" s="212"/>
      <c r="CDT107" s="212"/>
      <c r="CDU107" s="212"/>
      <c r="CDV107" s="212"/>
      <c r="CDW107" s="212"/>
      <c r="CDX107" s="212"/>
      <c r="CDY107" s="212"/>
      <c r="CDZ107" s="212"/>
      <c r="CEA107" s="212"/>
      <c r="CEB107" s="212"/>
      <c r="CEC107" s="212"/>
      <c r="CED107" s="212"/>
      <c r="CEE107" s="212"/>
      <c r="CEF107" s="212"/>
      <c r="CEG107" s="212"/>
      <c r="CEH107" s="212"/>
      <c r="CEI107" s="212"/>
      <c r="CEJ107" s="212"/>
      <c r="CEK107" s="212"/>
      <c r="CEL107" s="212"/>
      <c r="CEM107" s="212"/>
      <c r="CEN107" s="212"/>
      <c r="CEO107" s="212"/>
      <c r="CEP107" s="212"/>
      <c r="CEQ107" s="212"/>
      <c r="CER107" s="212"/>
      <c r="CES107" s="212"/>
      <c r="CET107" s="212"/>
      <c r="CEU107" s="212"/>
      <c r="CEV107" s="212"/>
      <c r="CEW107" s="212"/>
      <c r="CEX107" s="212"/>
      <c r="CEY107" s="212"/>
      <c r="CEZ107" s="212"/>
      <c r="CFA107" s="212"/>
      <c r="CFB107" s="212"/>
      <c r="CFC107" s="212"/>
      <c r="CFD107" s="212"/>
      <c r="CFE107" s="212"/>
      <c r="CFF107" s="212"/>
      <c r="CFG107" s="212"/>
      <c r="CFH107" s="212"/>
      <c r="CFI107" s="212"/>
      <c r="CFJ107" s="212"/>
      <c r="CFK107" s="212"/>
      <c r="CFL107" s="212"/>
      <c r="CFM107" s="212"/>
      <c r="CFN107" s="212"/>
      <c r="CFO107" s="212"/>
      <c r="CFP107" s="212"/>
      <c r="CFQ107" s="212"/>
      <c r="CFR107" s="212"/>
      <c r="CFS107" s="212"/>
      <c r="CFT107" s="212"/>
      <c r="CFU107" s="212"/>
      <c r="CFV107" s="212"/>
      <c r="CFW107" s="212"/>
      <c r="CFX107" s="212"/>
      <c r="CFY107" s="212"/>
      <c r="CFZ107" s="212"/>
      <c r="CGA107" s="212"/>
      <c r="CGB107" s="212"/>
      <c r="CGC107" s="212"/>
      <c r="CGD107" s="212"/>
      <c r="CGE107" s="212"/>
      <c r="CGF107" s="212"/>
      <c r="CGG107" s="212"/>
      <c r="CGH107" s="212"/>
      <c r="CGI107" s="212"/>
      <c r="CGJ107" s="212"/>
      <c r="CGK107" s="212"/>
      <c r="CGL107" s="212"/>
      <c r="CGM107" s="212"/>
      <c r="CGN107" s="212"/>
      <c r="CGO107" s="212"/>
      <c r="CGP107" s="212"/>
      <c r="CGQ107" s="212"/>
      <c r="CGR107" s="212"/>
      <c r="CGS107" s="212"/>
      <c r="CGT107" s="212"/>
      <c r="CGU107" s="212"/>
      <c r="CGV107" s="212"/>
      <c r="CGW107" s="212"/>
      <c r="CGX107" s="212"/>
      <c r="CGY107" s="212"/>
      <c r="CGZ107" s="212"/>
      <c r="CHA107" s="212"/>
      <c r="CHB107" s="212"/>
      <c r="CHC107" s="212"/>
      <c r="CHD107" s="212"/>
      <c r="CHE107" s="212"/>
      <c r="CHF107" s="212"/>
      <c r="CHG107" s="212"/>
      <c r="CHH107" s="212"/>
      <c r="CHI107" s="212"/>
      <c r="CHJ107" s="212"/>
      <c r="CHK107" s="212"/>
      <c r="CHL107" s="212"/>
      <c r="CHM107" s="212"/>
      <c r="CHN107" s="212"/>
      <c r="CHO107" s="212"/>
      <c r="CHP107" s="212"/>
      <c r="CHQ107" s="212"/>
      <c r="CHR107" s="212"/>
      <c r="CHS107" s="212"/>
      <c r="CHT107" s="212"/>
      <c r="CHU107" s="212"/>
      <c r="CHV107" s="212"/>
      <c r="CHW107" s="212"/>
      <c r="CHX107" s="212"/>
      <c r="CHY107" s="212"/>
      <c r="CHZ107" s="212"/>
      <c r="CIA107" s="212"/>
      <c r="CIB107" s="212"/>
      <c r="CIC107" s="212"/>
      <c r="CID107" s="212"/>
      <c r="CIE107" s="212"/>
      <c r="CIF107" s="212"/>
      <c r="CIG107" s="212"/>
      <c r="CIH107" s="212"/>
      <c r="CII107" s="212"/>
      <c r="CIJ107" s="212"/>
      <c r="CIK107" s="212"/>
      <c r="CIL107" s="212"/>
      <c r="CIM107" s="212"/>
      <c r="CIN107" s="212"/>
      <c r="CIO107" s="212"/>
      <c r="CIP107" s="212"/>
      <c r="CIQ107" s="212"/>
      <c r="CIR107" s="212"/>
      <c r="CIS107" s="212"/>
      <c r="CIT107" s="212"/>
      <c r="CIU107" s="212"/>
      <c r="CIV107" s="212"/>
      <c r="CIW107" s="212"/>
      <c r="CIX107" s="212"/>
      <c r="CIY107" s="212"/>
      <c r="CIZ107" s="212"/>
      <c r="CJA107" s="212"/>
      <c r="CJB107" s="212"/>
      <c r="CJC107" s="212"/>
      <c r="CJD107" s="212"/>
      <c r="CJE107" s="212"/>
      <c r="CJF107" s="212"/>
      <c r="CJG107" s="212"/>
      <c r="CJH107" s="212"/>
      <c r="CJI107" s="212"/>
      <c r="CJJ107" s="212"/>
      <c r="CJK107" s="212"/>
      <c r="CJL107" s="212"/>
      <c r="CJM107" s="212"/>
      <c r="CJN107" s="212"/>
      <c r="CJO107" s="212"/>
      <c r="CJP107" s="212"/>
      <c r="CJQ107" s="212"/>
      <c r="CJR107" s="212"/>
      <c r="CJS107" s="212"/>
      <c r="CJT107" s="212"/>
      <c r="CJU107" s="212"/>
      <c r="CJV107" s="212"/>
      <c r="CJW107" s="212"/>
      <c r="CJX107" s="212"/>
      <c r="CJY107" s="212"/>
      <c r="CJZ107" s="212"/>
      <c r="CKA107" s="212"/>
      <c r="CKB107" s="212"/>
      <c r="CKC107" s="212"/>
      <c r="CKD107" s="212"/>
      <c r="CKE107" s="212"/>
      <c r="CKF107" s="212"/>
      <c r="CKG107" s="212"/>
      <c r="CKH107" s="212"/>
      <c r="CKI107" s="212"/>
      <c r="CKJ107" s="212"/>
      <c r="CKK107" s="212"/>
      <c r="CKL107" s="212"/>
      <c r="CKM107" s="212"/>
      <c r="CKN107" s="212"/>
      <c r="CKO107" s="212"/>
      <c r="CKP107" s="212"/>
      <c r="CKQ107" s="212"/>
      <c r="CKR107" s="212"/>
      <c r="CKS107" s="212"/>
      <c r="CKT107" s="212"/>
      <c r="CKU107" s="212"/>
      <c r="CKV107" s="212"/>
      <c r="CKW107" s="212"/>
      <c r="CKX107" s="212"/>
      <c r="CKY107" s="212"/>
      <c r="CKZ107" s="212"/>
      <c r="CLA107" s="212"/>
      <c r="CLB107" s="212"/>
      <c r="CLC107" s="212"/>
      <c r="CLD107" s="212"/>
      <c r="CLE107" s="212"/>
      <c r="CLF107" s="212"/>
      <c r="CLG107" s="212"/>
      <c r="CLH107" s="212"/>
      <c r="CLI107" s="212"/>
      <c r="CLJ107" s="212"/>
      <c r="CLK107" s="212"/>
      <c r="CLL107" s="212"/>
      <c r="CLM107" s="212"/>
      <c r="CLN107" s="212"/>
      <c r="CLO107" s="212"/>
      <c r="CLP107" s="212"/>
      <c r="CLQ107" s="212"/>
      <c r="CLR107" s="212"/>
      <c r="CLS107" s="212"/>
      <c r="CLT107" s="212"/>
      <c r="CLU107" s="212"/>
      <c r="CLV107" s="212"/>
      <c r="CLW107" s="212"/>
      <c r="CLX107" s="212"/>
      <c r="CLY107" s="212"/>
      <c r="CLZ107" s="212"/>
      <c r="CMA107" s="212"/>
      <c r="CMB107" s="212"/>
      <c r="CMC107" s="212"/>
      <c r="CMD107" s="212"/>
      <c r="CME107" s="212"/>
      <c r="CMF107" s="212"/>
      <c r="CMG107" s="212"/>
      <c r="CMH107" s="212"/>
      <c r="CMI107" s="212"/>
      <c r="CMJ107" s="212"/>
      <c r="CMK107" s="212"/>
      <c r="CML107" s="212"/>
      <c r="CMM107" s="212"/>
      <c r="CMN107" s="212"/>
      <c r="CMO107" s="212"/>
      <c r="CMP107" s="212"/>
      <c r="CMQ107" s="212"/>
      <c r="CMR107" s="212"/>
      <c r="CMS107" s="212"/>
      <c r="CMT107" s="212"/>
      <c r="CMU107" s="212"/>
      <c r="CMV107" s="212"/>
      <c r="CMW107" s="212"/>
      <c r="CMX107" s="212"/>
      <c r="CMY107" s="212"/>
      <c r="CMZ107" s="212"/>
      <c r="CNA107" s="212"/>
      <c r="CNB107" s="212"/>
      <c r="CNC107" s="212"/>
      <c r="CND107" s="212"/>
      <c r="CNE107" s="212"/>
      <c r="CNF107" s="212"/>
      <c r="CNG107" s="212"/>
      <c r="CNH107" s="212"/>
      <c r="CNI107" s="212"/>
      <c r="CNJ107" s="212"/>
      <c r="CNK107" s="212"/>
      <c r="CNL107" s="212"/>
      <c r="CNM107" s="212"/>
      <c r="CNN107" s="212"/>
      <c r="CNO107" s="212"/>
      <c r="CNP107" s="212"/>
      <c r="CNQ107" s="212"/>
      <c r="CNR107" s="212"/>
      <c r="CNS107" s="212"/>
      <c r="CNT107" s="212"/>
      <c r="CNU107" s="212"/>
      <c r="CNV107" s="212"/>
      <c r="CNW107" s="212"/>
      <c r="CNX107" s="212"/>
      <c r="CNY107" s="212"/>
      <c r="CNZ107" s="212"/>
      <c r="COA107" s="212"/>
      <c r="COB107" s="212"/>
      <c r="COC107" s="212"/>
      <c r="COD107" s="212"/>
      <c r="COE107" s="212"/>
      <c r="COF107" s="212"/>
      <c r="COG107" s="212"/>
      <c r="COH107" s="212"/>
      <c r="COI107" s="212"/>
      <c r="COJ107" s="212"/>
      <c r="COK107" s="212"/>
      <c r="COL107" s="212"/>
      <c r="COM107" s="212"/>
      <c r="CON107" s="212"/>
      <c r="COO107" s="212"/>
      <c r="COP107" s="212"/>
      <c r="COQ107" s="212"/>
      <c r="COR107" s="212"/>
      <c r="COS107" s="212"/>
      <c r="COT107" s="212"/>
      <c r="COU107" s="212"/>
      <c r="COV107" s="212"/>
      <c r="COW107" s="212"/>
      <c r="COX107" s="212"/>
      <c r="COY107" s="212"/>
      <c r="COZ107" s="212"/>
      <c r="CPA107" s="212"/>
      <c r="CPB107" s="212"/>
      <c r="CPC107" s="212"/>
      <c r="CPD107" s="212"/>
      <c r="CPE107" s="212"/>
      <c r="CPF107" s="212"/>
      <c r="CPG107" s="212"/>
      <c r="CPH107" s="212"/>
      <c r="CPI107" s="212"/>
      <c r="CPJ107" s="212"/>
      <c r="CPK107" s="212"/>
      <c r="CPL107" s="212"/>
      <c r="CPM107" s="212"/>
      <c r="CPN107" s="212"/>
      <c r="CPO107" s="212"/>
      <c r="CPP107" s="212"/>
      <c r="CPQ107" s="212"/>
      <c r="CPR107" s="212"/>
      <c r="CPS107" s="212"/>
      <c r="CPT107" s="212"/>
      <c r="CPU107" s="212"/>
      <c r="CPV107" s="212"/>
      <c r="CPW107" s="212"/>
      <c r="CPX107" s="212"/>
      <c r="CPY107" s="212"/>
      <c r="CPZ107" s="212"/>
      <c r="CQA107" s="212"/>
      <c r="CQB107" s="212"/>
      <c r="CQC107" s="212"/>
      <c r="CQD107" s="212"/>
      <c r="CQE107" s="212"/>
      <c r="CQF107" s="212"/>
      <c r="CQG107" s="212"/>
      <c r="CQH107" s="212"/>
      <c r="CQI107" s="212"/>
      <c r="CQJ107" s="212"/>
      <c r="CQK107" s="212"/>
      <c r="CQL107" s="212"/>
      <c r="CQM107" s="212"/>
      <c r="CQN107" s="212"/>
      <c r="CQO107" s="212"/>
      <c r="CQP107" s="212"/>
      <c r="CQQ107" s="212"/>
      <c r="CQR107" s="212"/>
      <c r="CQS107" s="212"/>
      <c r="CQT107" s="212"/>
      <c r="CQU107" s="212"/>
      <c r="CQV107" s="212"/>
      <c r="CQW107" s="212"/>
      <c r="CQX107" s="212"/>
      <c r="CQY107" s="212"/>
      <c r="CQZ107" s="212"/>
      <c r="CRA107" s="212"/>
      <c r="CRB107" s="212"/>
      <c r="CRC107" s="212"/>
      <c r="CRD107" s="212"/>
      <c r="CRE107" s="212"/>
      <c r="CRF107" s="212"/>
      <c r="CRG107" s="212"/>
      <c r="CRH107" s="212"/>
      <c r="CRI107" s="212"/>
      <c r="CRJ107" s="212"/>
      <c r="CRK107" s="212"/>
      <c r="CRL107" s="212"/>
      <c r="CRM107" s="212"/>
      <c r="CRN107" s="212"/>
      <c r="CRO107" s="212"/>
      <c r="CRP107" s="212"/>
      <c r="CRQ107" s="212"/>
      <c r="CRR107" s="212"/>
      <c r="CRS107" s="212"/>
      <c r="CRT107" s="212"/>
      <c r="CRU107" s="212"/>
      <c r="CRV107" s="212"/>
      <c r="CRW107" s="212"/>
      <c r="CRX107" s="212"/>
      <c r="CRY107" s="212"/>
      <c r="CRZ107" s="212"/>
      <c r="CSA107" s="212"/>
      <c r="CSB107" s="212"/>
      <c r="CSC107" s="212"/>
      <c r="CSD107" s="212"/>
      <c r="CSE107" s="212"/>
      <c r="CSF107" s="212"/>
      <c r="CSG107" s="212"/>
      <c r="CSH107" s="212"/>
      <c r="CSI107" s="212"/>
      <c r="CSJ107" s="212"/>
      <c r="CSK107" s="212"/>
      <c r="CSL107" s="212"/>
      <c r="CSM107" s="212"/>
      <c r="CSN107" s="212"/>
      <c r="CSO107" s="212"/>
      <c r="CSP107" s="212"/>
      <c r="CSQ107" s="212"/>
      <c r="CSR107" s="212"/>
      <c r="CSS107" s="212"/>
      <c r="CST107" s="212"/>
      <c r="CSU107" s="212"/>
      <c r="CSV107" s="212"/>
      <c r="CSW107" s="212"/>
      <c r="CSX107" s="212"/>
      <c r="CSY107" s="212"/>
      <c r="CSZ107" s="212"/>
      <c r="CTA107" s="212"/>
      <c r="CTB107" s="212"/>
      <c r="CTC107" s="212"/>
      <c r="CTD107" s="212"/>
      <c r="CTE107" s="212"/>
      <c r="CTF107" s="212"/>
      <c r="CTG107" s="212"/>
      <c r="CTH107" s="212"/>
      <c r="CTI107" s="212"/>
      <c r="CTJ107" s="212"/>
      <c r="CTK107" s="212"/>
      <c r="CTL107" s="212"/>
      <c r="CTM107" s="212"/>
      <c r="CTN107" s="212"/>
      <c r="CTO107" s="212"/>
      <c r="CTP107" s="212"/>
      <c r="CTQ107" s="212"/>
      <c r="CTR107" s="212"/>
      <c r="CTS107" s="212"/>
      <c r="CTT107" s="212"/>
      <c r="CTU107" s="212"/>
      <c r="CTV107" s="212"/>
      <c r="CTW107" s="212"/>
      <c r="CTX107" s="212"/>
      <c r="CTY107" s="212"/>
      <c r="CTZ107" s="212"/>
      <c r="CUA107" s="212"/>
      <c r="CUB107" s="212"/>
      <c r="CUC107" s="212"/>
      <c r="CUD107" s="212"/>
      <c r="CUE107" s="212"/>
      <c r="CUF107" s="212"/>
      <c r="CUG107" s="212"/>
      <c r="CUH107" s="212"/>
      <c r="CUI107" s="212"/>
      <c r="CUJ107" s="212"/>
      <c r="CUK107" s="212"/>
      <c r="CUL107" s="212"/>
      <c r="CUM107" s="212"/>
      <c r="CUN107" s="212"/>
      <c r="CUO107" s="212"/>
      <c r="CUP107" s="212"/>
      <c r="CUQ107" s="212"/>
      <c r="CUR107" s="212"/>
      <c r="CUS107" s="212"/>
      <c r="CUT107" s="212"/>
      <c r="CUU107" s="212"/>
      <c r="CUV107" s="212"/>
      <c r="CUW107" s="212"/>
      <c r="CUX107" s="212"/>
      <c r="CUY107" s="212"/>
      <c r="CUZ107" s="212"/>
      <c r="CVA107" s="212"/>
      <c r="CVB107" s="212"/>
      <c r="CVC107" s="212"/>
      <c r="CVD107" s="212"/>
      <c r="CVE107" s="212"/>
      <c r="CVF107" s="212"/>
      <c r="CVG107" s="212"/>
      <c r="CVH107" s="212"/>
      <c r="CVI107" s="212"/>
      <c r="CVJ107" s="212"/>
      <c r="CVK107" s="212"/>
      <c r="CVL107" s="212"/>
      <c r="CVM107" s="212"/>
      <c r="CVN107" s="212"/>
      <c r="CVO107" s="212"/>
      <c r="CVP107" s="212"/>
      <c r="CVQ107" s="212"/>
      <c r="CVR107" s="212"/>
      <c r="CVS107" s="212"/>
      <c r="CVT107" s="212"/>
      <c r="CVU107" s="212"/>
      <c r="CVV107" s="212"/>
      <c r="CVW107" s="212"/>
      <c r="CVX107" s="212"/>
      <c r="CVY107" s="212"/>
      <c r="CVZ107" s="212"/>
      <c r="CWA107" s="212"/>
      <c r="CWB107" s="212"/>
      <c r="CWC107" s="212"/>
      <c r="CWD107" s="212"/>
      <c r="CWE107" s="212"/>
      <c r="CWF107" s="212"/>
      <c r="CWG107" s="212"/>
      <c r="CWH107" s="212"/>
      <c r="CWI107" s="212"/>
      <c r="CWJ107" s="212"/>
      <c r="CWK107" s="212"/>
      <c r="CWL107" s="212"/>
      <c r="CWM107" s="212"/>
      <c r="CWN107" s="212"/>
      <c r="CWO107" s="212"/>
      <c r="CWP107" s="212"/>
      <c r="CWQ107" s="212"/>
      <c r="CWR107" s="212"/>
      <c r="CWS107" s="212"/>
      <c r="CWT107" s="212"/>
      <c r="CWU107" s="212"/>
      <c r="CWV107" s="212"/>
      <c r="CWW107" s="212"/>
      <c r="CWX107" s="212"/>
      <c r="CWY107" s="212"/>
      <c r="CWZ107" s="212"/>
      <c r="CXA107" s="212"/>
      <c r="CXB107" s="212"/>
      <c r="CXC107" s="212"/>
      <c r="CXD107" s="212"/>
      <c r="CXE107" s="212"/>
      <c r="CXF107" s="212"/>
      <c r="CXG107" s="212"/>
      <c r="CXH107" s="212"/>
      <c r="CXI107" s="212"/>
      <c r="CXJ107" s="212"/>
      <c r="CXK107" s="212"/>
      <c r="CXL107" s="212"/>
      <c r="CXM107" s="212"/>
      <c r="CXN107" s="212"/>
      <c r="CXO107" s="212"/>
      <c r="CXP107" s="212"/>
      <c r="CXQ107" s="212"/>
      <c r="CXR107" s="212"/>
      <c r="CXS107" s="212"/>
      <c r="CXT107" s="212"/>
      <c r="CXU107" s="212"/>
      <c r="CXV107" s="212"/>
      <c r="CXW107" s="212"/>
      <c r="CXX107" s="212"/>
      <c r="CXY107" s="212"/>
      <c r="CXZ107" s="212"/>
      <c r="CYA107" s="212"/>
      <c r="CYB107" s="212"/>
      <c r="CYC107" s="212"/>
      <c r="CYD107" s="212"/>
      <c r="CYE107" s="212"/>
      <c r="CYF107" s="212"/>
      <c r="CYG107" s="212"/>
      <c r="CYH107" s="212"/>
      <c r="CYI107" s="212"/>
      <c r="CYJ107" s="212"/>
      <c r="CYK107" s="212"/>
      <c r="CYL107" s="212"/>
      <c r="CYM107" s="212"/>
      <c r="CYN107" s="212"/>
      <c r="CYO107" s="212"/>
      <c r="CYP107" s="212"/>
      <c r="CYQ107" s="212"/>
      <c r="CYR107" s="212"/>
      <c r="CYS107" s="212"/>
      <c r="CYT107" s="212"/>
      <c r="CYU107" s="212"/>
      <c r="CYV107" s="212"/>
      <c r="CYW107" s="212"/>
      <c r="CYX107" s="212"/>
      <c r="CYY107" s="212"/>
      <c r="CYZ107" s="212"/>
      <c r="CZA107" s="212"/>
      <c r="CZB107" s="212"/>
      <c r="CZC107" s="212"/>
      <c r="CZD107" s="212"/>
      <c r="CZE107" s="212"/>
      <c r="CZF107" s="212"/>
      <c r="CZG107" s="212"/>
      <c r="CZH107" s="212"/>
      <c r="CZI107" s="212"/>
      <c r="CZJ107" s="212"/>
      <c r="CZK107" s="212"/>
      <c r="CZL107" s="212"/>
      <c r="CZM107" s="212"/>
      <c r="CZN107" s="212"/>
      <c r="CZO107" s="212"/>
      <c r="CZP107" s="212"/>
      <c r="CZQ107" s="212"/>
      <c r="CZR107" s="212"/>
      <c r="CZS107" s="212"/>
      <c r="CZT107" s="212"/>
      <c r="CZU107" s="212"/>
      <c r="CZV107" s="212"/>
      <c r="CZW107" s="212"/>
      <c r="CZX107" s="212"/>
      <c r="CZY107" s="212"/>
      <c r="CZZ107" s="212"/>
      <c r="DAA107" s="212"/>
      <c r="DAB107" s="212"/>
      <c r="DAC107" s="212"/>
      <c r="DAD107" s="212"/>
      <c r="DAE107" s="212"/>
      <c r="DAF107" s="212"/>
      <c r="DAG107" s="212"/>
      <c r="DAH107" s="212"/>
      <c r="DAI107" s="212"/>
      <c r="DAJ107" s="212"/>
      <c r="DAK107" s="212"/>
      <c r="DAL107" s="212"/>
      <c r="DAM107" s="212"/>
      <c r="DAN107" s="212"/>
      <c r="DAO107" s="212"/>
      <c r="DAP107" s="212"/>
      <c r="DAQ107" s="212"/>
      <c r="DAR107" s="212"/>
      <c r="DAS107" s="212"/>
      <c r="DAT107" s="212"/>
      <c r="DAU107" s="212"/>
      <c r="DAV107" s="212"/>
      <c r="DAW107" s="212"/>
      <c r="DAX107" s="212"/>
      <c r="DAY107" s="212"/>
      <c r="DAZ107" s="212"/>
      <c r="DBA107" s="212"/>
      <c r="DBB107" s="212"/>
      <c r="DBC107" s="212"/>
      <c r="DBD107" s="212"/>
      <c r="DBE107" s="212"/>
      <c r="DBF107" s="212"/>
      <c r="DBG107" s="212"/>
      <c r="DBH107" s="212"/>
      <c r="DBI107" s="212"/>
      <c r="DBJ107" s="212"/>
      <c r="DBK107" s="212"/>
      <c r="DBL107" s="212"/>
      <c r="DBM107" s="212"/>
      <c r="DBN107" s="212"/>
      <c r="DBO107" s="212"/>
      <c r="DBP107" s="212"/>
      <c r="DBQ107" s="212"/>
      <c r="DBR107" s="212"/>
      <c r="DBS107" s="212"/>
      <c r="DBT107" s="212"/>
      <c r="DBU107" s="212"/>
      <c r="DBV107" s="212"/>
      <c r="DBW107" s="212"/>
      <c r="DBX107" s="212"/>
      <c r="DBY107" s="212"/>
      <c r="DBZ107" s="212"/>
      <c r="DCA107" s="212"/>
      <c r="DCB107" s="212"/>
      <c r="DCC107" s="212"/>
      <c r="DCD107" s="212"/>
      <c r="DCE107" s="212"/>
      <c r="DCF107" s="212"/>
      <c r="DCG107" s="212"/>
      <c r="DCH107" s="212"/>
      <c r="DCI107" s="212"/>
      <c r="DCJ107" s="212"/>
      <c r="DCK107" s="212"/>
      <c r="DCL107" s="212"/>
      <c r="DCM107" s="212"/>
      <c r="DCN107" s="212"/>
      <c r="DCO107" s="212"/>
      <c r="DCP107" s="212"/>
      <c r="DCQ107" s="212"/>
      <c r="DCR107" s="212"/>
      <c r="DCS107" s="212"/>
      <c r="DCT107" s="212"/>
      <c r="DCU107" s="212"/>
      <c r="DCV107" s="212"/>
      <c r="DCW107" s="212"/>
      <c r="DCX107" s="212"/>
      <c r="DCY107" s="212"/>
      <c r="DCZ107" s="212"/>
      <c r="DDA107" s="212"/>
      <c r="DDB107" s="212"/>
      <c r="DDC107" s="212"/>
      <c r="DDD107" s="212"/>
      <c r="DDE107" s="212"/>
      <c r="DDF107" s="212"/>
      <c r="DDG107" s="212"/>
      <c r="DDH107" s="212"/>
      <c r="DDI107" s="212"/>
      <c r="DDJ107" s="212"/>
      <c r="DDK107" s="212"/>
      <c r="DDL107" s="212"/>
      <c r="DDM107" s="212"/>
      <c r="DDN107" s="212"/>
      <c r="DDO107" s="212"/>
      <c r="DDP107" s="212"/>
      <c r="DDQ107" s="212"/>
      <c r="DDR107" s="212"/>
      <c r="DDS107" s="212"/>
      <c r="DDT107" s="212"/>
      <c r="DDU107" s="212"/>
      <c r="DDV107" s="212"/>
      <c r="DDW107" s="212"/>
      <c r="DDX107" s="212"/>
      <c r="DDY107" s="212"/>
      <c r="DDZ107" s="212"/>
      <c r="DEA107" s="212"/>
      <c r="DEB107" s="212"/>
      <c r="DEC107" s="212"/>
      <c r="DED107" s="212"/>
      <c r="DEE107" s="212"/>
      <c r="DEF107" s="212"/>
      <c r="DEG107" s="212"/>
      <c r="DEH107" s="212"/>
      <c r="DEI107" s="212"/>
      <c r="DEJ107" s="212"/>
      <c r="DEK107" s="212"/>
      <c r="DEL107" s="212"/>
      <c r="DEM107" s="212"/>
      <c r="DEN107" s="212"/>
      <c r="DEO107" s="212"/>
      <c r="DEP107" s="212"/>
      <c r="DEQ107" s="212"/>
      <c r="DER107" s="212"/>
      <c r="DES107" s="212"/>
      <c r="DET107" s="212"/>
      <c r="DEU107" s="212"/>
      <c r="DEV107" s="212"/>
      <c r="DEW107" s="212"/>
      <c r="DEX107" s="212"/>
      <c r="DEY107" s="212"/>
      <c r="DEZ107" s="212"/>
      <c r="DFA107" s="212"/>
      <c r="DFB107" s="212"/>
      <c r="DFC107" s="212"/>
      <c r="DFD107" s="212"/>
      <c r="DFE107" s="212"/>
      <c r="DFF107" s="212"/>
      <c r="DFG107" s="212"/>
      <c r="DFH107" s="212"/>
      <c r="DFI107" s="212"/>
      <c r="DFJ107" s="212"/>
      <c r="DFK107" s="212"/>
      <c r="DFL107" s="212"/>
      <c r="DFM107" s="212"/>
      <c r="DFN107" s="212"/>
      <c r="DFO107" s="212"/>
      <c r="DFP107" s="212"/>
      <c r="DFQ107" s="212"/>
      <c r="DFR107" s="212"/>
      <c r="DFS107" s="212"/>
      <c r="DFT107" s="212"/>
      <c r="DFU107" s="212"/>
      <c r="DFV107" s="212"/>
      <c r="DFW107" s="212"/>
      <c r="DFX107" s="212"/>
      <c r="DFY107" s="212"/>
      <c r="DFZ107" s="212"/>
      <c r="DGA107" s="212"/>
      <c r="DGB107" s="212"/>
      <c r="DGC107" s="212"/>
      <c r="DGD107" s="212"/>
      <c r="DGE107" s="212"/>
      <c r="DGF107" s="212"/>
      <c r="DGG107" s="212"/>
      <c r="DGH107" s="212"/>
      <c r="DGI107" s="212"/>
      <c r="DGJ107" s="212"/>
      <c r="DGK107" s="212"/>
      <c r="DGL107" s="212"/>
      <c r="DGM107" s="212"/>
      <c r="DGN107" s="212"/>
      <c r="DGO107" s="212"/>
      <c r="DGP107" s="212"/>
      <c r="DGQ107" s="212"/>
      <c r="DGR107" s="212"/>
      <c r="DGS107" s="212"/>
      <c r="DGT107" s="212"/>
      <c r="DGU107" s="212"/>
      <c r="DGV107" s="212"/>
      <c r="DGW107" s="212"/>
      <c r="DGX107" s="212"/>
      <c r="DGY107" s="212"/>
      <c r="DGZ107" s="212"/>
      <c r="DHA107" s="212"/>
      <c r="DHB107" s="212"/>
      <c r="DHC107" s="212"/>
      <c r="DHD107" s="212"/>
      <c r="DHE107" s="212"/>
      <c r="DHF107" s="212"/>
      <c r="DHG107" s="212"/>
      <c r="DHH107" s="212"/>
      <c r="DHI107" s="212"/>
      <c r="DHJ107" s="212"/>
      <c r="DHK107" s="212"/>
      <c r="DHL107" s="212"/>
      <c r="DHM107" s="212"/>
      <c r="DHN107" s="212"/>
      <c r="DHO107" s="212"/>
      <c r="DHP107" s="212"/>
      <c r="DHQ107" s="212"/>
      <c r="DHR107" s="212"/>
      <c r="DHS107" s="212"/>
      <c r="DHT107" s="212"/>
      <c r="DHU107" s="212"/>
      <c r="DHV107" s="212"/>
      <c r="DHW107" s="212"/>
      <c r="DHX107" s="212"/>
      <c r="DHY107" s="212"/>
      <c r="DHZ107" s="212"/>
      <c r="DIA107" s="212"/>
      <c r="DIB107" s="212"/>
      <c r="DIC107" s="212"/>
      <c r="DID107" s="212"/>
      <c r="DIE107" s="212"/>
      <c r="DIF107" s="212"/>
      <c r="DIG107" s="212"/>
      <c r="DIH107" s="212"/>
      <c r="DII107" s="212"/>
      <c r="DIJ107" s="212"/>
      <c r="DIK107" s="212"/>
      <c r="DIL107" s="212"/>
      <c r="DIM107" s="212"/>
      <c r="DIN107" s="212"/>
      <c r="DIO107" s="212"/>
      <c r="DIP107" s="212"/>
      <c r="DIQ107" s="212"/>
      <c r="DIR107" s="212"/>
      <c r="DIS107" s="212"/>
      <c r="DIT107" s="212"/>
      <c r="DIU107" s="212"/>
      <c r="DIV107" s="212"/>
      <c r="DIW107" s="212"/>
      <c r="DIX107" s="212"/>
      <c r="DIY107" s="212"/>
      <c r="DIZ107" s="212"/>
      <c r="DJA107" s="212"/>
      <c r="DJB107" s="212"/>
      <c r="DJC107" s="212"/>
      <c r="DJD107" s="212"/>
      <c r="DJE107" s="212"/>
      <c r="DJF107" s="212"/>
      <c r="DJG107" s="212"/>
      <c r="DJH107" s="212"/>
      <c r="DJI107" s="212"/>
      <c r="DJJ107" s="212"/>
      <c r="DJK107" s="212"/>
      <c r="DJL107" s="212"/>
      <c r="DJM107" s="212"/>
      <c r="DJN107" s="212"/>
      <c r="DJO107" s="212"/>
      <c r="DJP107" s="212"/>
      <c r="DJQ107" s="212"/>
      <c r="DJR107" s="212"/>
      <c r="DJS107" s="212"/>
      <c r="DJT107" s="212"/>
      <c r="DJU107" s="212"/>
      <c r="DJV107" s="212"/>
      <c r="DJW107" s="212"/>
      <c r="DJX107" s="212"/>
      <c r="DJY107" s="212"/>
      <c r="DJZ107" s="212"/>
      <c r="DKA107" s="212"/>
      <c r="DKB107" s="212"/>
      <c r="DKC107" s="212"/>
      <c r="DKD107" s="212"/>
      <c r="DKE107" s="212"/>
      <c r="DKF107" s="212"/>
      <c r="DKG107" s="212"/>
      <c r="DKH107" s="212"/>
      <c r="DKI107" s="212"/>
      <c r="DKJ107" s="212"/>
      <c r="DKK107" s="212"/>
      <c r="DKL107" s="212"/>
      <c r="DKM107" s="212"/>
      <c r="DKN107" s="212"/>
      <c r="DKO107" s="212"/>
      <c r="DKP107" s="212"/>
      <c r="DKQ107" s="212"/>
      <c r="DKR107" s="212"/>
      <c r="DKS107" s="212"/>
      <c r="DKT107" s="212"/>
      <c r="DKU107" s="212"/>
      <c r="DKV107" s="212"/>
      <c r="DKW107" s="212"/>
      <c r="DKX107" s="212"/>
      <c r="DKY107" s="212"/>
      <c r="DKZ107" s="212"/>
      <c r="DLA107" s="212"/>
      <c r="DLB107" s="212"/>
      <c r="DLC107" s="212"/>
      <c r="DLD107" s="212"/>
      <c r="DLE107" s="212"/>
      <c r="DLF107" s="212"/>
      <c r="DLG107" s="212"/>
      <c r="DLH107" s="212"/>
      <c r="DLI107" s="212"/>
      <c r="DLJ107" s="212"/>
      <c r="DLK107" s="212"/>
      <c r="DLL107" s="212"/>
      <c r="DLM107" s="212"/>
      <c r="DLN107" s="212"/>
      <c r="DLO107" s="212"/>
      <c r="DLP107" s="212"/>
      <c r="DLQ107" s="212"/>
      <c r="DLR107" s="212"/>
      <c r="DLS107" s="212"/>
      <c r="DLT107" s="212"/>
      <c r="DLU107" s="212"/>
      <c r="DLV107" s="212"/>
      <c r="DLW107" s="212"/>
      <c r="DLX107" s="212"/>
      <c r="DLY107" s="212"/>
      <c r="DLZ107" s="212"/>
      <c r="DMA107" s="212"/>
      <c r="DMB107" s="212"/>
      <c r="DMC107" s="212"/>
      <c r="DMD107" s="212"/>
      <c r="DME107" s="212"/>
      <c r="DMF107" s="212"/>
      <c r="DMG107" s="212"/>
      <c r="DMH107" s="212"/>
      <c r="DMI107" s="212"/>
      <c r="DMJ107" s="212"/>
      <c r="DMK107" s="212"/>
      <c r="DML107" s="212"/>
      <c r="DMM107" s="212"/>
      <c r="DMN107" s="212"/>
      <c r="DMO107" s="212"/>
      <c r="DMP107" s="212"/>
      <c r="DMQ107" s="212"/>
      <c r="DMR107" s="212"/>
      <c r="DMS107" s="212"/>
      <c r="DMT107" s="212"/>
      <c r="DMU107" s="212"/>
      <c r="DMV107" s="212"/>
      <c r="DMW107" s="212"/>
      <c r="DMX107" s="212"/>
      <c r="DMY107" s="212"/>
      <c r="DMZ107" s="212"/>
      <c r="DNA107" s="212"/>
      <c r="DNB107" s="212"/>
      <c r="DNC107" s="212"/>
      <c r="DND107" s="212"/>
      <c r="DNE107" s="212"/>
      <c r="DNF107" s="212"/>
      <c r="DNG107" s="212"/>
      <c r="DNH107" s="212"/>
      <c r="DNI107" s="212"/>
      <c r="DNJ107" s="212"/>
      <c r="DNK107" s="212"/>
      <c r="DNL107" s="212"/>
      <c r="DNM107" s="212"/>
      <c r="DNN107" s="212"/>
      <c r="DNO107" s="212"/>
      <c r="DNP107" s="212"/>
      <c r="DNQ107" s="212"/>
      <c r="DNR107" s="212"/>
      <c r="DNS107" s="212"/>
      <c r="DNT107" s="212"/>
      <c r="DNU107" s="212"/>
      <c r="DNV107" s="212"/>
      <c r="DNW107" s="212"/>
      <c r="DNX107" s="212"/>
      <c r="DNY107" s="212"/>
      <c r="DNZ107" s="212"/>
      <c r="DOA107" s="212"/>
      <c r="DOB107" s="212"/>
      <c r="DOC107" s="212"/>
      <c r="DOD107" s="212"/>
      <c r="DOE107" s="212"/>
      <c r="DOF107" s="212"/>
      <c r="DOG107" s="212"/>
      <c r="DOH107" s="212"/>
      <c r="DOI107" s="212"/>
      <c r="DOJ107" s="212"/>
      <c r="DOK107" s="212"/>
      <c r="DOL107" s="212"/>
      <c r="DOM107" s="212"/>
      <c r="DON107" s="212"/>
      <c r="DOO107" s="212"/>
      <c r="DOP107" s="212"/>
      <c r="DOQ107" s="212"/>
      <c r="DOR107" s="212"/>
      <c r="DOS107" s="212"/>
      <c r="DOT107" s="212"/>
      <c r="DOU107" s="212"/>
      <c r="DOV107" s="212"/>
      <c r="DOW107" s="212"/>
      <c r="DOX107" s="212"/>
      <c r="DOY107" s="212"/>
      <c r="DOZ107" s="212"/>
      <c r="DPA107" s="212"/>
      <c r="DPB107" s="212"/>
      <c r="DPC107" s="212"/>
      <c r="DPD107" s="212"/>
      <c r="DPE107" s="212"/>
      <c r="DPF107" s="212"/>
      <c r="DPG107" s="212"/>
      <c r="DPH107" s="212"/>
      <c r="DPI107" s="212"/>
      <c r="DPJ107" s="212"/>
      <c r="DPK107" s="212"/>
      <c r="DPL107" s="212"/>
      <c r="DPM107" s="212"/>
      <c r="DPN107" s="212"/>
      <c r="DPO107" s="212"/>
      <c r="DPP107" s="212"/>
      <c r="DPQ107" s="212"/>
      <c r="DPR107" s="212"/>
      <c r="DPS107" s="212"/>
      <c r="DPT107" s="212"/>
      <c r="DPU107" s="212"/>
      <c r="DPV107" s="212"/>
      <c r="DPW107" s="212"/>
      <c r="DPX107" s="212"/>
      <c r="DPY107" s="212"/>
      <c r="DPZ107" s="212"/>
      <c r="DQA107" s="212"/>
      <c r="DQB107" s="212"/>
      <c r="DQC107" s="212"/>
      <c r="DQD107" s="212"/>
      <c r="DQE107" s="212"/>
      <c r="DQF107" s="212"/>
      <c r="DQG107" s="212"/>
      <c r="DQH107" s="212"/>
      <c r="DQI107" s="212"/>
      <c r="DQJ107" s="212"/>
      <c r="DQK107" s="212"/>
      <c r="DQL107" s="212"/>
      <c r="DQM107" s="212"/>
      <c r="DQN107" s="212"/>
      <c r="DQO107" s="212"/>
      <c r="DQP107" s="212"/>
      <c r="DQQ107" s="212"/>
      <c r="DQR107" s="212"/>
      <c r="DQS107" s="212"/>
      <c r="DQT107" s="212"/>
      <c r="DQU107" s="212"/>
      <c r="DQV107" s="212"/>
      <c r="DQW107" s="212"/>
      <c r="DQX107" s="212"/>
      <c r="DQY107" s="212"/>
      <c r="DQZ107" s="212"/>
      <c r="DRA107" s="212"/>
      <c r="DRB107" s="212"/>
      <c r="DRC107" s="212"/>
      <c r="DRD107" s="212"/>
      <c r="DRE107" s="212"/>
      <c r="DRF107" s="212"/>
      <c r="DRG107" s="212"/>
      <c r="DRH107" s="212"/>
      <c r="DRI107" s="212"/>
      <c r="DRJ107" s="212"/>
      <c r="DRK107" s="212"/>
      <c r="DRL107" s="212"/>
      <c r="DRM107" s="212"/>
      <c r="DRN107" s="212"/>
      <c r="DRO107" s="212"/>
      <c r="DRP107" s="212"/>
      <c r="DRQ107" s="212"/>
      <c r="DRR107" s="212"/>
      <c r="DRS107" s="212"/>
      <c r="DRT107" s="212"/>
      <c r="DRU107" s="212"/>
      <c r="DRV107" s="212"/>
      <c r="DRW107" s="212"/>
      <c r="DRX107" s="212"/>
      <c r="DRY107" s="212"/>
      <c r="DRZ107" s="212"/>
      <c r="DSA107" s="212"/>
      <c r="DSB107" s="212"/>
      <c r="DSC107" s="212"/>
      <c r="DSD107" s="212"/>
      <c r="DSE107" s="212"/>
      <c r="DSF107" s="212"/>
      <c r="DSG107" s="212"/>
      <c r="DSH107" s="212"/>
      <c r="DSI107" s="212"/>
      <c r="DSJ107" s="212"/>
      <c r="DSK107" s="212"/>
      <c r="DSL107" s="212"/>
      <c r="DSM107" s="212"/>
      <c r="DSN107" s="212"/>
      <c r="DSO107" s="212"/>
      <c r="DSP107" s="212"/>
      <c r="DSQ107" s="212"/>
      <c r="DSR107" s="212"/>
      <c r="DSS107" s="212"/>
      <c r="DST107" s="212"/>
      <c r="DSU107" s="212"/>
      <c r="DSV107" s="212"/>
      <c r="DSW107" s="212"/>
      <c r="DSX107" s="212"/>
      <c r="DSY107" s="212"/>
      <c r="DSZ107" s="212"/>
      <c r="DTA107" s="212"/>
      <c r="DTB107" s="212"/>
      <c r="DTC107" s="212"/>
      <c r="DTD107" s="212"/>
      <c r="DTE107" s="212"/>
      <c r="DTF107" s="212"/>
      <c r="DTG107" s="212"/>
      <c r="DTH107" s="212"/>
      <c r="DTI107" s="212"/>
      <c r="DTJ107" s="212"/>
      <c r="DTK107" s="212"/>
      <c r="DTL107" s="212"/>
      <c r="DTM107" s="212"/>
      <c r="DTN107" s="212"/>
      <c r="DTO107" s="212"/>
      <c r="DTP107" s="212"/>
      <c r="DTQ107" s="212"/>
      <c r="DTR107" s="212"/>
      <c r="DTS107" s="212"/>
      <c r="DTT107" s="212"/>
      <c r="DTU107" s="212"/>
      <c r="DTV107" s="212"/>
      <c r="DTW107" s="212"/>
      <c r="DTX107" s="212"/>
      <c r="DTY107" s="212"/>
      <c r="DTZ107" s="212"/>
      <c r="DUA107" s="212"/>
      <c r="DUB107" s="212"/>
      <c r="DUC107" s="212"/>
      <c r="DUD107" s="212"/>
      <c r="DUE107" s="212"/>
      <c r="DUF107" s="212"/>
      <c r="DUG107" s="212"/>
      <c r="DUH107" s="212"/>
      <c r="DUI107" s="212"/>
      <c r="DUJ107" s="212"/>
      <c r="DUK107" s="212"/>
      <c r="DUL107" s="212"/>
      <c r="DUM107" s="212"/>
      <c r="DUN107" s="212"/>
      <c r="DUO107" s="212"/>
      <c r="DUP107" s="212"/>
      <c r="DUQ107" s="212"/>
      <c r="DUR107" s="212"/>
      <c r="DUS107" s="212"/>
      <c r="DUT107" s="212"/>
      <c r="DUU107" s="212"/>
      <c r="DUV107" s="212"/>
      <c r="DUW107" s="212"/>
      <c r="DUX107" s="212"/>
      <c r="DUY107" s="212"/>
      <c r="DUZ107" s="212"/>
      <c r="DVA107" s="212"/>
      <c r="DVB107" s="212"/>
      <c r="DVC107" s="212"/>
      <c r="DVD107" s="212"/>
      <c r="DVE107" s="212"/>
      <c r="DVF107" s="212"/>
      <c r="DVG107" s="212"/>
      <c r="DVH107" s="212"/>
      <c r="DVI107" s="212"/>
      <c r="DVJ107" s="212"/>
      <c r="DVK107" s="212"/>
      <c r="DVL107" s="212"/>
      <c r="DVM107" s="212"/>
      <c r="DVN107" s="212"/>
      <c r="DVO107" s="212"/>
      <c r="DVP107" s="212"/>
      <c r="DVQ107" s="212"/>
      <c r="DVR107" s="212"/>
      <c r="DVS107" s="212"/>
      <c r="DVT107" s="212"/>
      <c r="DVU107" s="212"/>
      <c r="DVV107" s="212"/>
      <c r="DVW107" s="212"/>
      <c r="DVX107" s="212"/>
      <c r="DVY107" s="212"/>
      <c r="DVZ107" s="212"/>
      <c r="DWA107" s="212"/>
      <c r="DWB107" s="212"/>
      <c r="DWC107" s="212"/>
      <c r="DWD107" s="212"/>
      <c r="DWE107" s="212"/>
      <c r="DWF107" s="212"/>
      <c r="DWG107" s="212"/>
      <c r="DWH107" s="212"/>
      <c r="DWI107" s="212"/>
      <c r="DWJ107" s="212"/>
      <c r="DWK107" s="212"/>
      <c r="DWL107" s="212"/>
      <c r="DWM107" s="212"/>
      <c r="DWN107" s="212"/>
      <c r="DWO107" s="212"/>
      <c r="DWP107" s="212"/>
      <c r="DWQ107" s="212"/>
      <c r="DWR107" s="212"/>
      <c r="DWS107" s="212"/>
      <c r="DWT107" s="212"/>
      <c r="DWU107" s="212"/>
      <c r="DWV107" s="212"/>
      <c r="DWW107" s="212"/>
      <c r="DWX107" s="212"/>
      <c r="DWY107" s="212"/>
      <c r="DWZ107" s="212"/>
      <c r="DXA107" s="212"/>
      <c r="DXB107" s="212"/>
      <c r="DXC107" s="212"/>
      <c r="DXD107" s="212"/>
      <c r="DXE107" s="212"/>
      <c r="DXF107" s="212"/>
      <c r="DXG107" s="212"/>
      <c r="DXH107" s="212"/>
      <c r="DXI107" s="212"/>
      <c r="DXJ107" s="212"/>
      <c r="DXK107" s="212"/>
      <c r="DXL107" s="212"/>
      <c r="DXM107" s="212"/>
      <c r="DXN107" s="212"/>
      <c r="DXO107" s="212"/>
      <c r="DXP107" s="212"/>
      <c r="DXQ107" s="212"/>
      <c r="DXR107" s="212"/>
      <c r="DXS107" s="212"/>
      <c r="DXT107" s="212"/>
      <c r="DXU107" s="212"/>
      <c r="DXV107" s="212"/>
      <c r="DXW107" s="212"/>
      <c r="DXX107" s="212"/>
      <c r="DXY107" s="212"/>
      <c r="DXZ107" s="212"/>
      <c r="DYA107" s="212"/>
      <c r="DYB107" s="212"/>
      <c r="DYC107" s="212"/>
      <c r="DYD107" s="212"/>
      <c r="DYE107" s="212"/>
      <c r="DYF107" s="212"/>
      <c r="DYG107" s="212"/>
      <c r="DYH107" s="212"/>
      <c r="DYI107" s="212"/>
      <c r="DYJ107" s="212"/>
      <c r="DYK107" s="212"/>
      <c r="DYL107" s="212"/>
      <c r="DYM107" s="212"/>
      <c r="DYN107" s="212"/>
      <c r="DYO107" s="212"/>
      <c r="DYP107" s="212"/>
      <c r="DYQ107" s="212"/>
      <c r="DYR107" s="212"/>
      <c r="DYS107" s="212"/>
      <c r="DYT107" s="212"/>
      <c r="DYU107" s="212"/>
      <c r="DYV107" s="212"/>
      <c r="DYW107" s="212"/>
      <c r="DYX107" s="212"/>
      <c r="DYY107" s="212"/>
      <c r="DYZ107" s="212"/>
      <c r="DZA107" s="212"/>
      <c r="DZB107" s="212"/>
      <c r="DZC107" s="212"/>
      <c r="DZD107" s="212"/>
      <c r="DZE107" s="212"/>
      <c r="DZF107" s="212"/>
      <c r="DZG107" s="212"/>
      <c r="DZH107" s="212"/>
      <c r="DZI107" s="212"/>
      <c r="DZJ107" s="212"/>
      <c r="DZK107" s="212"/>
      <c r="DZL107" s="212"/>
      <c r="DZM107" s="212"/>
      <c r="DZN107" s="212"/>
      <c r="DZO107" s="212"/>
      <c r="DZP107" s="212"/>
      <c r="DZQ107" s="212"/>
      <c r="DZR107" s="212"/>
      <c r="DZS107" s="212"/>
      <c r="DZT107" s="212"/>
      <c r="DZU107" s="212"/>
      <c r="DZV107" s="212"/>
      <c r="DZW107" s="212"/>
      <c r="DZX107" s="212"/>
      <c r="DZY107" s="212"/>
      <c r="DZZ107" s="212"/>
      <c r="EAA107" s="212"/>
      <c r="EAB107" s="212"/>
      <c r="EAC107" s="212"/>
      <c r="EAD107" s="212"/>
      <c r="EAE107" s="212"/>
      <c r="EAF107" s="212"/>
      <c r="EAG107" s="212"/>
      <c r="EAH107" s="212"/>
      <c r="EAI107" s="212"/>
      <c r="EAJ107" s="212"/>
      <c r="EAK107" s="212"/>
      <c r="EAL107" s="212"/>
      <c r="EAM107" s="212"/>
      <c r="EAN107" s="212"/>
      <c r="EAO107" s="212"/>
      <c r="EAP107" s="212"/>
      <c r="EAQ107" s="212"/>
      <c r="EAR107" s="212"/>
      <c r="EAS107" s="212"/>
      <c r="EAT107" s="212"/>
      <c r="EAU107" s="212"/>
      <c r="EAV107" s="212"/>
      <c r="EAW107" s="212"/>
      <c r="EAX107" s="212"/>
      <c r="EAY107" s="212"/>
      <c r="EAZ107" s="212"/>
      <c r="EBA107" s="212"/>
      <c r="EBB107" s="212"/>
      <c r="EBC107" s="212"/>
      <c r="EBD107" s="212"/>
      <c r="EBE107" s="212"/>
      <c r="EBF107" s="212"/>
      <c r="EBG107" s="212"/>
      <c r="EBH107" s="212"/>
      <c r="EBI107" s="212"/>
      <c r="EBJ107" s="212"/>
      <c r="EBK107" s="212"/>
      <c r="EBL107" s="212"/>
      <c r="EBM107" s="212"/>
      <c r="EBN107" s="212"/>
      <c r="EBO107" s="212"/>
      <c r="EBP107" s="212"/>
      <c r="EBQ107" s="212"/>
      <c r="EBR107" s="212"/>
      <c r="EBS107" s="212"/>
      <c r="EBT107" s="212"/>
      <c r="EBU107" s="212"/>
      <c r="EBV107" s="212"/>
      <c r="EBW107" s="212"/>
      <c r="EBX107" s="212"/>
      <c r="EBY107" s="212"/>
      <c r="EBZ107" s="212"/>
      <c r="ECA107" s="212"/>
      <c r="ECB107" s="212"/>
      <c r="ECC107" s="212"/>
      <c r="ECD107" s="212"/>
      <c r="ECE107" s="212"/>
      <c r="ECF107" s="212"/>
      <c r="ECG107" s="212"/>
      <c r="ECH107" s="212"/>
      <c r="ECI107" s="212"/>
      <c r="ECJ107" s="212"/>
      <c r="ECK107" s="212"/>
      <c r="ECL107" s="212"/>
      <c r="ECM107" s="212"/>
      <c r="ECN107" s="212"/>
      <c r="ECO107" s="212"/>
      <c r="ECP107" s="212"/>
      <c r="ECQ107" s="212"/>
      <c r="ECR107" s="212"/>
      <c r="ECS107" s="212"/>
      <c r="ECT107" s="212"/>
      <c r="ECU107" s="212"/>
      <c r="ECV107" s="212"/>
      <c r="ECW107" s="212"/>
      <c r="ECX107" s="212"/>
      <c r="ECY107" s="212"/>
      <c r="ECZ107" s="212"/>
      <c r="EDA107" s="212"/>
      <c r="EDB107" s="212"/>
      <c r="EDC107" s="212"/>
      <c r="EDD107" s="212"/>
      <c r="EDE107" s="212"/>
      <c r="EDF107" s="212"/>
      <c r="EDG107" s="212"/>
      <c r="EDH107" s="212"/>
      <c r="EDI107" s="212"/>
      <c r="EDJ107" s="212"/>
      <c r="EDK107" s="212"/>
      <c r="EDL107" s="212"/>
      <c r="EDM107" s="212"/>
      <c r="EDN107" s="212"/>
      <c r="EDO107" s="212"/>
      <c r="EDP107" s="212"/>
      <c r="EDQ107" s="212"/>
      <c r="EDR107" s="212"/>
      <c r="EDS107" s="212"/>
      <c r="EDT107" s="212"/>
      <c r="EDU107" s="212"/>
      <c r="EDV107" s="212"/>
      <c r="EDW107" s="212"/>
      <c r="EDX107" s="212"/>
      <c r="EDY107" s="212"/>
      <c r="EDZ107" s="212"/>
      <c r="EEA107" s="212"/>
      <c r="EEB107" s="212"/>
      <c r="EEC107" s="212"/>
      <c r="EED107" s="212"/>
      <c r="EEE107" s="212"/>
      <c r="EEF107" s="212"/>
      <c r="EEG107" s="212"/>
      <c r="EEH107" s="212"/>
      <c r="EEI107" s="212"/>
      <c r="EEJ107" s="212"/>
      <c r="EEK107" s="212"/>
      <c r="EEL107" s="212"/>
      <c r="EEM107" s="212"/>
      <c r="EEN107" s="212"/>
      <c r="EEO107" s="212"/>
      <c r="EEP107" s="212"/>
      <c r="EEQ107" s="212"/>
      <c r="EER107" s="212"/>
      <c r="EES107" s="212"/>
      <c r="EET107" s="212"/>
      <c r="EEU107" s="212"/>
      <c r="EEV107" s="212"/>
      <c r="EEW107" s="212"/>
      <c r="EEX107" s="212"/>
      <c r="EEY107" s="212"/>
      <c r="EEZ107" s="212"/>
      <c r="EFA107" s="212"/>
      <c r="EFB107" s="212"/>
      <c r="EFC107" s="212"/>
      <c r="EFD107" s="212"/>
      <c r="EFE107" s="212"/>
      <c r="EFF107" s="212"/>
      <c r="EFG107" s="212"/>
      <c r="EFH107" s="212"/>
      <c r="EFI107" s="212"/>
      <c r="EFJ107" s="212"/>
      <c r="EFK107" s="212"/>
      <c r="EFL107" s="212"/>
      <c r="EFM107" s="212"/>
      <c r="EFN107" s="212"/>
      <c r="EFO107" s="212"/>
      <c r="EFP107" s="212"/>
      <c r="EFQ107" s="212"/>
      <c r="EFR107" s="212"/>
      <c r="EFS107" s="212"/>
      <c r="EFT107" s="212"/>
      <c r="EFU107" s="212"/>
      <c r="EFV107" s="212"/>
      <c r="EFW107" s="212"/>
      <c r="EFX107" s="212"/>
      <c r="EFY107" s="212"/>
      <c r="EFZ107" s="212"/>
      <c r="EGA107" s="212"/>
      <c r="EGB107" s="212"/>
      <c r="EGC107" s="212"/>
      <c r="EGD107" s="212"/>
      <c r="EGE107" s="212"/>
      <c r="EGF107" s="212"/>
      <c r="EGG107" s="212"/>
      <c r="EGH107" s="212"/>
      <c r="EGI107" s="212"/>
      <c r="EGJ107" s="212"/>
      <c r="EGK107" s="212"/>
      <c r="EGL107" s="212"/>
      <c r="EGM107" s="212"/>
      <c r="EGN107" s="212"/>
      <c r="EGO107" s="212"/>
      <c r="EGP107" s="212"/>
      <c r="EGQ107" s="212"/>
      <c r="EGR107" s="212"/>
      <c r="EGS107" s="212"/>
      <c r="EGT107" s="212"/>
      <c r="EGU107" s="212"/>
      <c r="EGV107" s="212"/>
      <c r="EGW107" s="212"/>
      <c r="EGX107" s="212"/>
      <c r="EGY107" s="212"/>
      <c r="EGZ107" s="212"/>
      <c r="EHA107" s="212"/>
      <c r="EHB107" s="212"/>
      <c r="EHC107" s="212"/>
      <c r="EHD107" s="212"/>
      <c r="EHE107" s="212"/>
      <c r="EHF107" s="212"/>
      <c r="EHG107" s="212"/>
      <c r="EHH107" s="212"/>
      <c r="EHI107" s="212"/>
      <c r="EHJ107" s="212"/>
      <c r="EHK107" s="212"/>
      <c r="EHL107" s="212"/>
      <c r="EHM107" s="212"/>
      <c r="EHN107" s="212"/>
      <c r="EHO107" s="212"/>
      <c r="EHP107" s="212"/>
      <c r="EHQ107" s="212"/>
      <c r="EHR107" s="212"/>
      <c r="EHS107" s="212"/>
      <c r="EHT107" s="212"/>
      <c r="EHU107" s="212"/>
      <c r="EHV107" s="212"/>
      <c r="EHW107" s="212"/>
      <c r="EHX107" s="212"/>
      <c r="EHY107" s="212"/>
      <c r="EHZ107" s="212"/>
      <c r="EIA107" s="212"/>
      <c r="EIB107" s="212"/>
      <c r="EIC107" s="212"/>
      <c r="EID107" s="212"/>
      <c r="EIE107" s="212"/>
      <c r="EIF107" s="212"/>
      <c r="EIG107" s="212"/>
      <c r="EIH107" s="212"/>
      <c r="EII107" s="212"/>
      <c r="EIJ107" s="212"/>
      <c r="EIK107" s="212"/>
      <c r="EIL107" s="212"/>
      <c r="EIM107" s="212"/>
      <c r="EIN107" s="212"/>
      <c r="EIO107" s="212"/>
      <c r="EIP107" s="212"/>
      <c r="EIQ107" s="212"/>
      <c r="EIR107" s="212"/>
      <c r="EIS107" s="212"/>
      <c r="EIT107" s="212"/>
      <c r="EIU107" s="212"/>
      <c r="EIV107" s="212"/>
      <c r="EIW107" s="212"/>
      <c r="EIX107" s="212"/>
      <c r="EIY107" s="212"/>
      <c r="EIZ107" s="212"/>
      <c r="EJA107" s="212"/>
      <c r="EJB107" s="212"/>
      <c r="EJC107" s="212"/>
      <c r="EJD107" s="212"/>
      <c r="EJE107" s="212"/>
      <c r="EJF107" s="212"/>
      <c r="EJG107" s="212"/>
      <c r="EJH107" s="212"/>
      <c r="EJI107" s="212"/>
      <c r="EJJ107" s="212"/>
      <c r="EJK107" s="212"/>
      <c r="EJL107" s="212"/>
      <c r="EJM107" s="212"/>
      <c r="EJN107" s="212"/>
      <c r="EJO107" s="212"/>
      <c r="EJP107" s="212"/>
      <c r="EJQ107" s="212"/>
      <c r="EJR107" s="212"/>
      <c r="EJS107" s="212"/>
      <c r="EJT107" s="212"/>
      <c r="EJU107" s="212"/>
      <c r="EJV107" s="212"/>
      <c r="EJW107" s="212"/>
      <c r="EJX107" s="212"/>
      <c r="EJY107" s="212"/>
      <c r="EJZ107" s="212"/>
      <c r="EKA107" s="212"/>
      <c r="EKB107" s="212"/>
      <c r="EKC107" s="212"/>
      <c r="EKD107" s="212"/>
      <c r="EKE107" s="212"/>
      <c r="EKF107" s="212"/>
      <c r="EKG107" s="212"/>
      <c r="EKH107" s="212"/>
      <c r="EKI107" s="212"/>
      <c r="EKJ107" s="212"/>
      <c r="EKK107" s="212"/>
      <c r="EKL107" s="212"/>
      <c r="EKM107" s="212"/>
      <c r="EKN107" s="212"/>
      <c r="EKO107" s="212"/>
      <c r="EKP107" s="212"/>
      <c r="EKQ107" s="212"/>
      <c r="EKR107" s="212"/>
      <c r="EKS107" s="212"/>
      <c r="EKT107" s="212"/>
      <c r="EKU107" s="212"/>
      <c r="EKV107" s="212"/>
      <c r="EKW107" s="212"/>
      <c r="EKX107" s="212"/>
      <c r="EKY107" s="212"/>
      <c r="EKZ107" s="212"/>
      <c r="ELA107" s="212"/>
      <c r="ELB107" s="212"/>
      <c r="ELC107" s="212"/>
      <c r="ELD107" s="212"/>
      <c r="ELE107" s="212"/>
      <c r="ELF107" s="212"/>
      <c r="ELG107" s="212"/>
      <c r="ELH107" s="212"/>
      <c r="ELI107" s="212"/>
      <c r="ELJ107" s="212"/>
      <c r="ELK107" s="212"/>
      <c r="ELL107" s="212"/>
      <c r="ELM107" s="212"/>
      <c r="ELN107" s="212"/>
      <c r="ELO107" s="212"/>
      <c r="ELP107" s="212"/>
      <c r="ELQ107" s="212"/>
      <c r="ELR107" s="212"/>
      <c r="ELS107" s="212"/>
      <c r="ELT107" s="212"/>
      <c r="ELU107" s="212"/>
      <c r="ELV107" s="212"/>
      <c r="ELW107" s="212"/>
      <c r="ELX107" s="212"/>
      <c r="ELY107" s="212"/>
      <c r="ELZ107" s="212"/>
      <c r="EMA107" s="212"/>
      <c r="EMB107" s="212"/>
      <c r="EMC107" s="212"/>
      <c r="EMD107" s="212"/>
      <c r="EME107" s="212"/>
      <c r="EMF107" s="212"/>
      <c r="EMG107" s="212"/>
      <c r="EMH107" s="212"/>
      <c r="EMI107" s="212"/>
      <c r="EMJ107" s="212"/>
      <c r="EMK107" s="212"/>
      <c r="EML107" s="212"/>
      <c r="EMM107" s="212"/>
      <c r="EMN107" s="212"/>
      <c r="EMO107" s="212"/>
      <c r="EMP107" s="212"/>
      <c r="EMQ107" s="212"/>
      <c r="EMR107" s="212"/>
      <c r="EMS107" s="212"/>
      <c r="EMT107" s="212"/>
      <c r="EMU107" s="212"/>
      <c r="EMV107" s="212"/>
      <c r="EMW107" s="212"/>
      <c r="EMX107" s="212"/>
      <c r="EMY107" s="212"/>
      <c r="EMZ107" s="212"/>
      <c r="ENA107" s="212"/>
      <c r="ENB107" s="212"/>
      <c r="ENC107" s="212"/>
      <c r="END107" s="212"/>
      <c r="ENE107" s="212"/>
      <c r="ENF107" s="212"/>
      <c r="ENG107" s="212"/>
      <c r="ENH107" s="212"/>
      <c r="ENI107" s="212"/>
      <c r="ENJ107" s="212"/>
      <c r="ENK107" s="212"/>
      <c r="ENL107" s="212"/>
      <c r="ENM107" s="212"/>
      <c r="ENN107" s="212"/>
      <c r="ENO107" s="212"/>
      <c r="ENP107" s="212"/>
      <c r="ENQ107" s="212"/>
      <c r="ENR107" s="212"/>
      <c r="ENS107" s="212"/>
      <c r="ENT107" s="212"/>
      <c r="ENU107" s="212"/>
      <c r="ENV107" s="212"/>
      <c r="ENW107" s="212"/>
      <c r="ENX107" s="212"/>
      <c r="ENY107" s="212"/>
      <c r="ENZ107" s="212"/>
      <c r="EOA107" s="212"/>
      <c r="EOB107" s="212"/>
      <c r="EOC107" s="212"/>
      <c r="EOD107" s="212"/>
      <c r="EOE107" s="212"/>
      <c r="EOF107" s="212"/>
      <c r="EOG107" s="212"/>
      <c r="EOH107" s="212"/>
      <c r="EOI107" s="212"/>
      <c r="EOJ107" s="212"/>
      <c r="EOK107" s="212"/>
      <c r="EOL107" s="212"/>
      <c r="EOM107" s="212"/>
      <c r="EON107" s="212"/>
      <c r="EOO107" s="212"/>
      <c r="EOP107" s="212"/>
      <c r="EOQ107" s="212"/>
      <c r="EOR107" s="212"/>
      <c r="EOS107" s="212"/>
      <c r="EOT107" s="212"/>
      <c r="EOU107" s="212"/>
      <c r="EOV107" s="212"/>
      <c r="EOW107" s="212"/>
      <c r="EOX107" s="212"/>
      <c r="EOY107" s="212"/>
      <c r="EOZ107" s="212"/>
      <c r="EPA107" s="212"/>
      <c r="EPB107" s="212"/>
      <c r="EPC107" s="212"/>
      <c r="EPD107" s="212"/>
      <c r="EPE107" s="212"/>
      <c r="EPF107" s="212"/>
      <c r="EPG107" s="212"/>
      <c r="EPH107" s="212"/>
      <c r="EPI107" s="212"/>
      <c r="EPJ107" s="212"/>
      <c r="EPK107" s="212"/>
      <c r="EPL107" s="212"/>
      <c r="EPM107" s="212"/>
      <c r="EPN107" s="212"/>
      <c r="EPO107" s="212"/>
      <c r="EPP107" s="212"/>
      <c r="EPQ107" s="212"/>
      <c r="EPR107" s="212"/>
      <c r="EPS107" s="212"/>
      <c r="EPT107" s="212"/>
      <c r="EPU107" s="212"/>
      <c r="EPV107" s="212"/>
      <c r="EPW107" s="212"/>
      <c r="EPX107" s="212"/>
      <c r="EPY107" s="212"/>
      <c r="EPZ107" s="212"/>
      <c r="EQA107" s="212"/>
      <c r="EQB107" s="212"/>
      <c r="EQC107" s="212"/>
      <c r="EQD107" s="212"/>
      <c r="EQE107" s="212"/>
      <c r="EQF107" s="212"/>
      <c r="EQG107" s="212"/>
      <c r="EQH107" s="212"/>
      <c r="EQI107" s="212"/>
      <c r="EQJ107" s="212"/>
      <c r="EQK107" s="212"/>
      <c r="EQL107" s="212"/>
      <c r="EQM107" s="212"/>
      <c r="EQN107" s="212"/>
      <c r="EQO107" s="212"/>
      <c r="EQP107" s="212"/>
      <c r="EQQ107" s="212"/>
      <c r="EQR107" s="212"/>
      <c r="EQS107" s="212"/>
      <c r="EQT107" s="212"/>
      <c r="EQU107" s="212"/>
      <c r="EQV107" s="212"/>
      <c r="EQW107" s="212"/>
      <c r="EQX107" s="212"/>
      <c r="EQY107" s="212"/>
      <c r="EQZ107" s="212"/>
      <c r="ERA107" s="212"/>
      <c r="ERB107" s="212"/>
      <c r="ERC107" s="212"/>
      <c r="ERD107" s="212"/>
      <c r="ERE107" s="212"/>
      <c r="ERF107" s="212"/>
      <c r="ERG107" s="212"/>
      <c r="ERH107" s="212"/>
      <c r="ERI107" s="212"/>
      <c r="ERJ107" s="212"/>
      <c r="ERK107" s="212"/>
      <c r="ERL107" s="212"/>
      <c r="ERM107" s="212"/>
      <c r="ERN107" s="212"/>
      <c r="ERO107" s="212"/>
      <c r="ERP107" s="212"/>
      <c r="ERQ107" s="212"/>
      <c r="ERR107" s="212"/>
      <c r="ERS107" s="212"/>
      <c r="ERT107" s="212"/>
      <c r="ERU107" s="212"/>
      <c r="ERV107" s="212"/>
      <c r="ERW107" s="212"/>
      <c r="ERX107" s="212"/>
      <c r="ERY107" s="212"/>
      <c r="ERZ107" s="212"/>
      <c r="ESA107" s="212"/>
      <c r="ESB107" s="212"/>
      <c r="ESC107" s="212"/>
      <c r="ESD107" s="212"/>
      <c r="ESE107" s="212"/>
      <c r="ESF107" s="212"/>
      <c r="ESG107" s="212"/>
      <c r="ESH107" s="212"/>
      <c r="ESI107" s="212"/>
      <c r="ESJ107" s="212"/>
      <c r="ESK107" s="212"/>
      <c r="ESL107" s="212"/>
      <c r="ESM107" s="212"/>
      <c r="ESN107" s="212"/>
      <c r="ESO107" s="212"/>
      <c r="ESP107" s="212"/>
      <c r="ESQ107" s="212"/>
      <c r="ESR107" s="212"/>
      <c r="ESS107" s="212"/>
      <c r="EST107" s="212"/>
      <c r="ESU107" s="212"/>
      <c r="ESV107" s="212"/>
      <c r="ESW107" s="212"/>
      <c r="ESX107" s="212"/>
      <c r="ESY107" s="212"/>
      <c r="ESZ107" s="212"/>
      <c r="ETA107" s="212"/>
      <c r="ETB107" s="212"/>
      <c r="ETC107" s="212"/>
      <c r="ETD107" s="212"/>
      <c r="ETE107" s="212"/>
      <c r="ETF107" s="212"/>
      <c r="ETG107" s="212"/>
      <c r="ETH107" s="212"/>
      <c r="ETI107" s="212"/>
      <c r="ETJ107" s="212"/>
      <c r="ETK107" s="212"/>
      <c r="ETL107" s="212"/>
      <c r="ETM107" s="212"/>
      <c r="ETN107" s="212"/>
      <c r="ETO107" s="212"/>
      <c r="ETP107" s="212"/>
      <c r="ETQ107" s="212"/>
      <c r="ETR107" s="212"/>
      <c r="ETS107" s="212"/>
      <c r="ETT107" s="212"/>
      <c r="ETU107" s="212"/>
      <c r="ETV107" s="212"/>
      <c r="ETW107" s="212"/>
      <c r="ETX107" s="212"/>
      <c r="ETY107" s="212"/>
      <c r="ETZ107" s="212"/>
      <c r="EUA107" s="212"/>
      <c r="EUB107" s="212"/>
      <c r="EUC107" s="212"/>
      <c r="EUD107" s="212"/>
      <c r="EUE107" s="212"/>
      <c r="EUF107" s="212"/>
      <c r="EUG107" s="212"/>
      <c r="EUH107" s="212"/>
      <c r="EUI107" s="212"/>
      <c r="EUJ107" s="212"/>
      <c r="EUK107" s="212"/>
      <c r="EUL107" s="212"/>
      <c r="EUM107" s="212"/>
      <c r="EUN107" s="212"/>
      <c r="EUO107" s="212"/>
      <c r="EUP107" s="212"/>
      <c r="EUQ107" s="212"/>
      <c r="EUR107" s="212"/>
      <c r="EUS107" s="212"/>
      <c r="EUT107" s="212"/>
      <c r="EUU107" s="212"/>
      <c r="EUV107" s="212"/>
      <c r="EUW107" s="212"/>
      <c r="EUX107" s="212"/>
      <c r="EUY107" s="212"/>
      <c r="EUZ107" s="212"/>
      <c r="EVA107" s="212"/>
      <c r="EVB107" s="212"/>
      <c r="EVC107" s="212"/>
      <c r="EVD107" s="212"/>
      <c r="EVE107" s="212"/>
      <c r="EVF107" s="212"/>
      <c r="EVG107" s="212"/>
      <c r="EVH107" s="212"/>
      <c r="EVI107" s="212"/>
      <c r="EVJ107" s="212"/>
      <c r="EVK107" s="212"/>
      <c r="EVL107" s="212"/>
      <c r="EVM107" s="212"/>
      <c r="EVN107" s="212"/>
      <c r="EVO107" s="212"/>
      <c r="EVP107" s="212"/>
      <c r="EVQ107" s="212"/>
      <c r="EVR107" s="212"/>
      <c r="EVS107" s="212"/>
      <c r="EVT107" s="212"/>
      <c r="EVU107" s="212"/>
      <c r="EVV107" s="212"/>
      <c r="EVW107" s="212"/>
      <c r="EVX107" s="212"/>
      <c r="EVY107" s="212"/>
      <c r="EVZ107" s="212"/>
      <c r="EWA107" s="212"/>
      <c r="EWB107" s="212"/>
      <c r="EWC107" s="212"/>
      <c r="EWD107" s="212"/>
      <c r="EWE107" s="212"/>
      <c r="EWF107" s="212"/>
      <c r="EWG107" s="212"/>
      <c r="EWH107" s="212"/>
      <c r="EWI107" s="212"/>
      <c r="EWJ107" s="212"/>
      <c r="EWK107" s="212"/>
      <c r="EWL107" s="212"/>
      <c r="EWM107" s="212"/>
      <c r="EWN107" s="212"/>
      <c r="EWO107" s="212"/>
      <c r="EWP107" s="212"/>
      <c r="EWQ107" s="212"/>
      <c r="EWR107" s="212"/>
      <c r="EWS107" s="212"/>
      <c r="EWT107" s="212"/>
      <c r="EWU107" s="212"/>
      <c r="EWV107" s="212"/>
      <c r="EWW107" s="212"/>
      <c r="EWX107" s="212"/>
      <c r="EWY107" s="212"/>
      <c r="EWZ107" s="212"/>
      <c r="EXA107" s="212"/>
      <c r="EXB107" s="212"/>
      <c r="EXC107" s="212"/>
      <c r="EXD107" s="212"/>
      <c r="EXE107" s="212"/>
      <c r="EXF107" s="212"/>
      <c r="EXG107" s="212"/>
      <c r="EXH107" s="212"/>
      <c r="EXI107" s="212"/>
      <c r="EXJ107" s="212"/>
      <c r="EXK107" s="212"/>
      <c r="EXL107" s="212"/>
      <c r="EXM107" s="212"/>
      <c r="EXN107" s="212"/>
      <c r="EXO107" s="212"/>
      <c r="EXP107" s="212"/>
      <c r="EXQ107" s="212"/>
      <c r="EXR107" s="212"/>
      <c r="EXS107" s="212"/>
      <c r="EXT107" s="212"/>
      <c r="EXU107" s="212"/>
      <c r="EXV107" s="212"/>
      <c r="EXW107" s="212"/>
      <c r="EXX107" s="212"/>
      <c r="EXY107" s="212"/>
      <c r="EXZ107" s="212"/>
      <c r="EYA107" s="212"/>
      <c r="EYB107" s="212"/>
      <c r="EYC107" s="212"/>
      <c r="EYD107" s="212"/>
      <c r="EYE107" s="212"/>
      <c r="EYF107" s="212"/>
      <c r="EYG107" s="212"/>
      <c r="EYH107" s="212"/>
      <c r="EYI107" s="212"/>
      <c r="EYJ107" s="212"/>
      <c r="EYK107" s="212"/>
      <c r="EYL107" s="212"/>
      <c r="EYM107" s="212"/>
      <c r="EYN107" s="212"/>
      <c r="EYO107" s="212"/>
      <c r="EYP107" s="212"/>
      <c r="EYQ107" s="212"/>
      <c r="EYR107" s="212"/>
      <c r="EYS107" s="212"/>
      <c r="EYT107" s="212"/>
      <c r="EYU107" s="212"/>
      <c r="EYV107" s="212"/>
      <c r="EYW107" s="212"/>
      <c r="EYX107" s="212"/>
      <c r="EYY107" s="212"/>
      <c r="EYZ107" s="212"/>
      <c r="EZA107" s="212"/>
      <c r="EZB107" s="212"/>
      <c r="EZC107" s="212"/>
      <c r="EZD107" s="212"/>
      <c r="EZE107" s="212"/>
      <c r="EZF107" s="212"/>
      <c r="EZG107" s="212"/>
      <c r="EZH107" s="212"/>
      <c r="EZI107" s="212"/>
      <c r="EZJ107" s="212"/>
      <c r="EZK107" s="212"/>
      <c r="EZL107" s="212"/>
      <c r="EZM107" s="212"/>
      <c r="EZN107" s="212"/>
      <c r="EZO107" s="212"/>
      <c r="EZP107" s="212"/>
      <c r="EZQ107" s="212"/>
      <c r="EZR107" s="212"/>
      <c r="EZS107" s="212"/>
      <c r="EZT107" s="212"/>
      <c r="EZU107" s="212"/>
      <c r="EZV107" s="212"/>
      <c r="EZW107" s="212"/>
      <c r="EZX107" s="212"/>
      <c r="EZY107" s="212"/>
      <c r="EZZ107" s="212"/>
      <c r="FAA107" s="212"/>
      <c r="FAB107" s="212"/>
      <c r="FAC107" s="212"/>
      <c r="FAD107" s="212"/>
      <c r="FAE107" s="212"/>
      <c r="FAF107" s="212"/>
      <c r="FAG107" s="212"/>
      <c r="FAH107" s="212"/>
      <c r="FAI107" s="212"/>
      <c r="FAJ107" s="212"/>
      <c r="FAK107" s="212"/>
      <c r="FAL107" s="212"/>
      <c r="FAM107" s="212"/>
      <c r="FAN107" s="212"/>
      <c r="FAO107" s="212"/>
      <c r="FAP107" s="212"/>
      <c r="FAQ107" s="212"/>
      <c r="FAR107" s="212"/>
      <c r="FAS107" s="212"/>
      <c r="FAT107" s="212"/>
      <c r="FAU107" s="212"/>
      <c r="FAV107" s="212"/>
      <c r="FAW107" s="212"/>
      <c r="FAX107" s="212"/>
      <c r="FAY107" s="212"/>
      <c r="FAZ107" s="212"/>
      <c r="FBA107" s="212"/>
      <c r="FBB107" s="212"/>
      <c r="FBC107" s="212"/>
      <c r="FBD107" s="212"/>
      <c r="FBE107" s="212"/>
      <c r="FBF107" s="212"/>
      <c r="FBG107" s="212"/>
      <c r="FBH107" s="212"/>
      <c r="FBI107" s="212"/>
      <c r="FBJ107" s="212"/>
      <c r="FBK107" s="212"/>
      <c r="FBL107" s="212"/>
      <c r="FBM107" s="212"/>
      <c r="FBN107" s="212"/>
      <c r="FBO107" s="212"/>
      <c r="FBP107" s="212"/>
      <c r="FBQ107" s="212"/>
      <c r="FBR107" s="212"/>
      <c r="FBS107" s="212"/>
      <c r="FBT107" s="212"/>
      <c r="FBU107" s="212"/>
      <c r="FBV107" s="212"/>
      <c r="FBW107" s="212"/>
      <c r="FBX107" s="212"/>
      <c r="FBY107" s="212"/>
      <c r="FBZ107" s="212"/>
      <c r="FCA107" s="212"/>
      <c r="FCB107" s="212"/>
      <c r="FCC107" s="212"/>
      <c r="FCD107" s="212"/>
      <c r="FCE107" s="212"/>
      <c r="FCF107" s="212"/>
      <c r="FCG107" s="212"/>
      <c r="FCH107" s="212"/>
      <c r="FCI107" s="212"/>
      <c r="FCJ107" s="212"/>
      <c r="FCK107" s="212"/>
      <c r="FCL107" s="212"/>
      <c r="FCM107" s="212"/>
      <c r="FCN107" s="212"/>
      <c r="FCO107" s="212"/>
      <c r="FCP107" s="212"/>
      <c r="FCQ107" s="212"/>
      <c r="FCR107" s="212"/>
      <c r="FCS107" s="212"/>
      <c r="FCT107" s="212"/>
      <c r="FCU107" s="212"/>
      <c r="FCV107" s="212"/>
      <c r="FCW107" s="212"/>
      <c r="FCX107" s="212"/>
      <c r="FCY107" s="212"/>
      <c r="FCZ107" s="212"/>
      <c r="FDA107" s="212"/>
      <c r="FDB107" s="212"/>
      <c r="FDC107" s="212"/>
      <c r="FDD107" s="212"/>
      <c r="FDE107" s="212"/>
      <c r="FDF107" s="212"/>
      <c r="FDG107" s="212"/>
      <c r="FDH107" s="212"/>
      <c r="FDI107" s="212"/>
      <c r="FDJ107" s="212"/>
      <c r="FDK107" s="212"/>
      <c r="FDL107" s="212"/>
      <c r="FDM107" s="212"/>
      <c r="FDN107" s="212"/>
      <c r="FDO107" s="212"/>
      <c r="FDP107" s="212"/>
      <c r="FDQ107" s="212"/>
      <c r="FDR107" s="212"/>
      <c r="FDS107" s="212"/>
      <c r="FDT107" s="212"/>
      <c r="FDU107" s="212"/>
      <c r="FDV107" s="212"/>
      <c r="FDW107" s="212"/>
      <c r="FDX107" s="212"/>
      <c r="FDY107" s="212"/>
      <c r="FDZ107" s="212"/>
      <c r="FEA107" s="212"/>
      <c r="FEB107" s="212"/>
      <c r="FEC107" s="212"/>
      <c r="FED107" s="212"/>
      <c r="FEE107" s="212"/>
      <c r="FEF107" s="212"/>
      <c r="FEG107" s="212"/>
      <c r="FEH107" s="212"/>
      <c r="FEI107" s="212"/>
      <c r="FEJ107" s="212"/>
      <c r="FEK107" s="212"/>
      <c r="FEL107" s="212"/>
      <c r="FEM107" s="212"/>
      <c r="FEN107" s="212"/>
      <c r="FEO107" s="212"/>
      <c r="FEP107" s="212"/>
      <c r="FEQ107" s="212"/>
      <c r="FER107" s="212"/>
      <c r="FES107" s="212"/>
      <c r="FET107" s="212"/>
      <c r="FEU107" s="212"/>
      <c r="FEV107" s="212"/>
      <c r="FEW107" s="212"/>
      <c r="FEX107" s="212"/>
      <c r="FEY107" s="212"/>
      <c r="FEZ107" s="212"/>
      <c r="FFA107" s="212"/>
      <c r="FFB107" s="212"/>
      <c r="FFC107" s="212"/>
      <c r="FFD107" s="212"/>
      <c r="FFE107" s="212"/>
      <c r="FFF107" s="212"/>
      <c r="FFG107" s="212"/>
      <c r="FFH107" s="212"/>
      <c r="FFI107" s="212"/>
      <c r="FFJ107" s="212"/>
      <c r="FFK107" s="212"/>
      <c r="FFL107" s="212"/>
      <c r="FFM107" s="212"/>
      <c r="FFN107" s="212"/>
      <c r="FFO107" s="212"/>
      <c r="FFP107" s="212"/>
      <c r="FFQ107" s="212"/>
      <c r="FFR107" s="212"/>
      <c r="FFS107" s="212"/>
      <c r="FFT107" s="212"/>
      <c r="FFU107" s="212"/>
      <c r="FFV107" s="212"/>
      <c r="FFW107" s="212"/>
      <c r="FFX107" s="212"/>
      <c r="FFY107" s="212"/>
      <c r="FFZ107" s="212"/>
      <c r="FGA107" s="212"/>
      <c r="FGB107" s="212"/>
      <c r="FGC107" s="212"/>
      <c r="FGD107" s="212"/>
      <c r="FGE107" s="212"/>
      <c r="FGF107" s="212"/>
      <c r="FGG107" s="212"/>
      <c r="FGH107" s="212"/>
      <c r="FGI107" s="212"/>
      <c r="FGJ107" s="212"/>
      <c r="FGK107" s="212"/>
      <c r="FGL107" s="212"/>
      <c r="FGM107" s="212"/>
      <c r="FGN107" s="212"/>
      <c r="FGO107" s="212"/>
      <c r="FGP107" s="212"/>
      <c r="FGQ107" s="212"/>
      <c r="FGR107" s="212"/>
      <c r="FGS107" s="212"/>
      <c r="FGT107" s="212"/>
      <c r="FGU107" s="212"/>
      <c r="FGV107" s="212"/>
      <c r="FGW107" s="212"/>
      <c r="FGX107" s="212"/>
      <c r="FGY107" s="212"/>
      <c r="FGZ107" s="212"/>
      <c r="FHA107" s="212"/>
      <c r="FHB107" s="212"/>
      <c r="FHC107" s="212"/>
      <c r="FHD107" s="212"/>
      <c r="FHE107" s="212"/>
      <c r="FHF107" s="212"/>
      <c r="FHG107" s="212"/>
      <c r="FHH107" s="212"/>
      <c r="FHI107" s="212"/>
      <c r="FHJ107" s="212"/>
      <c r="FHK107" s="212"/>
      <c r="FHL107" s="212"/>
      <c r="FHM107" s="212"/>
      <c r="FHN107" s="212"/>
      <c r="FHO107" s="212"/>
      <c r="FHP107" s="212"/>
      <c r="FHQ107" s="212"/>
      <c r="FHR107" s="212"/>
      <c r="FHS107" s="212"/>
      <c r="FHT107" s="212"/>
      <c r="FHU107" s="212"/>
      <c r="FHV107" s="212"/>
      <c r="FHW107" s="212"/>
      <c r="FHX107" s="212"/>
      <c r="FHY107" s="212"/>
      <c r="FHZ107" s="212"/>
      <c r="FIA107" s="212"/>
      <c r="FIB107" s="212"/>
      <c r="FIC107" s="212"/>
      <c r="FID107" s="212"/>
      <c r="FIE107" s="212"/>
      <c r="FIF107" s="212"/>
      <c r="FIG107" s="212"/>
      <c r="FIH107" s="212"/>
      <c r="FII107" s="212"/>
      <c r="FIJ107" s="212"/>
      <c r="FIK107" s="212"/>
      <c r="FIL107" s="212"/>
      <c r="FIM107" s="212"/>
      <c r="FIN107" s="212"/>
      <c r="FIO107" s="212"/>
      <c r="FIP107" s="212"/>
      <c r="FIQ107" s="212"/>
      <c r="FIR107" s="212"/>
      <c r="FIS107" s="212"/>
      <c r="FIT107" s="212"/>
      <c r="FIU107" s="212"/>
      <c r="FIV107" s="212"/>
      <c r="FIW107" s="212"/>
      <c r="FIX107" s="212"/>
      <c r="FIY107" s="212"/>
      <c r="FIZ107" s="212"/>
      <c r="FJA107" s="212"/>
      <c r="FJB107" s="212"/>
      <c r="FJC107" s="212"/>
      <c r="FJD107" s="212"/>
      <c r="FJE107" s="212"/>
      <c r="FJF107" s="212"/>
      <c r="FJG107" s="212"/>
      <c r="FJH107" s="212"/>
      <c r="FJI107" s="212"/>
      <c r="FJJ107" s="212"/>
      <c r="FJK107" s="212"/>
      <c r="FJL107" s="212"/>
      <c r="FJM107" s="212"/>
      <c r="FJN107" s="212"/>
      <c r="FJO107" s="212"/>
      <c r="FJP107" s="212"/>
      <c r="FJQ107" s="212"/>
      <c r="FJR107" s="212"/>
      <c r="FJS107" s="212"/>
      <c r="FJT107" s="212"/>
      <c r="FJU107" s="212"/>
      <c r="FJV107" s="212"/>
      <c r="FJW107" s="212"/>
      <c r="FJX107" s="212"/>
      <c r="FJY107" s="212"/>
      <c r="FJZ107" s="212"/>
      <c r="FKA107" s="212"/>
      <c r="FKB107" s="212"/>
      <c r="FKC107" s="212"/>
      <c r="FKD107" s="212"/>
      <c r="FKE107" s="212"/>
      <c r="FKF107" s="212"/>
      <c r="FKG107" s="212"/>
      <c r="FKH107" s="212"/>
      <c r="FKI107" s="212"/>
      <c r="FKJ107" s="212"/>
      <c r="FKK107" s="212"/>
      <c r="FKL107" s="212"/>
      <c r="FKM107" s="212"/>
      <c r="FKN107" s="212"/>
      <c r="FKO107" s="212"/>
      <c r="FKP107" s="212"/>
      <c r="FKQ107" s="212"/>
      <c r="FKR107" s="212"/>
      <c r="FKS107" s="212"/>
      <c r="FKT107" s="212"/>
      <c r="FKU107" s="212"/>
      <c r="FKV107" s="212"/>
      <c r="FKW107" s="212"/>
      <c r="FKX107" s="212"/>
      <c r="FKY107" s="212"/>
      <c r="FKZ107" s="212"/>
      <c r="FLA107" s="212"/>
      <c r="FLB107" s="212"/>
      <c r="FLC107" s="212"/>
      <c r="FLD107" s="212"/>
      <c r="FLE107" s="212"/>
      <c r="FLF107" s="212"/>
      <c r="FLG107" s="212"/>
      <c r="FLH107" s="212"/>
      <c r="FLI107" s="212"/>
      <c r="FLJ107" s="212"/>
      <c r="FLK107" s="212"/>
      <c r="FLL107" s="212"/>
      <c r="FLM107" s="212"/>
      <c r="FLN107" s="212"/>
      <c r="FLO107" s="212"/>
      <c r="FLP107" s="212"/>
      <c r="FLQ107" s="212"/>
      <c r="FLR107" s="212"/>
      <c r="FLS107" s="212"/>
      <c r="FLT107" s="212"/>
      <c r="FLU107" s="212"/>
      <c r="FLV107" s="212"/>
      <c r="FLW107" s="212"/>
      <c r="FLX107" s="212"/>
      <c r="FLY107" s="212"/>
      <c r="FLZ107" s="212"/>
      <c r="FMA107" s="212"/>
      <c r="FMB107" s="212"/>
      <c r="FMC107" s="212"/>
      <c r="FMD107" s="212"/>
      <c r="FME107" s="212"/>
      <c r="FMF107" s="212"/>
      <c r="FMG107" s="212"/>
      <c r="FMH107" s="212"/>
      <c r="FMI107" s="212"/>
      <c r="FMJ107" s="212"/>
      <c r="FMK107" s="212"/>
      <c r="FML107" s="212"/>
      <c r="FMM107" s="212"/>
      <c r="FMN107" s="212"/>
      <c r="FMO107" s="212"/>
      <c r="FMP107" s="212"/>
      <c r="FMQ107" s="212"/>
      <c r="FMR107" s="212"/>
      <c r="FMS107" s="212"/>
      <c r="FMT107" s="212"/>
      <c r="FMU107" s="212"/>
      <c r="FMV107" s="212"/>
      <c r="FMW107" s="212"/>
      <c r="FMX107" s="212"/>
      <c r="FMY107" s="212"/>
      <c r="FMZ107" s="212"/>
      <c r="FNA107" s="212"/>
      <c r="FNB107" s="212"/>
      <c r="FNC107" s="212"/>
      <c r="FND107" s="212"/>
      <c r="FNE107" s="212"/>
      <c r="FNF107" s="212"/>
      <c r="FNG107" s="212"/>
      <c r="FNH107" s="212"/>
      <c r="FNI107" s="212"/>
      <c r="FNJ107" s="212"/>
      <c r="FNK107" s="212"/>
      <c r="FNL107" s="212"/>
      <c r="FNM107" s="212"/>
      <c r="FNN107" s="212"/>
      <c r="FNO107" s="212"/>
      <c r="FNP107" s="212"/>
      <c r="FNQ107" s="212"/>
      <c r="FNR107" s="212"/>
      <c r="FNS107" s="212"/>
      <c r="FNT107" s="212"/>
      <c r="FNU107" s="212"/>
      <c r="FNV107" s="212"/>
      <c r="FNW107" s="212"/>
      <c r="FNX107" s="212"/>
      <c r="FNY107" s="212"/>
      <c r="FNZ107" s="212"/>
      <c r="FOA107" s="212"/>
      <c r="FOB107" s="212"/>
      <c r="FOC107" s="212"/>
      <c r="FOD107" s="212"/>
      <c r="FOE107" s="212"/>
      <c r="FOF107" s="212"/>
      <c r="FOG107" s="212"/>
      <c r="FOH107" s="212"/>
      <c r="FOI107" s="212"/>
      <c r="FOJ107" s="212"/>
      <c r="FOK107" s="212"/>
      <c r="FOL107" s="212"/>
      <c r="FOM107" s="212"/>
      <c r="FON107" s="212"/>
      <c r="FOO107" s="212"/>
      <c r="FOP107" s="212"/>
      <c r="FOQ107" s="212"/>
      <c r="FOR107" s="212"/>
      <c r="FOS107" s="212"/>
      <c r="FOT107" s="212"/>
      <c r="FOU107" s="212"/>
      <c r="FOV107" s="212"/>
      <c r="FOW107" s="212"/>
      <c r="FOX107" s="212"/>
      <c r="FOY107" s="212"/>
      <c r="FOZ107" s="212"/>
      <c r="FPA107" s="212"/>
      <c r="FPB107" s="212"/>
      <c r="FPC107" s="212"/>
      <c r="FPD107" s="212"/>
      <c r="FPE107" s="212"/>
      <c r="FPF107" s="212"/>
      <c r="FPG107" s="212"/>
      <c r="FPH107" s="212"/>
      <c r="FPI107" s="212"/>
      <c r="FPJ107" s="212"/>
      <c r="FPK107" s="212"/>
      <c r="FPL107" s="212"/>
      <c r="FPM107" s="212"/>
      <c r="FPN107" s="212"/>
      <c r="FPO107" s="212"/>
      <c r="FPP107" s="212"/>
      <c r="FPQ107" s="212"/>
      <c r="FPR107" s="212"/>
      <c r="FPS107" s="212"/>
      <c r="FPT107" s="212"/>
      <c r="FPU107" s="212"/>
      <c r="FPV107" s="212"/>
      <c r="FPW107" s="212"/>
      <c r="FPX107" s="212"/>
      <c r="FPY107" s="212"/>
      <c r="FPZ107" s="212"/>
      <c r="FQA107" s="212"/>
      <c r="FQB107" s="212"/>
      <c r="FQC107" s="212"/>
      <c r="FQD107" s="212"/>
      <c r="FQE107" s="212"/>
      <c r="FQF107" s="212"/>
      <c r="FQG107" s="212"/>
      <c r="FQH107" s="212"/>
      <c r="FQI107" s="212"/>
      <c r="FQJ107" s="212"/>
      <c r="FQK107" s="212"/>
      <c r="FQL107" s="212"/>
      <c r="FQM107" s="212"/>
      <c r="FQN107" s="212"/>
      <c r="FQO107" s="212"/>
      <c r="FQP107" s="212"/>
      <c r="FQQ107" s="212"/>
      <c r="FQR107" s="212"/>
      <c r="FQS107" s="212"/>
      <c r="FQT107" s="212"/>
      <c r="FQU107" s="212"/>
      <c r="FQV107" s="212"/>
      <c r="FQW107" s="212"/>
      <c r="FQX107" s="212"/>
      <c r="FQY107" s="212"/>
      <c r="FQZ107" s="212"/>
      <c r="FRA107" s="212"/>
      <c r="FRB107" s="212"/>
      <c r="FRC107" s="212"/>
      <c r="FRD107" s="212"/>
      <c r="FRE107" s="212"/>
      <c r="FRF107" s="212"/>
      <c r="FRG107" s="212"/>
      <c r="FRH107" s="212"/>
      <c r="FRI107" s="212"/>
      <c r="FRJ107" s="212"/>
      <c r="FRK107" s="212"/>
      <c r="FRL107" s="212"/>
      <c r="FRM107" s="212"/>
      <c r="FRN107" s="212"/>
      <c r="FRO107" s="212"/>
      <c r="FRP107" s="212"/>
      <c r="FRQ107" s="212"/>
      <c r="FRR107" s="212"/>
      <c r="FRS107" s="212"/>
      <c r="FRT107" s="212"/>
      <c r="FRU107" s="212"/>
      <c r="FRV107" s="212"/>
      <c r="FRW107" s="212"/>
      <c r="FRX107" s="212"/>
      <c r="FRY107" s="212"/>
      <c r="FRZ107" s="212"/>
      <c r="FSA107" s="212"/>
      <c r="FSB107" s="212"/>
      <c r="FSC107" s="212"/>
      <c r="FSD107" s="212"/>
      <c r="FSE107" s="212"/>
      <c r="FSF107" s="212"/>
      <c r="FSG107" s="212"/>
      <c r="FSH107" s="212"/>
      <c r="FSI107" s="212"/>
      <c r="FSJ107" s="212"/>
      <c r="FSK107" s="212"/>
      <c r="FSL107" s="212"/>
      <c r="FSM107" s="212"/>
      <c r="FSN107" s="212"/>
      <c r="FSO107" s="212"/>
      <c r="FSP107" s="212"/>
      <c r="FSQ107" s="212"/>
      <c r="FSR107" s="212"/>
      <c r="FSS107" s="212"/>
      <c r="FST107" s="212"/>
      <c r="FSU107" s="212"/>
      <c r="FSV107" s="212"/>
      <c r="FSW107" s="212"/>
      <c r="FSX107" s="212"/>
      <c r="FSY107" s="212"/>
      <c r="FSZ107" s="212"/>
      <c r="FTA107" s="212"/>
      <c r="FTB107" s="212"/>
      <c r="FTC107" s="212"/>
      <c r="FTD107" s="212"/>
      <c r="FTE107" s="212"/>
      <c r="FTF107" s="212"/>
      <c r="FTG107" s="212"/>
      <c r="FTH107" s="212"/>
      <c r="FTI107" s="212"/>
      <c r="FTJ107" s="212"/>
      <c r="FTK107" s="212"/>
      <c r="FTL107" s="212"/>
      <c r="FTM107" s="212"/>
      <c r="FTN107" s="212"/>
      <c r="FTO107" s="212"/>
      <c r="FTP107" s="212"/>
      <c r="FTQ107" s="212"/>
      <c r="FTR107" s="212"/>
      <c r="FTS107" s="212"/>
      <c r="FTT107" s="212"/>
      <c r="FTU107" s="212"/>
      <c r="FTV107" s="212"/>
      <c r="FTW107" s="212"/>
      <c r="FTX107" s="212"/>
      <c r="FTY107" s="212"/>
      <c r="FTZ107" s="212"/>
      <c r="FUA107" s="212"/>
      <c r="FUB107" s="212"/>
      <c r="FUC107" s="212"/>
      <c r="FUD107" s="212"/>
      <c r="FUE107" s="212"/>
      <c r="FUF107" s="212"/>
      <c r="FUG107" s="212"/>
      <c r="FUH107" s="212"/>
      <c r="FUI107" s="212"/>
      <c r="FUJ107" s="212"/>
      <c r="FUK107" s="212"/>
      <c r="FUL107" s="212"/>
      <c r="FUM107" s="212"/>
      <c r="FUN107" s="212"/>
      <c r="FUO107" s="212"/>
      <c r="FUP107" s="212"/>
      <c r="FUQ107" s="212"/>
      <c r="FUR107" s="212"/>
      <c r="FUS107" s="212"/>
      <c r="FUT107" s="212"/>
      <c r="FUU107" s="212"/>
      <c r="FUV107" s="212"/>
      <c r="FUW107" s="212"/>
      <c r="FUX107" s="212"/>
      <c r="FUY107" s="212"/>
      <c r="FUZ107" s="212"/>
      <c r="FVA107" s="212"/>
      <c r="FVB107" s="212"/>
      <c r="FVC107" s="212"/>
      <c r="FVD107" s="212"/>
      <c r="FVE107" s="212"/>
      <c r="FVF107" s="212"/>
      <c r="FVG107" s="212"/>
      <c r="FVH107" s="212"/>
      <c r="FVI107" s="212"/>
      <c r="FVJ107" s="212"/>
      <c r="FVK107" s="212"/>
      <c r="FVL107" s="212"/>
      <c r="FVM107" s="212"/>
      <c r="FVN107" s="212"/>
      <c r="FVO107" s="212"/>
      <c r="FVP107" s="212"/>
      <c r="FVQ107" s="212"/>
      <c r="FVR107" s="212"/>
      <c r="FVS107" s="212"/>
      <c r="FVT107" s="212"/>
      <c r="FVU107" s="212"/>
      <c r="FVV107" s="212"/>
      <c r="FVW107" s="212"/>
      <c r="FVX107" s="212"/>
      <c r="FVY107" s="212"/>
      <c r="FVZ107" s="212"/>
      <c r="FWA107" s="212"/>
      <c r="FWB107" s="212"/>
      <c r="FWC107" s="212"/>
      <c r="FWD107" s="212"/>
      <c r="FWE107" s="212"/>
      <c r="FWF107" s="212"/>
      <c r="FWG107" s="212"/>
      <c r="FWH107" s="212"/>
      <c r="FWI107" s="212"/>
      <c r="FWJ107" s="212"/>
      <c r="FWK107" s="212"/>
      <c r="FWL107" s="212"/>
      <c r="FWM107" s="212"/>
      <c r="FWN107" s="212"/>
      <c r="FWO107" s="212"/>
      <c r="FWP107" s="212"/>
      <c r="FWQ107" s="212"/>
      <c r="FWR107" s="212"/>
      <c r="FWS107" s="212"/>
      <c r="FWT107" s="212"/>
      <c r="FWU107" s="212"/>
      <c r="FWV107" s="212"/>
      <c r="FWW107" s="212"/>
      <c r="FWX107" s="212"/>
      <c r="FWY107" s="212"/>
      <c r="FWZ107" s="212"/>
      <c r="FXA107" s="212"/>
      <c r="FXB107" s="212"/>
      <c r="FXC107" s="212"/>
      <c r="FXD107" s="212"/>
      <c r="FXE107" s="212"/>
      <c r="FXF107" s="212"/>
      <c r="FXG107" s="212"/>
      <c r="FXH107" s="212"/>
      <c r="FXI107" s="212"/>
      <c r="FXJ107" s="212"/>
      <c r="FXK107" s="212"/>
      <c r="FXL107" s="212"/>
      <c r="FXM107" s="212"/>
      <c r="FXN107" s="212"/>
      <c r="FXO107" s="212"/>
      <c r="FXP107" s="212"/>
      <c r="FXQ107" s="212"/>
      <c r="FXR107" s="212"/>
      <c r="FXS107" s="212"/>
      <c r="FXT107" s="212"/>
      <c r="FXU107" s="212"/>
      <c r="FXV107" s="212"/>
      <c r="FXW107" s="212"/>
      <c r="FXX107" s="212"/>
      <c r="FXY107" s="212"/>
      <c r="FXZ107" s="212"/>
      <c r="FYA107" s="212"/>
      <c r="FYB107" s="212"/>
      <c r="FYC107" s="212"/>
      <c r="FYD107" s="212"/>
      <c r="FYE107" s="212"/>
      <c r="FYF107" s="212"/>
      <c r="FYG107" s="212"/>
      <c r="FYH107" s="212"/>
      <c r="FYI107" s="212"/>
      <c r="FYJ107" s="212"/>
      <c r="FYK107" s="212"/>
      <c r="FYL107" s="212"/>
      <c r="FYM107" s="212"/>
      <c r="FYN107" s="212"/>
      <c r="FYO107" s="212"/>
      <c r="FYP107" s="212"/>
      <c r="FYQ107" s="212"/>
      <c r="FYR107" s="212"/>
      <c r="FYS107" s="212"/>
      <c r="FYT107" s="212"/>
      <c r="FYU107" s="212"/>
      <c r="FYV107" s="212"/>
      <c r="FYW107" s="212"/>
      <c r="FYX107" s="212"/>
      <c r="FYY107" s="212"/>
      <c r="FYZ107" s="212"/>
      <c r="FZA107" s="212"/>
      <c r="FZB107" s="212"/>
      <c r="FZC107" s="212"/>
      <c r="FZD107" s="212"/>
      <c r="FZE107" s="212"/>
      <c r="FZF107" s="212"/>
      <c r="FZG107" s="212"/>
      <c r="FZH107" s="212"/>
      <c r="FZI107" s="212"/>
      <c r="FZJ107" s="212"/>
      <c r="FZK107" s="212"/>
      <c r="FZL107" s="212"/>
      <c r="FZM107" s="212"/>
      <c r="FZN107" s="212"/>
      <c r="FZO107" s="212"/>
      <c r="FZP107" s="212"/>
      <c r="FZQ107" s="212"/>
      <c r="FZR107" s="212"/>
      <c r="FZS107" s="212"/>
      <c r="FZT107" s="212"/>
      <c r="FZU107" s="212"/>
      <c r="FZV107" s="212"/>
      <c r="FZW107" s="212"/>
      <c r="FZX107" s="212"/>
      <c r="FZY107" s="212"/>
      <c r="FZZ107" s="212"/>
      <c r="GAA107" s="212"/>
      <c r="GAB107" s="212"/>
      <c r="GAC107" s="212"/>
      <c r="GAD107" s="212"/>
      <c r="GAE107" s="212"/>
      <c r="GAF107" s="212"/>
      <c r="GAG107" s="212"/>
      <c r="GAH107" s="212"/>
      <c r="GAI107" s="212"/>
      <c r="GAJ107" s="212"/>
      <c r="GAK107" s="212"/>
      <c r="GAL107" s="212"/>
      <c r="GAM107" s="212"/>
      <c r="GAN107" s="212"/>
      <c r="GAO107" s="212"/>
      <c r="GAP107" s="212"/>
      <c r="GAQ107" s="212"/>
      <c r="GAR107" s="212"/>
      <c r="GAS107" s="212"/>
      <c r="GAT107" s="212"/>
      <c r="GAU107" s="212"/>
      <c r="GAV107" s="212"/>
      <c r="GAW107" s="212"/>
      <c r="GAX107" s="212"/>
      <c r="GAY107" s="212"/>
      <c r="GAZ107" s="212"/>
      <c r="GBA107" s="212"/>
      <c r="GBB107" s="212"/>
      <c r="GBC107" s="212"/>
      <c r="GBD107" s="212"/>
      <c r="GBE107" s="212"/>
      <c r="GBF107" s="212"/>
      <c r="GBG107" s="212"/>
      <c r="GBH107" s="212"/>
      <c r="GBI107" s="212"/>
      <c r="GBJ107" s="212"/>
      <c r="GBK107" s="212"/>
      <c r="GBL107" s="212"/>
      <c r="GBM107" s="212"/>
      <c r="GBN107" s="212"/>
      <c r="GBO107" s="212"/>
      <c r="GBP107" s="212"/>
      <c r="GBQ107" s="212"/>
      <c r="GBR107" s="212"/>
      <c r="GBS107" s="212"/>
      <c r="GBT107" s="212"/>
      <c r="GBU107" s="212"/>
      <c r="GBV107" s="212"/>
      <c r="GBW107" s="212"/>
      <c r="GBX107" s="212"/>
      <c r="GBY107" s="212"/>
      <c r="GBZ107" s="212"/>
      <c r="GCA107" s="212"/>
      <c r="GCB107" s="212"/>
      <c r="GCC107" s="212"/>
      <c r="GCD107" s="212"/>
      <c r="GCE107" s="212"/>
      <c r="GCF107" s="212"/>
      <c r="GCG107" s="212"/>
      <c r="GCH107" s="212"/>
      <c r="GCI107" s="212"/>
      <c r="GCJ107" s="212"/>
      <c r="GCK107" s="212"/>
      <c r="GCL107" s="212"/>
      <c r="GCM107" s="212"/>
      <c r="GCN107" s="212"/>
      <c r="GCO107" s="212"/>
      <c r="GCP107" s="212"/>
      <c r="GCQ107" s="212"/>
      <c r="GCR107" s="212"/>
      <c r="GCS107" s="212"/>
      <c r="GCT107" s="212"/>
      <c r="GCU107" s="212"/>
      <c r="GCV107" s="212"/>
      <c r="GCW107" s="212"/>
      <c r="GCX107" s="212"/>
      <c r="GCY107" s="212"/>
      <c r="GCZ107" s="212"/>
      <c r="GDA107" s="212"/>
      <c r="GDB107" s="212"/>
      <c r="GDC107" s="212"/>
      <c r="GDD107" s="212"/>
      <c r="GDE107" s="212"/>
      <c r="GDF107" s="212"/>
      <c r="GDG107" s="212"/>
      <c r="GDH107" s="212"/>
      <c r="GDI107" s="212"/>
      <c r="GDJ107" s="212"/>
      <c r="GDK107" s="212"/>
      <c r="GDL107" s="212"/>
      <c r="GDM107" s="212"/>
      <c r="GDN107" s="212"/>
      <c r="GDO107" s="212"/>
      <c r="GDP107" s="212"/>
      <c r="GDQ107" s="212"/>
      <c r="GDR107" s="212"/>
      <c r="GDS107" s="212"/>
      <c r="GDT107" s="212"/>
      <c r="GDU107" s="212"/>
      <c r="GDV107" s="212"/>
      <c r="GDW107" s="212"/>
      <c r="GDX107" s="212"/>
      <c r="GDY107" s="212"/>
      <c r="GDZ107" s="212"/>
      <c r="GEA107" s="212"/>
      <c r="GEB107" s="212"/>
      <c r="GEC107" s="212"/>
      <c r="GED107" s="212"/>
      <c r="GEE107" s="212"/>
      <c r="GEF107" s="212"/>
      <c r="GEG107" s="212"/>
      <c r="GEH107" s="212"/>
      <c r="GEI107" s="212"/>
      <c r="GEJ107" s="212"/>
      <c r="GEK107" s="212"/>
      <c r="GEL107" s="212"/>
      <c r="GEM107" s="212"/>
      <c r="GEN107" s="212"/>
      <c r="GEO107" s="212"/>
      <c r="GEP107" s="212"/>
      <c r="GEQ107" s="212"/>
      <c r="GER107" s="212"/>
      <c r="GES107" s="212"/>
      <c r="GET107" s="212"/>
      <c r="GEU107" s="212"/>
      <c r="GEV107" s="212"/>
      <c r="GEW107" s="212"/>
      <c r="GEX107" s="212"/>
      <c r="GEY107" s="212"/>
      <c r="GEZ107" s="212"/>
      <c r="GFA107" s="212"/>
      <c r="GFB107" s="212"/>
      <c r="GFC107" s="212"/>
      <c r="GFD107" s="212"/>
      <c r="GFE107" s="212"/>
      <c r="GFF107" s="212"/>
      <c r="GFG107" s="212"/>
      <c r="GFH107" s="212"/>
      <c r="GFI107" s="212"/>
      <c r="GFJ107" s="212"/>
      <c r="GFK107" s="212"/>
      <c r="GFL107" s="212"/>
      <c r="GFM107" s="212"/>
      <c r="GFN107" s="212"/>
      <c r="GFO107" s="212"/>
      <c r="GFP107" s="212"/>
      <c r="GFQ107" s="212"/>
      <c r="GFR107" s="212"/>
      <c r="GFS107" s="212"/>
      <c r="GFT107" s="212"/>
      <c r="GFU107" s="212"/>
      <c r="GFV107" s="212"/>
      <c r="GFW107" s="212"/>
      <c r="GFX107" s="212"/>
      <c r="GFY107" s="212"/>
      <c r="GFZ107" s="212"/>
      <c r="GGA107" s="212"/>
      <c r="GGB107" s="212"/>
      <c r="GGC107" s="212"/>
      <c r="GGD107" s="212"/>
      <c r="GGE107" s="212"/>
      <c r="GGF107" s="212"/>
      <c r="GGG107" s="212"/>
      <c r="GGH107" s="212"/>
      <c r="GGI107" s="212"/>
      <c r="GGJ107" s="212"/>
      <c r="GGK107" s="212"/>
      <c r="GGL107" s="212"/>
      <c r="GGM107" s="212"/>
      <c r="GGN107" s="212"/>
      <c r="GGO107" s="212"/>
      <c r="GGP107" s="212"/>
      <c r="GGQ107" s="212"/>
      <c r="GGR107" s="212"/>
      <c r="GGS107" s="212"/>
      <c r="GGT107" s="212"/>
      <c r="GGU107" s="212"/>
      <c r="GGV107" s="212"/>
      <c r="GGW107" s="212"/>
      <c r="GGX107" s="212"/>
      <c r="GGY107" s="212"/>
      <c r="GGZ107" s="212"/>
      <c r="GHA107" s="212"/>
      <c r="GHB107" s="212"/>
      <c r="GHC107" s="212"/>
      <c r="GHD107" s="212"/>
      <c r="GHE107" s="212"/>
      <c r="GHF107" s="212"/>
      <c r="GHG107" s="212"/>
      <c r="GHH107" s="212"/>
      <c r="GHI107" s="212"/>
      <c r="GHJ107" s="212"/>
      <c r="GHK107" s="212"/>
      <c r="GHL107" s="212"/>
      <c r="GHM107" s="212"/>
      <c r="GHN107" s="212"/>
      <c r="GHO107" s="212"/>
      <c r="GHP107" s="212"/>
      <c r="GHQ107" s="212"/>
      <c r="GHR107" s="212"/>
      <c r="GHS107" s="212"/>
      <c r="GHT107" s="212"/>
      <c r="GHU107" s="212"/>
      <c r="GHV107" s="212"/>
      <c r="GHW107" s="212"/>
      <c r="GHX107" s="212"/>
      <c r="GHY107" s="212"/>
      <c r="GHZ107" s="212"/>
      <c r="GIA107" s="212"/>
      <c r="GIB107" s="212"/>
      <c r="GIC107" s="212"/>
      <c r="GID107" s="212"/>
      <c r="GIE107" s="212"/>
      <c r="GIF107" s="212"/>
      <c r="GIG107" s="212"/>
      <c r="GIH107" s="212"/>
      <c r="GII107" s="212"/>
      <c r="GIJ107" s="212"/>
      <c r="GIK107" s="212"/>
      <c r="GIL107" s="212"/>
      <c r="GIM107" s="212"/>
      <c r="GIN107" s="212"/>
      <c r="GIO107" s="212"/>
      <c r="GIP107" s="212"/>
      <c r="GIQ107" s="212"/>
      <c r="GIR107" s="212"/>
      <c r="GIS107" s="212"/>
      <c r="GIT107" s="212"/>
      <c r="GIU107" s="212"/>
      <c r="GIV107" s="212"/>
      <c r="GIW107" s="212"/>
      <c r="GIX107" s="212"/>
      <c r="GIY107" s="212"/>
      <c r="GIZ107" s="212"/>
      <c r="GJA107" s="212"/>
      <c r="GJB107" s="212"/>
      <c r="GJC107" s="212"/>
      <c r="GJD107" s="212"/>
      <c r="GJE107" s="212"/>
      <c r="GJF107" s="212"/>
      <c r="GJG107" s="212"/>
      <c r="GJH107" s="212"/>
      <c r="GJI107" s="212"/>
      <c r="GJJ107" s="212"/>
      <c r="GJK107" s="212"/>
      <c r="GJL107" s="212"/>
      <c r="GJM107" s="212"/>
      <c r="GJN107" s="212"/>
      <c r="GJO107" s="212"/>
      <c r="GJP107" s="212"/>
      <c r="GJQ107" s="212"/>
      <c r="GJR107" s="212"/>
      <c r="GJS107" s="212"/>
      <c r="GJT107" s="212"/>
      <c r="GJU107" s="212"/>
      <c r="GJV107" s="212"/>
      <c r="GJW107" s="212"/>
      <c r="GJX107" s="212"/>
      <c r="GJY107" s="212"/>
      <c r="GJZ107" s="212"/>
      <c r="GKA107" s="212"/>
      <c r="GKB107" s="212"/>
      <c r="GKC107" s="212"/>
      <c r="GKD107" s="212"/>
      <c r="GKE107" s="212"/>
      <c r="GKF107" s="212"/>
      <c r="GKG107" s="212"/>
      <c r="GKH107" s="212"/>
      <c r="GKI107" s="212"/>
      <c r="GKJ107" s="212"/>
      <c r="GKK107" s="212"/>
      <c r="GKL107" s="212"/>
      <c r="GKM107" s="212"/>
      <c r="GKN107" s="212"/>
      <c r="GKO107" s="212"/>
      <c r="GKP107" s="212"/>
      <c r="GKQ107" s="212"/>
      <c r="GKR107" s="212"/>
      <c r="GKS107" s="212"/>
      <c r="GKT107" s="212"/>
      <c r="GKU107" s="212"/>
      <c r="GKV107" s="212"/>
      <c r="GKW107" s="212"/>
      <c r="GKX107" s="212"/>
      <c r="GKY107" s="212"/>
      <c r="GKZ107" s="212"/>
      <c r="GLA107" s="212"/>
      <c r="GLB107" s="212"/>
      <c r="GLC107" s="212"/>
      <c r="GLD107" s="212"/>
      <c r="GLE107" s="212"/>
      <c r="GLF107" s="212"/>
      <c r="GLG107" s="212"/>
      <c r="GLH107" s="212"/>
      <c r="GLI107" s="212"/>
      <c r="GLJ107" s="212"/>
      <c r="GLK107" s="212"/>
      <c r="GLL107" s="212"/>
      <c r="GLM107" s="212"/>
      <c r="GLN107" s="212"/>
      <c r="GLO107" s="212"/>
      <c r="GLP107" s="212"/>
      <c r="GLQ107" s="212"/>
      <c r="GLR107" s="212"/>
      <c r="GLS107" s="212"/>
      <c r="GLT107" s="212"/>
      <c r="GLU107" s="212"/>
      <c r="GLV107" s="212"/>
      <c r="GLW107" s="212"/>
      <c r="GLX107" s="212"/>
      <c r="GLY107" s="212"/>
      <c r="GLZ107" s="212"/>
      <c r="GMA107" s="212"/>
      <c r="GMB107" s="212"/>
      <c r="GMC107" s="212"/>
      <c r="GMD107" s="212"/>
      <c r="GME107" s="212"/>
      <c r="GMF107" s="212"/>
      <c r="GMG107" s="212"/>
      <c r="GMH107" s="212"/>
      <c r="GMI107" s="212"/>
      <c r="GMJ107" s="212"/>
      <c r="GMK107" s="212"/>
      <c r="GML107" s="212"/>
      <c r="GMM107" s="212"/>
      <c r="GMN107" s="212"/>
      <c r="GMO107" s="212"/>
      <c r="GMP107" s="212"/>
      <c r="GMQ107" s="212"/>
      <c r="GMR107" s="212"/>
      <c r="GMS107" s="212"/>
      <c r="GMT107" s="212"/>
      <c r="GMU107" s="212"/>
      <c r="GMV107" s="212"/>
      <c r="GMW107" s="212"/>
      <c r="GMX107" s="212"/>
      <c r="GMY107" s="212"/>
      <c r="GMZ107" s="212"/>
      <c r="GNA107" s="212"/>
      <c r="GNB107" s="212"/>
      <c r="GNC107" s="212"/>
      <c r="GND107" s="212"/>
      <c r="GNE107" s="212"/>
      <c r="GNF107" s="212"/>
      <c r="GNG107" s="212"/>
      <c r="GNH107" s="212"/>
      <c r="GNI107" s="212"/>
      <c r="GNJ107" s="212"/>
      <c r="GNK107" s="212"/>
      <c r="GNL107" s="212"/>
      <c r="GNM107" s="212"/>
      <c r="GNN107" s="212"/>
      <c r="GNO107" s="212"/>
      <c r="GNP107" s="212"/>
      <c r="GNQ107" s="212"/>
      <c r="GNR107" s="212"/>
      <c r="GNS107" s="212"/>
      <c r="GNT107" s="212"/>
      <c r="GNU107" s="212"/>
      <c r="GNV107" s="212"/>
      <c r="GNW107" s="212"/>
      <c r="GNX107" s="212"/>
      <c r="GNY107" s="212"/>
      <c r="GNZ107" s="212"/>
      <c r="GOA107" s="212"/>
      <c r="GOB107" s="212"/>
      <c r="GOC107" s="212"/>
      <c r="GOD107" s="212"/>
      <c r="GOE107" s="212"/>
      <c r="GOF107" s="212"/>
      <c r="GOG107" s="212"/>
      <c r="GOH107" s="212"/>
      <c r="GOI107" s="212"/>
      <c r="GOJ107" s="212"/>
      <c r="GOK107" s="212"/>
      <c r="GOL107" s="212"/>
      <c r="GOM107" s="212"/>
      <c r="GON107" s="212"/>
      <c r="GOO107" s="212"/>
      <c r="GOP107" s="212"/>
      <c r="GOQ107" s="212"/>
      <c r="GOR107" s="212"/>
      <c r="GOS107" s="212"/>
      <c r="GOT107" s="212"/>
      <c r="GOU107" s="212"/>
      <c r="GOV107" s="212"/>
      <c r="GOW107" s="212"/>
      <c r="GOX107" s="212"/>
      <c r="GOY107" s="212"/>
      <c r="GOZ107" s="212"/>
      <c r="GPA107" s="212"/>
      <c r="GPB107" s="212"/>
      <c r="GPC107" s="212"/>
      <c r="GPD107" s="212"/>
      <c r="GPE107" s="212"/>
      <c r="GPF107" s="212"/>
      <c r="GPG107" s="212"/>
      <c r="GPH107" s="212"/>
      <c r="GPI107" s="212"/>
      <c r="GPJ107" s="212"/>
      <c r="GPK107" s="212"/>
      <c r="GPL107" s="212"/>
      <c r="GPM107" s="212"/>
      <c r="GPN107" s="212"/>
      <c r="GPO107" s="212"/>
      <c r="GPP107" s="212"/>
      <c r="GPQ107" s="212"/>
      <c r="GPR107" s="212"/>
      <c r="GPS107" s="212"/>
      <c r="GPT107" s="212"/>
      <c r="GPU107" s="212"/>
      <c r="GPV107" s="212"/>
      <c r="GPW107" s="212"/>
      <c r="GPX107" s="212"/>
      <c r="GPY107" s="212"/>
      <c r="GPZ107" s="212"/>
      <c r="GQA107" s="212"/>
      <c r="GQB107" s="212"/>
      <c r="GQC107" s="212"/>
      <c r="GQD107" s="212"/>
      <c r="GQE107" s="212"/>
      <c r="GQF107" s="212"/>
      <c r="GQG107" s="212"/>
      <c r="GQH107" s="212"/>
      <c r="GQI107" s="212"/>
      <c r="GQJ107" s="212"/>
      <c r="GQK107" s="212"/>
      <c r="GQL107" s="212"/>
      <c r="GQM107" s="212"/>
      <c r="GQN107" s="212"/>
      <c r="GQO107" s="212"/>
      <c r="GQP107" s="212"/>
      <c r="GQQ107" s="212"/>
      <c r="GQR107" s="212"/>
      <c r="GQS107" s="212"/>
      <c r="GQT107" s="212"/>
      <c r="GQU107" s="212"/>
      <c r="GQV107" s="212"/>
      <c r="GQW107" s="212"/>
      <c r="GQX107" s="212"/>
      <c r="GQY107" s="212"/>
      <c r="GQZ107" s="212"/>
      <c r="GRA107" s="212"/>
      <c r="GRB107" s="212"/>
      <c r="GRC107" s="212"/>
      <c r="GRD107" s="212"/>
      <c r="GRE107" s="212"/>
      <c r="GRF107" s="212"/>
      <c r="GRG107" s="212"/>
      <c r="GRH107" s="212"/>
      <c r="GRI107" s="212"/>
      <c r="GRJ107" s="212"/>
      <c r="GRK107" s="212"/>
      <c r="GRL107" s="212"/>
      <c r="GRM107" s="212"/>
      <c r="GRN107" s="212"/>
      <c r="GRO107" s="212"/>
      <c r="GRP107" s="212"/>
      <c r="GRQ107" s="212"/>
      <c r="GRR107" s="212"/>
      <c r="GRS107" s="212"/>
      <c r="GRT107" s="212"/>
      <c r="GRU107" s="212"/>
      <c r="GRV107" s="212"/>
      <c r="GRW107" s="212"/>
      <c r="GRX107" s="212"/>
      <c r="GRY107" s="212"/>
      <c r="GRZ107" s="212"/>
      <c r="GSA107" s="212"/>
      <c r="GSB107" s="212"/>
      <c r="GSC107" s="212"/>
      <c r="GSD107" s="212"/>
      <c r="GSE107" s="212"/>
      <c r="GSF107" s="212"/>
      <c r="GSG107" s="212"/>
      <c r="GSH107" s="212"/>
      <c r="GSI107" s="212"/>
      <c r="GSJ107" s="212"/>
      <c r="GSK107" s="212"/>
      <c r="GSL107" s="212"/>
      <c r="GSM107" s="212"/>
      <c r="GSN107" s="212"/>
      <c r="GSO107" s="212"/>
      <c r="GSP107" s="212"/>
      <c r="GSQ107" s="212"/>
      <c r="GSR107" s="212"/>
      <c r="GSS107" s="212"/>
      <c r="GST107" s="212"/>
      <c r="GSU107" s="212"/>
      <c r="GSV107" s="212"/>
      <c r="GSW107" s="212"/>
      <c r="GSX107" s="212"/>
      <c r="GSY107" s="212"/>
      <c r="GSZ107" s="212"/>
      <c r="GTA107" s="212"/>
      <c r="GTB107" s="212"/>
      <c r="GTC107" s="212"/>
      <c r="GTD107" s="212"/>
      <c r="GTE107" s="212"/>
      <c r="GTF107" s="212"/>
      <c r="GTG107" s="212"/>
      <c r="GTH107" s="212"/>
      <c r="GTI107" s="212"/>
      <c r="GTJ107" s="212"/>
      <c r="GTK107" s="212"/>
      <c r="GTL107" s="212"/>
      <c r="GTM107" s="212"/>
      <c r="GTN107" s="212"/>
      <c r="GTO107" s="212"/>
      <c r="GTP107" s="212"/>
      <c r="GTQ107" s="212"/>
      <c r="GTR107" s="212"/>
      <c r="GTS107" s="212"/>
      <c r="GTT107" s="212"/>
      <c r="GTU107" s="212"/>
      <c r="GTV107" s="212"/>
      <c r="GTW107" s="212"/>
      <c r="GTX107" s="212"/>
      <c r="GTY107" s="212"/>
      <c r="GTZ107" s="212"/>
      <c r="GUA107" s="212"/>
      <c r="GUB107" s="212"/>
      <c r="GUC107" s="212"/>
      <c r="GUD107" s="212"/>
      <c r="GUE107" s="212"/>
      <c r="GUF107" s="212"/>
      <c r="GUG107" s="212"/>
      <c r="GUH107" s="212"/>
      <c r="GUI107" s="212"/>
      <c r="GUJ107" s="212"/>
      <c r="GUK107" s="212"/>
      <c r="GUL107" s="212"/>
      <c r="GUM107" s="212"/>
      <c r="GUN107" s="212"/>
      <c r="GUO107" s="212"/>
      <c r="GUP107" s="212"/>
      <c r="GUQ107" s="212"/>
      <c r="GUR107" s="212"/>
      <c r="GUS107" s="212"/>
      <c r="GUT107" s="212"/>
      <c r="GUU107" s="212"/>
      <c r="GUV107" s="212"/>
      <c r="GUW107" s="212"/>
      <c r="GUX107" s="212"/>
      <c r="GUY107" s="212"/>
      <c r="GUZ107" s="212"/>
      <c r="GVA107" s="212"/>
      <c r="GVB107" s="212"/>
      <c r="GVC107" s="212"/>
      <c r="GVD107" s="212"/>
      <c r="GVE107" s="212"/>
      <c r="GVF107" s="212"/>
      <c r="GVG107" s="212"/>
      <c r="GVH107" s="212"/>
      <c r="GVI107" s="212"/>
      <c r="GVJ107" s="212"/>
      <c r="GVK107" s="212"/>
      <c r="GVL107" s="212"/>
      <c r="GVM107" s="212"/>
      <c r="GVN107" s="212"/>
      <c r="GVO107" s="212"/>
      <c r="GVP107" s="212"/>
      <c r="GVQ107" s="212"/>
      <c r="GVR107" s="212"/>
      <c r="GVS107" s="212"/>
      <c r="GVT107" s="212"/>
      <c r="GVU107" s="212"/>
      <c r="GVV107" s="212"/>
      <c r="GVW107" s="212"/>
      <c r="GVX107" s="212"/>
      <c r="GVY107" s="212"/>
      <c r="GVZ107" s="212"/>
      <c r="GWA107" s="212"/>
      <c r="GWB107" s="212"/>
      <c r="GWC107" s="212"/>
      <c r="GWD107" s="212"/>
      <c r="GWE107" s="212"/>
      <c r="GWF107" s="212"/>
      <c r="GWG107" s="212"/>
      <c r="GWH107" s="212"/>
      <c r="GWI107" s="212"/>
      <c r="GWJ107" s="212"/>
      <c r="GWK107" s="212"/>
      <c r="GWL107" s="212"/>
      <c r="GWM107" s="212"/>
      <c r="GWN107" s="212"/>
      <c r="GWO107" s="212"/>
      <c r="GWP107" s="212"/>
      <c r="GWQ107" s="212"/>
      <c r="GWR107" s="212"/>
      <c r="GWS107" s="212"/>
      <c r="GWT107" s="212"/>
      <c r="GWU107" s="212"/>
      <c r="GWV107" s="212"/>
      <c r="GWW107" s="212"/>
      <c r="GWX107" s="212"/>
      <c r="GWY107" s="212"/>
      <c r="GWZ107" s="212"/>
      <c r="GXA107" s="212"/>
      <c r="GXB107" s="212"/>
      <c r="GXC107" s="212"/>
      <c r="GXD107" s="212"/>
      <c r="GXE107" s="212"/>
      <c r="GXF107" s="212"/>
      <c r="GXG107" s="212"/>
      <c r="GXH107" s="212"/>
      <c r="GXI107" s="212"/>
      <c r="GXJ107" s="212"/>
      <c r="GXK107" s="212"/>
      <c r="GXL107" s="212"/>
      <c r="GXM107" s="212"/>
      <c r="GXN107" s="212"/>
      <c r="GXO107" s="212"/>
      <c r="GXP107" s="212"/>
      <c r="GXQ107" s="212"/>
      <c r="GXR107" s="212"/>
      <c r="GXS107" s="212"/>
      <c r="GXT107" s="212"/>
      <c r="GXU107" s="212"/>
      <c r="GXV107" s="212"/>
      <c r="GXW107" s="212"/>
      <c r="GXX107" s="212"/>
      <c r="GXY107" s="212"/>
      <c r="GXZ107" s="212"/>
      <c r="GYA107" s="212"/>
      <c r="GYB107" s="212"/>
      <c r="GYC107" s="212"/>
      <c r="GYD107" s="212"/>
      <c r="GYE107" s="212"/>
      <c r="GYF107" s="212"/>
      <c r="GYG107" s="212"/>
      <c r="GYH107" s="212"/>
      <c r="GYI107" s="212"/>
      <c r="GYJ107" s="212"/>
      <c r="GYK107" s="212"/>
      <c r="GYL107" s="212"/>
      <c r="GYM107" s="212"/>
      <c r="GYN107" s="212"/>
      <c r="GYO107" s="212"/>
      <c r="GYP107" s="212"/>
      <c r="GYQ107" s="212"/>
      <c r="GYR107" s="212"/>
      <c r="GYS107" s="212"/>
      <c r="GYT107" s="212"/>
      <c r="GYU107" s="212"/>
      <c r="GYV107" s="212"/>
      <c r="GYW107" s="212"/>
      <c r="GYX107" s="212"/>
      <c r="GYY107" s="212"/>
      <c r="GYZ107" s="212"/>
      <c r="GZA107" s="212"/>
      <c r="GZB107" s="212"/>
      <c r="GZC107" s="212"/>
      <c r="GZD107" s="212"/>
      <c r="GZE107" s="212"/>
      <c r="GZF107" s="212"/>
      <c r="GZG107" s="212"/>
      <c r="GZH107" s="212"/>
      <c r="GZI107" s="212"/>
      <c r="GZJ107" s="212"/>
      <c r="GZK107" s="212"/>
      <c r="GZL107" s="212"/>
      <c r="GZM107" s="212"/>
      <c r="GZN107" s="212"/>
      <c r="GZO107" s="212"/>
      <c r="GZP107" s="212"/>
      <c r="GZQ107" s="212"/>
      <c r="GZR107" s="212"/>
      <c r="GZS107" s="212"/>
      <c r="GZT107" s="212"/>
      <c r="GZU107" s="212"/>
      <c r="GZV107" s="212"/>
      <c r="GZW107" s="212"/>
      <c r="GZX107" s="212"/>
      <c r="GZY107" s="212"/>
      <c r="GZZ107" s="212"/>
      <c r="HAA107" s="212"/>
      <c r="HAB107" s="212"/>
      <c r="HAC107" s="212"/>
      <c r="HAD107" s="212"/>
      <c r="HAE107" s="212"/>
      <c r="HAF107" s="212"/>
      <c r="HAG107" s="212"/>
      <c r="HAH107" s="212"/>
      <c r="HAI107" s="212"/>
      <c r="HAJ107" s="212"/>
      <c r="HAK107" s="212"/>
      <c r="HAL107" s="212"/>
      <c r="HAM107" s="212"/>
      <c r="HAN107" s="212"/>
      <c r="HAO107" s="212"/>
      <c r="HAP107" s="212"/>
      <c r="HAQ107" s="212"/>
      <c r="HAR107" s="212"/>
      <c r="HAS107" s="212"/>
      <c r="HAT107" s="212"/>
      <c r="HAU107" s="212"/>
      <c r="HAV107" s="212"/>
      <c r="HAW107" s="212"/>
      <c r="HAX107" s="212"/>
      <c r="HAY107" s="212"/>
      <c r="HAZ107" s="212"/>
      <c r="HBA107" s="212"/>
      <c r="HBB107" s="212"/>
      <c r="HBC107" s="212"/>
      <c r="HBD107" s="212"/>
      <c r="HBE107" s="212"/>
      <c r="HBF107" s="212"/>
      <c r="HBG107" s="212"/>
      <c r="HBH107" s="212"/>
      <c r="HBI107" s="212"/>
      <c r="HBJ107" s="212"/>
      <c r="HBK107" s="212"/>
      <c r="HBL107" s="212"/>
      <c r="HBM107" s="212"/>
      <c r="HBN107" s="212"/>
      <c r="HBO107" s="212"/>
      <c r="HBP107" s="212"/>
      <c r="HBQ107" s="212"/>
      <c r="HBR107" s="212"/>
      <c r="HBS107" s="212"/>
      <c r="HBT107" s="212"/>
      <c r="HBU107" s="212"/>
      <c r="HBV107" s="212"/>
      <c r="HBW107" s="212"/>
      <c r="HBX107" s="212"/>
      <c r="HBY107" s="212"/>
      <c r="HBZ107" s="212"/>
      <c r="HCA107" s="212"/>
      <c r="HCB107" s="212"/>
      <c r="HCC107" s="212"/>
      <c r="HCD107" s="212"/>
      <c r="HCE107" s="212"/>
      <c r="HCF107" s="212"/>
      <c r="HCG107" s="212"/>
      <c r="HCH107" s="212"/>
      <c r="HCI107" s="212"/>
      <c r="HCJ107" s="212"/>
      <c r="HCK107" s="212"/>
      <c r="HCL107" s="212"/>
      <c r="HCM107" s="212"/>
      <c r="HCN107" s="212"/>
      <c r="HCO107" s="212"/>
      <c r="HCP107" s="212"/>
      <c r="HCQ107" s="212"/>
      <c r="HCR107" s="212"/>
      <c r="HCS107" s="212"/>
      <c r="HCT107" s="212"/>
      <c r="HCU107" s="212"/>
      <c r="HCV107" s="212"/>
      <c r="HCW107" s="212"/>
      <c r="HCX107" s="212"/>
      <c r="HCY107" s="212"/>
      <c r="HCZ107" s="212"/>
      <c r="HDA107" s="212"/>
      <c r="HDB107" s="212"/>
      <c r="HDC107" s="212"/>
      <c r="HDD107" s="212"/>
      <c r="HDE107" s="212"/>
      <c r="HDF107" s="212"/>
      <c r="HDG107" s="212"/>
      <c r="HDH107" s="212"/>
      <c r="HDI107" s="212"/>
      <c r="HDJ107" s="212"/>
      <c r="HDK107" s="212"/>
      <c r="HDL107" s="212"/>
      <c r="HDM107" s="212"/>
      <c r="HDN107" s="212"/>
      <c r="HDO107" s="212"/>
      <c r="HDP107" s="212"/>
      <c r="HDQ107" s="212"/>
      <c r="HDR107" s="212"/>
      <c r="HDS107" s="212"/>
      <c r="HDT107" s="212"/>
      <c r="HDU107" s="212"/>
      <c r="HDV107" s="212"/>
      <c r="HDW107" s="212"/>
      <c r="HDX107" s="212"/>
      <c r="HDY107" s="212"/>
      <c r="HDZ107" s="212"/>
      <c r="HEA107" s="212"/>
      <c r="HEB107" s="212"/>
      <c r="HEC107" s="212"/>
      <c r="HED107" s="212"/>
      <c r="HEE107" s="212"/>
      <c r="HEF107" s="212"/>
      <c r="HEG107" s="212"/>
      <c r="HEH107" s="212"/>
      <c r="HEI107" s="212"/>
      <c r="HEJ107" s="212"/>
      <c r="HEK107" s="212"/>
      <c r="HEL107" s="212"/>
      <c r="HEM107" s="212"/>
      <c r="HEN107" s="212"/>
      <c r="HEO107" s="212"/>
      <c r="HEP107" s="212"/>
      <c r="HEQ107" s="212"/>
      <c r="HER107" s="212"/>
      <c r="HES107" s="212"/>
      <c r="HET107" s="212"/>
      <c r="HEU107" s="212"/>
      <c r="HEV107" s="212"/>
      <c r="HEW107" s="212"/>
      <c r="HEX107" s="212"/>
      <c r="HEY107" s="212"/>
      <c r="HEZ107" s="212"/>
      <c r="HFA107" s="212"/>
      <c r="HFB107" s="212"/>
      <c r="HFC107" s="212"/>
      <c r="HFD107" s="212"/>
      <c r="HFE107" s="212"/>
      <c r="HFF107" s="212"/>
      <c r="HFG107" s="212"/>
      <c r="HFH107" s="212"/>
      <c r="HFI107" s="212"/>
      <c r="HFJ107" s="212"/>
      <c r="HFK107" s="212"/>
      <c r="HFL107" s="212"/>
      <c r="HFM107" s="212"/>
      <c r="HFN107" s="212"/>
      <c r="HFO107" s="212"/>
      <c r="HFP107" s="212"/>
      <c r="HFQ107" s="212"/>
      <c r="HFR107" s="212"/>
      <c r="HFS107" s="212"/>
      <c r="HFT107" s="212"/>
      <c r="HFU107" s="212"/>
      <c r="HFV107" s="212"/>
      <c r="HFW107" s="212"/>
      <c r="HFX107" s="212"/>
      <c r="HFY107" s="212"/>
      <c r="HFZ107" s="212"/>
      <c r="HGA107" s="212"/>
      <c r="HGB107" s="212"/>
      <c r="HGC107" s="212"/>
      <c r="HGD107" s="212"/>
      <c r="HGE107" s="212"/>
      <c r="HGF107" s="212"/>
      <c r="HGG107" s="212"/>
      <c r="HGH107" s="212"/>
      <c r="HGI107" s="212"/>
      <c r="HGJ107" s="212"/>
      <c r="HGK107" s="212"/>
      <c r="HGL107" s="212"/>
      <c r="HGM107" s="212"/>
      <c r="HGN107" s="212"/>
      <c r="HGO107" s="212"/>
      <c r="HGP107" s="212"/>
      <c r="HGQ107" s="212"/>
      <c r="HGR107" s="212"/>
      <c r="HGS107" s="212"/>
      <c r="HGT107" s="212"/>
      <c r="HGU107" s="212"/>
      <c r="HGV107" s="212"/>
      <c r="HGW107" s="212"/>
      <c r="HGX107" s="212"/>
      <c r="HGY107" s="212"/>
      <c r="HGZ107" s="212"/>
      <c r="HHA107" s="212"/>
      <c r="HHB107" s="212"/>
      <c r="HHC107" s="212"/>
      <c r="HHD107" s="212"/>
      <c r="HHE107" s="212"/>
      <c r="HHF107" s="212"/>
      <c r="HHG107" s="212"/>
      <c r="HHH107" s="212"/>
      <c r="HHI107" s="212"/>
      <c r="HHJ107" s="212"/>
      <c r="HHK107" s="212"/>
      <c r="HHL107" s="212"/>
      <c r="HHM107" s="212"/>
      <c r="HHN107" s="212"/>
      <c r="HHO107" s="212"/>
      <c r="HHP107" s="212"/>
      <c r="HHQ107" s="212"/>
      <c r="HHR107" s="212"/>
      <c r="HHS107" s="212"/>
      <c r="HHT107" s="212"/>
      <c r="HHU107" s="212"/>
      <c r="HHV107" s="212"/>
      <c r="HHW107" s="212"/>
      <c r="HHX107" s="212"/>
      <c r="HHY107" s="212"/>
      <c r="HHZ107" s="212"/>
      <c r="HIA107" s="212"/>
      <c r="HIB107" s="212"/>
      <c r="HIC107" s="212"/>
      <c r="HID107" s="212"/>
      <c r="HIE107" s="212"/>
      <c r="HIF107" s="212"/>
      <c r="HIG107" s="212"/>
      <c r="HIH107" s="212"/>
      <c r="HII107" s="212"/>
      <c r="HIJ107" s="212"/>
      <c r="HIK107" s="212"/>
      <c r="HIL107" s="212"/>
      <c r="HIM107" s="212"/>
      <c r="HIN107" s="212"/>
      <c r="HIO107" s="212"/>
      <c r="HIP107" s="212"/>
      <c r="HIQ107" s="212"/>
      <c r="HIR107" s="212"/>
      <c r="HIS107" s="212"/>
      <c r="HIT107" s="212"/>
      <c r="HIU107" s="212"/>
      <c r="HIV107" s="212"/>
      <c r="HIW107" s="212"/>
      <c r="HIX107" s="212"/>
      <c r="HIY107" s="212"/>
      <c r="HIZ107" s="212"/>
      <c r="HJA107" s="212"/>
      <c r="HJB107" s="212"/>
      <c r="HJC107" s="212"/>
      <c r="HJD107" s="212"/>
      <c r="HJE107" s="212"/>
      <c r="HJF107" s="212"/>
      <c r="HJG107" s="212"/>
      <c r="HJH107" s="212"/>
      <c r="HJI107" s="212"/>
      <c r="HJJ107" s="212"/>
      <c r="HJK107" s="212"/>
      <c r="HJL107" s="212"/>
      <c r="HJM107" s="212"/>
      <c r="HJN107" s="212"/>
      <c r="HJO107" s="212"/>
      <c r="HJP107" s="212"/>
      <c r="HJQ107" s="212"/>
      <c r="HJR107" s="212"/>
      <c r="HJS107" s="212"/>
      <c r="HJT107" s="212"/>
      <c r="HJU107" s="212"/>
      <c r="HJV107" s="212"/>
      <c r="HJW107" s="212"/>
      <c r="HJX107" s="212"/>
      <c r="HJY107" s="212"/>
      <c r="HJZ107" s="212"/>
      <c r="HKA107" s="212"/>
      <c r="HKB107" s="212"/>
      <c r="HKC107" s="212"/>
      <c r="HKD107" s="212"/>
      <c r="HKE107" s="212"/>
      <c r="HKF107" s="212"/>
      <c r="HKG107" s="212"/>
      <c r="HKH107" s="212"/>
      <c r="HKI107" s="212"/>
      <c r="HKJ107" s="212"/>
      <c r="HKK107" s="212"/>
      <c r="HKL107" s="212"/>
      <c r="HKM107" s="212"/>
      <c r="HKN107" s="212"/>
      <c r="HKO107" s="212"/>
      <c r="HKP107" s="212"/>
      <c r="HKQ107" s="212"/>
      <c r="HKR107" s="212"/>
      <c r="HKS107" s="212"/>
      <c r="HKT107" s="212"/>
      <c r="HKU107" s="212"/>
      <c r="HKV107" s="212"/>
      <c r="HKW107" s="212"/>
      <c r="HKX107" s="212"/>
      <c r="HKY107" s="212"/>
      <c r="HKZ107" s="212"/>
      <c r="HLA107" s="212"/>
      <c r="HLB107" s="212"/>
      <c r="HLC107" s="212"/>
      <c r="HLD107" s="212"/>
      <c r="HLE107" s="212"/>
      <c r="HLF107" s="212"/>
      <c r="HLG107" s="212"/>
      <c r="HLH107" s="212"/>
      <c r="HLI107" s="212"/>
      <c r="HLJ107" s="212"/>
      <c r="HLK107" s="212"/>
      <c r="HLL107" s="212"/>
      <c r="HLM107" s="212"/>
      <c r="HLN107" s="212"/>
      <c r="HLO107" s="212"/>
      <c r="HLP107" s="212"/>
      <c r="HLQ107" s="212"/>
      <c r="HLR107" s="212"/>
      <c r="HLS107" s="212"/>
      <c r="HLT107" s="212"/>
      <c r="HLU107" s="212"/>
      <c r="HLV107" s="212"/>
      <c r="HLW107" s="212"/>
      <c r="HLX107" s="212"/>
      <c r="HLY107" s="212"/>
      <c r="HLZ107" s="212"/>
      <c r="HMA107" s="212"/>
      <c r="HMB107" s="212"/>
      <c r="HMC107" s="212"/>
      <c r="HMD107" s="212"/>
      <c r="HME107" s="212"/>
      <c r="HMF107" s="212"/>
      <c r="HMG107" s="212"/>
      <c r="HMH107" s="212"/>
      <c r="HMI107" s="212"/>
      <c r="HMJ107" s="212"/>
      <c r="HMK107" s="212"/>
      <c r="HML107" s="212"/>
      <c r="HMM107" s="212"/>
      <c r="HMN107" s="212"/>
      <c r="HMO107" s="212"/>
      <c r="HMP107" s="212"/>
      <c r="HMQ107" s="212"/>
      <c r="HMR107" s="212"/>
      <c r="HMS107" s="212"/>
      <c r="HMT107" s="212"/>
      <c r="HMU107" s="212"/>
      <c r="HMV107" s="212"/>
      <c r="HMW107" s="212"/>
      <c r="HMX107" s="212"/>
      <c r="HMY107" s="212"/>
      <c r="HMZ107" s="212"/>
      <c r="HNA107" s="212"/>
      <c r="HNB107" s="212"/>
      <c r="HNC107" s="212"/>
      <c r="HND107" s="212"/>
      <c r="HNE107" s="212"/>
      <c r="HNF107" s="212"/>
      <c r="HNG107" s="212"/>
      <c r="HNH107" s="212"/>
      <c r="HNI107" s="212"/>
      <c r="HNJ107" s="212"/>
      <c r="HNK107" s="212"/>
      <c r="HNL107" s="212"/>
      <c r="HNM107" s="212"/>
      <c r="HNN107" s="212"/>
      <c r="HNO107" s="212"/>
      <c r="HNP107" s="212"/>
      <c r="HNQ107" s="212"/>
      <c r="HNR107" s="212"/>
      <c r="HNS107" s="212"/>
      <c r="HNT107" s="212"/>
      <c r="HNU107" s="212"/>
      <c r="HNV107" s="212"/>
      <c r="HNW107" s="212"/>
      <c r="HNX107" s="212"/>
      <c r="HNY107" s="212"/>
      <c r="HNZ107" s="212"/>
      <c r="HOA107" s="212"/>
      <c r="HOB107" s="212"/>
      <c r="HOC107" s="212"/>
      <c r="HOD107" s="212"/>
      <c r="HOE107" s="212"/>
      <c r="HOF107" s="212"/>
      <c r="HOG107" s="212"/>
      <c r="HOH107" s="212"/>
      <c r="HOI107" s="212"/>
      <c r="HOJ107" s="212"/>
      <c r="HOK107" s="212"/>
      <c r="HOL107" s="212"/>
      <c r="HOM107" s="212"/>
      <c r="HON107" s="212"/>
      <c r="HOO107" s="212"/>
      <c r="HOP107" s="212"/>
      <c r="HOQ107" s="212"/>
      <c r="HOR107" s="212"/>
      <c r="HOS107" s="212"/>
      <c r="HOT107" s="212"/>
      <c r="HOU107" s="212"/>
      <c r="HOV107" s="212"/>
      <c r="HOW107" s="212"/>
      <c r="HOX107" s="212"/>
      <c r="HOY107" s="212"/>
      <c r="HOZ107" s="212"/>
      <c r="HPA107" s="212"/>
      <c r="HPB107" s="212"/>
      <c r="HPC107" s="212"/>
      <c r="HPD107" s="212"/>
      <c r="HPE107" s="212"/>
      <c r="HPF107" s="212"/>
      <c r="HPG107" s="212"/>
      <c r="HPH107" s="212"/>
      <c r="HPI107" s="212"/>
      <c r="HPJ107" s="212"/>
      <c r="HPK107" s="212"/>
      <c r="HPL107" s="212"/>
      <c r="HPM107" s="212"/>
      <c r="HPN107" s="212"/>
      <c r="HPO107" s="212"/>
      <c r="HPP107" s="212"/>
      <c r="HPQ107" s="212"/>
      <c r="HPR107" s="212"/>
      <c r="HPS107" s="212"/>
      <c r="HPT107" s="212"/>
      <c r="HPU107" s="212"/>
      <c r="HPV107" s="212"/>
      <c r="HPW107" s="212"/>
      <c r="HPX107" s="212"/>
      <c r="HPY107" s="212"/>
      <c r="HPZ107" s="212"/>
      <c r="HQA107" s="212"/>
      <c r="HQB107" s="212"/>
      <c r="HQC107" s="212"/>
      <c r="HQD107" s="212"/>
      <c r="HQE107" s="212"/>
      <c r="HQF107" s="212"/>
      <c r="HQG107" s="212"/>
      <c r="HQH107" s="212"/>
      <c r="HQI107" s="212"/>
      <c r="HQJ107" s="212"/>
      <c r="HQK107" s="212"/>
      <c r="HQL107" s="212"/>
      <c r="HQM107" s="212"/>
      <c r="HQN107" s="212"/>
      <c r="HQO107" s="212"/>
      <c r="HQP107" s="212"/>
      <c r="HQQ107" s="212"/>
      <c r="HQR107" s="212"/>
      <c r="HQS107" s="212"/>
      <c r="HQT107" s="212"/>
      <c r="HQU107" s="212"/>
      <c r="HQV107" s="212"/>
      <c r="HQW107" s="212"/>
      <c r="HQX107" s="212"/>
      <c r="HQY107" s="212"/>
      <c r="HQZ107" s="212"/>
      <c r="HRA107" s="212"/>
      <c r="HRB107" s="212"/>
      <c r="HRC107" s="212"/>
      <c r="HRD107" s="212"/>
      <c r="HRE107" s="212"/>
      <c r="HRF107" s="212"/>
      <c r="HRG107" s="212"/>
      <c r="HRH107" s="212"/>
      <c r="HRI107" s="212"/>
      <c r="HRJ107" s="212"/>
      <c r="HRK107" s="212"/>
      <c r="HRL107" s="212"/>
      <c r="HRM107" s="212"/>
      <c r="HRN107" s="212"/>
      <c r="HRO107" s="212"/>
      <c r="HRP107" s="212"/>
      <c r="HRQ107" s="212"/>
      <c r="HRR107" s="212"/>
      <c r="HRS107" s="212"/>
      <c r="HRT107" s="212"/>
      <c r="HRU107" s="212"/>
      <c r="HRV107" s="212"/>
      <c r="HRW107" s="212"/>
      <c r="HRX107" s="212"/>
      <c r="HRY107" s="212"/>
      <c r="HRZ107" s="212"/>
      <c r="HSA107" s="212"/>
      <c r="HSB107" s="212"/>
      <c r="HSC107" s="212"/>
      <c r="HSD107" s="212"/>
      <c r="HSE107" s="212"/>
      <c r="HSF107" s="212"/>
      <c r="HSG107" s="212"/>
      <c r="HSH107" s="212"/>
      <c r="HSI107" s="212"/>
      <c r="HSJ107" s="212"/>
      <c r="HSK107" s="212"/>
      <c r="HSL107" s="212"/>
      <c r="HSM107" s="212"/>
      <c r="HSN107" s="212"/>
      <c r="HSO107" s="212"/>
      <c r="HSP107" s="212"/>
      <c r="HSQ107" s="212"/>
      <c r="HSR107" s="212"/>
      <c r="HSS107" s="212"/>
      <c r="HST107" s="212"/>
      <c r="HSU107" s="212"/>
      <c r="HSV107" s="212"/>
      <c r="HSW107" s="212"/>
      <c r="HSX107" s="212"/>
      <c r="HSY107" s="212"/>
      <c r="HSZ107" s="212"/>
      <c r="HTA107" s="212"/>
      <c r="HTB107" s="212"/>
      <c r="HTC107" s="212"/>
      <c r="HTD107" s="212"/>
      <c r="HTE107" s="212"/>
      <c r="HTF107" s="212"/>
      <c r="HTG107" s="212"/>
      <c r="HTH107" s="212"/>
      <c r="HTI107" s="212"/>
      <c r="HTJ107" s="212"/>
      <c r="HTK107" s="212"/>
      <c r="HTL107" s="212"/>
      <c r="HTM107" s="212"/>
      <c r="HTN107" s="212"/>
      <c r="HTO107" s="212"/>
      <c r="HTP107" s="212"/>
      <c r="HTQ107" s="212"/>
      <c r="HTR107" s="212"/>
      <c r="HTS107" s="212"/>
      <c r="HTT107" s="212"/>
      <c r="HTU107" s="212"/>
      <c r="HTV107" s="212"/>
      <c r="HTW107" s="212"/>
      <c r="HTX107" s="212"/>
      <c r="HTY107" s="212"/>
      <c r="HTZ107" s="212"/>
      <c r="HUA107" s="212"/>
      <c r="HUB107" s="212"/>
      <c r="HUC107" s="212"/>
      <c r="HUD107" s="212"/>
      <c r="HUE107" s="212"/>
      <c r="HUF107" s="212"/>
      <c r="HUG107" s="212"/>
      <c r="HUH107" s="212"/>
      <c r="HUI107" s="212"/>
      <c r="HUJ107" s="212"/>
      <c r="HUK107" s="212"/>
      <c r="HUL107" s="212"/>
      <c r="HUM107" s="212"/>
      <c r="HUN107" s="212"/>
      <c r="HUO107" s="212"/>
      <c r="HUP107" s="212"/>
      <c r="HUQ107" s="212"/>
      <c r="HUR107" s="212"/>
      <c r="HUS107" s="212"/>
      <c r="HUT107" s="212"/>
      <c r="HUU107" s="212"/>
      <c r="HUV107" s="212"/>
      <c r="HUW107" s="212"/>
      <c r="HUX107" s="212"/>
      <c r="HUY107" s="212"/>
      <c r="HUZ107" s="212"/>
      <c r="HVA107" s="212"/>
      <c r="HVB107" s="212"/>
      <c r="HVC107" s="212"/>
      <c r="HVD107" s="212"/>
      <c r="HVE107" s="212"/>
      <c r="HVF107" s="212"/>
      <c r="HVG107" s="212"/>
      <c r="HVH107" s="212"/>
      <c r="HVI107" s="212"/>
      <c r="HVJ107" s="212"/>
      <c r="HVK107" s="212"/>
      <c r="HVL107" s="212"/>
      <c r="HVM107" s="212"/>
      <c r="HVN107" s="212"/>
      <c r="HVO107" s="212"/>
      <c r="HVP107" s="212"/>
      <c r="HVQ107" s="212"/>
      <c r="HVR107" s="212"/>
      <c r="HVS107" s="212"/>
      <c r="HVT107" s="212"/>
      <c r="HVU107" s="212"/>
      <c r="HVV107" s="212"/>
      <c r="HVW107" s="212"/>
      <c r="HVX107" s="212"/>
      <c r="HVY107" s="212"/>
      <c r="HVZ107" s="212"/>
      <c r="HWA107" s="212"/>
      <c r="HWB107" s="212"/>
      <c r="HWC107" s="212"/>
      <c r="HWD107" s="212"/>
      <c r="HWE107" s="212"/>
      <c r="HWF107" s="212"/>
      <c r="HWG107" s="212"/>
      <c r="HWH107" s="212"/>
      <c r="HWI107" s="212"/>
      <c r="HWJ107" s="212"/>
      <c r="HWK107" s="212"/>
      <c r="HWL107" s="212"/>
      <c r="HWM107" s="212"/>
      <c r="HWN107" s="212"/>
      <c r="HWO107" s="212"/>
      <c r="HWP107" s="212"/>
      <c r="HWQ107" s="212"/>
      <c r="HWR107" s="212"/>
      <c r="HWS107" s="212"/>
      <c r="HWT107" s="212"/>
      <c r="HWU107" s="212"/>
      <c r="HWV107" s="212"/>
      <c r="HWW107" s="212"/>
      <c r="HWX107" s="212"/>
      <c r="HWY107" s="212"/>
      <c r="HWZ107" s="212"/>
      <c r="HXA107" s="212"/>
      <c r="HXB107" s="212"/>
      <c r="HXC107" s="212"/>
      <c r="HXD107" s="212"/>
      <c r="HXE107" s="212"/>
      <c r="HXF107" s="212"/>
      <c r="HXG107" s="212"/>
      <c r="HXH107" s="212"/>
      <c r="HXI107" s="212"/>
      <c r="HXJ107" s="212"/>
      <c r="HXK107" s="212"/>
      <c r="HXL107" s="212"/>
      <c r="HXM107" s="212"/>
      <c r="HXN107" s="212"/>
      <c r="HXO107" s="212"/>
      <c r="HXP107" s="212"/>
      <c r="HXQ107" s="212"/>
      <c r="HXR107" s="212"/>
      <c r="HXS107" s="212"/>
      <c r="HXT107" s="212"/>
      <c r="HXU107" s="212"/>
      <c r="HXV107" s="212"/>
      <c r="HXW107" s="212"/>
      <c r="HXX107" s="212"/>
      <c r="HXY107" s="212"/>
      <c r="HXZ107" s="212"/>
      <c r="HYA107" s="212"/>
      <c r="HYB107" s="212"/>
      <c r="HYC107" s="212"/>
      <c r="HYD107" s="212"/>
      <c r="HYE107" s="212"/>
      <c r="HYF107" s="212"/>
      <c r="HYG107" s="212"/>
      <c r="HYH107" s="212"/>
      <c r="HYI107" s="212"/>
      <c r="HYJ107" s="212"/>
      <c r="HYK107" s="212"/>
      <c r="HYL107" s="212"/>
      <c r="HYM107" s="212"/>
      <c r="HYN107" s="212"/>
      <c r="HYO107" s="212"/>
      <c r="HYP107" s="212"/>
      <c r="HYQ107" s="212"/>
      <c r="HYR107" s="212"/>
      <c r="HYS107" s="212"/>
      <c r="HYT107" s="212"/>
      <c r="HYU107" s="212"/>
      <c r="HYV107" s="212"/>
      <c r="HYW107" s="212"/>
      <c r="HYX107" s="212"/>
      <c r="HYY107" s="212"/>
      <c r="HYZ107" s="212"/>
      <c r="HZA107" s="212"/>
      <c r="HZB107" s="212"/>
      <c r="HZC107" s="212"/>
      <c r="HZD107" s="212"/>
      <c r="HZE107" s="212"/>
      <c r="HZF107" s="212"/>
      <c r="HZG107" s="212"/>
      <c r="HZH107" s="212"/>
      <c r="HZI107" s="212"/>
      <c r="HZJ107" s="212"/>
      <c r="HZK107" s="212"/>
      <c r="HZL107" s="212"/>
      <c r="HZM107" s="212"/>
      <c r="HZN107" s="212"/>
      <c r="HZO107" s="212"/>
      <c r="HZP107" s="212"/>
      <c r="HZQ107" s="212"/>
      <c r="HZR107" s="212"/>
      <c r="HZS107" s="212"/>
      <c r="HZT107" s="212"/>
      <c r="HZU107" s="212"/>
      <c r="HZV107" s="212"/>
      <c r="HZW107" s="212"/>
      <c r="HZX107" s="212"/>
      <c r="HZY107" s="212"/>
      <c r="HZZ107" s="212"/>
      <c r="IAA107" s="212"/>
      <c r="IAB107" s="212"/>
      <c r="IAC107" s="212"/>
      <c r="IAD107" s="212"/>
      <c r="IAE107" s="212"/>
      <c r="IAF107" s="212"/>
      <c r="IAG107" s="212"/>
      <c r="IAH107" s="212"/>
      <c r="IAI107" s="212"/>
      <c r="IAJ107" s="212"/>
      <c r="IAK107" s="212"/>
      <c r="IAL107" s="212"/>
      <c r="IAM107" s="212"/>
      <c r="IAN107" s="212"/>
      <c r="IAO107" s="212"/>
      <c r="IAP107" s="212"/>
      <c r="IAQ107" s="212"/>
      <c r="IAR107" s="212"/>
      <c r="IAS107" s="212"/>
      <c r="IAT107" s="212"/>
      <c r="IAU107" s="212"/>
      <c r="IAV107" s="212"/>
      <c r="IAW107" s="212"/>
      <c r="IAX107" s="212"/>
      <c r="IAY107" s="212"/>
      <c r="IAZ107" s="212"/>
      <c r="IBA107" s="212"/>
      <c r="IBB107" s="212"/>
      <c r="IBC107" s="212"/>
      <c r="IBD107" s="212"/>
      <c r="IBE107" s="212"/>
      <c r="IBF107" s="212"/>
      <c r="IBG107" s="212"/>
      <c r="IBH107" s="212"/>
      <c r="IBI107" s="212"/>
      <c r="IBJ107" s="212"/>
      <c r="IBK107" s="212"/>
      <c r="IBL107" s="212"/>
      <c r="IBM107" s="212"/>
      <c r="IBN107" s="212"/>
      <c r="IBO107" s="212"/>
      <c r="IBP107" s="212"/>
      <c r="IBQ107" s="212"/>
      <c r="IBR107" s="212"/>
      <c r="IBS107" s="212"/>
      <c r="IBT107" s="212"/>
      <c r="IBU107" s="212"/>
      <c r="IBV107" s="212"/>
      <c r="IBW107" s="212"/>
      <c r="IBX107" s="212"/>
      <c r="IBY107" s="212"/>
      <c r="IBZ107" s="212"/>
      <c r="ICA107" s="212"/>
      <c r="ICB107" s="212"/>
      <c r="ICC107" s="212"/>
      <c r="ICD107" s="212"/>
      <c r="ICE107" s="212"/>
      <c r="ICF107" s="212"/>
      <c r="ICG107" s="212"/>
      <c r="ICH107" s="212"/>
      <c r="ICI107" s="212"/>
      <c r="ICJ107" s="212"/>
      <c r="ICK107" s="212"/>
      <c r="ICL107" s="212"/>
      <c r="ICM107" s="212"/>
      <c r="ICN107" s="212"/>
      <c r="ICO107" s="212"/>
      <c r="ICP107" s="212"/>
      <c r="ICQ107" s="212"/>
      <c r="ICR107" s="212"/>
      <c r="ICS107" s="212"/>
      <c r="ICT107" s="212"/>
      <c r="ICU107" s="212"/>
      <c r="ICV107" s="212"/>
      <c r="ICW107" s="212"/>
      <c r="ICX107" s="212"/>
      <c r="ICY107" s="212"/>
      <c r="ICZ107" s="212"/>
      <c r="IDA107" s="212"/>
      <c r="IDB107" s="212"/>
      <c r="IDC107" s="212"/>
      <c r="IDD107" s="212"/>
      <c r="IDE107" s="212"/>
      <c r="IDF107" s="212"/>
      <c r="IDG107" s="212"/>
      <c r="IDH107" s="212"/>
      <c r="IDI107" s="212"/>
      <c r="IDJ107" s="212"/>
      <c r="IDK107" s="212"/>
      <c r="IDL107" s="212"/>
      <c r="IDM107" s="212"/>
      <c r="IDN107" s="212"/>
      <c r="IDO107" s="212"/>
      <c r="IDP107" s="212"/>
      <c r="IDQ107" s="212"/>
      <c r="IDR107" s="212"/>
      <c r="IDS107" s="212"/>
      <c r="IDT107" s="212"/>
      <c r="IDU107" s="212"/>
      <c r="IDV107" s="212"/>
      <c r="IDW107" s="212"/>
      <c r="IDX107" s="212"/>
      <c r="IDY107" s="212"/>
      <c r="IDZ107" s="212"/>
      <c r="IEA107" s="212"/>
      <c r="IEB107" s="212"/>
      <c r="IEC107" s="212"/>
      <c r="IED107" s="212"/>
      <c r="IEE107" s="212"/>
      <c r="IEF107" s="212"/>
      <c r="IEG107" s="212"/>
      <c r="IEH107" s="212"/>
      <c r="IEI107" s="212"/>
      <c r="IEJ107" s="212"/>
      <c r="IEK107" s="212"/>
      <c r="IEL107" s="212"/>
      <c r="IEM107" s="212"/>
      <c r="IEN107" s="212"/>
      <c r="IEO107" s="212"/>
      <c r="IEP107" s="212"/>
      <c r="IEQ107" s="212"/>
      <c r="IER107" s="212"/>
      <c r="IES107" s="212"/>
      <c r="IET107" s="212"/>
      <c r="IEU107" s="212"/>
      <c r="IEV107" s="212"/>
      <c r="IEW107" s="212"/>
      <c r="IEX107" s="212"/>
      <c r="IEY107" s="212"/>
      <c r="IEZ107" s="212"/>
      <c r="IFA107" s="212"/>
      <c r="IFB107" s="212"/>
      <c r="IFC107" s="212"/>
      <c r="IFD107" s="212"/>
      <c r="IFE107" s="212"/>
      <c r="IFF107" s="212"/>
      <c r="IFG107" s="212"/>
      <c r="IFH107" s="212"/>
      <c r="IFI107" s="212"/>
      <c r="IFJ107" s="212"/>
      <c r="IFK107" s="212"/>
      <c r="IFL107" s="212"/>
      <c r="IFM107" s="212"/>
      <c r="IFN107" s="212"/>
      <c r="IFO107" s="212"/>
      <c r="IFP107" s="212"/>
      <c r="IFQ107" s="212"/>
      <c r="IFR107" s="212"/>
      <c r="IFS107" s="212"/>
      <c r="IFT107" s="212"/>
      <c r="IFU107" s="212"/>
      <c r="IFV107" s="212"/>
      <c r="IFW107" s="212"/>
      <c r="IFX107" s="212"/>
      <c r="IFY107" s="212"/>
      <c r="IFZ107" s="212"/>
      <c r="IGA107" s="212"/>
      <c r="IGB107" s="212"/>
      <c r="IGC107" s="212"/>
      <c r="IGD107" s="212"/>
      <c r="IGE107" s="212"/>
      <c r="IGF107" s="212"/>
      <c r="IGG107" s="212"/>
      <c r="IGH107" s="212"/>
      <c r="IGI107" s="212"/>
      <c r="IGJ107" s="212"/>
      <c r="IGK107" s="212"/>
      <c r="IGL107" s="212"/>
      <c r="IGM107" s="212"/>
      <c r="IGN107" s="212"/>
      <c r="IGO107" s="212"/>
      <c r="IGP107" s="212"/>
      <c r="IGQ107" s="212"/>
      <c r="IGR107" s="212"/>
      <c r="IGS107" s="212"/>
      <c r="IGT107" s="212"/>
      <c r="IGU107" s="212"/>
      <c r="IGV107" s="212"/>
      <c r="IGW107" s="212"/>
      <c r="IGX107" s="212"/>
      <c r="IGY107" s="212"/>
      <c r="IGZ107" s="212"/>
      <c r="IHA107" s="212"/>
      <c r="IHB107" s="212"/>
      <c r="IHC107" s="212"/>
      <c r="IHD107" s="212"/>
      <c r="IHE107" s="212"/>
      <c r="IHF107" s="212"/>
      <c r="IHG107" s="212"/>
      <c r="IHH107" s="212"/>
      <c r="IHI107" s="212"/>
      <c r="IHJ107" s="212"/>
      <c r="IHK107" s="212"/>
      <c r="IHL107" s="212"/>
      <c r="IHM107" s="212"/>
      <c r="IHN107" s="212"/>
      <c r="IHO107" s="212"/>
      <c r="IHP107" s="212"/>
      <c r="IHQ107" s="212"/>
      <c r="IHR107" s="212"/>
      <c r="IHS107" s="212"/>
      <c r="IHT107" s="212"/>
      <c r="IHU107" s="212"/>
      <c r="IHV107" s="212"/>
      <c r="IHW107" s="212"/>
      <c r="IHX107" s="212"/>
      <c r="IHY107" s="212"/>
      <c r="IHZ107" s="212"/>
      <c r="IIA107" s="212"/>
      <c r="IIB107" s="212"/>
      <c r="IIC107" s="212"/>
      <c r="IID107" s="212"/>
      <c r="IIE107" s="212"/>
      <c r="IIF107" s="212"/>
      <c r="IIG107" s="212"/>
      <c r="IIH107" s="212"/>
      <c r="III107" s="212"/>
      <c r="IIJ107" s="212"/>
      <c r="IIK107" s="212"/>
      <c r="IIL107" s="212"/>
      <c r="IIM107" s="212"/>
      <c r="IIN107" s="212"/>
      <c r="IIO107" s="212"/>
      <c r="IIP107" s="212"/>
      <c r="IIQ107" s="212"/>
      <c r="IIR107" s="212"/>
      <c r="IIS107" s="212"/>
      <c r="IIT107" s="212"/>
      <c r="IIU107" s="212"/>
      <c r="IIV107" s="212"/>
      <c r="IIW107" s="212"/>
      <c r="IIX107" s="212"/>
      <c r="IIY107" s="212"/>
      <c r="IIZ107" s="212"/>
      <c r="IJA107" s="212"/>
      <c r="IJB107" s="212"/>
      <c r="IJC107" s="212"/>
      <c r="IJD107" s="212"/>
      <c r="IJE107" s="212"/>
      <c r="IJF107" s="212"/>
      <c r="IJG107" s="212"/>
      <c r="IJH107" s="212"/>
      <c r="IJI107" s="212"/>
      <c r="IJJ107" s="212"/>
      <c r="IJK107" s="212"/>
      <c r="IJL107" s="212"/>
      <c r="IJM107" s="212"/>
      <c r="IJN107" s="212"/>
      <c r="IJO107" s="212"/>
      <c r="IJP107" s="212"/>
      <c r="IJQ107" s="212"/>
      <c r="IJR107" s="212"/>
      <c r="IJS107" s="212"/>
      <c r="IJT107" s="212"/>
      <c r="IJU107" s="212"/>
      <c r="IJV107" s="212"/>
      <c r="IJW107" s="212"/>
      <c r="IJX107" s="212"/>
      <c r="IJY107" s="212"/>
      <c r="IJZ107" s="212"/>
      <c r="IKA107" s="212"/>
      <c r="IKB107" s="212"/>
      <c r="IKC107" s="212"/>
      <c r="IKD107" s="212"/>
      <c r="IKE107" s="212"/>
      <c r="IKF107" s="212"/>
      <c r="IKG107" s="212"/>
      <c r="IKH107" s="212"/>
      <c r="IKI107" s="212"/>
      <c r="IKJ107" s="212"/>
      <c r="IKK107" s="212"/>
      <c r="IKL107" s="212"/>
      <c r="IKM107" s="212"/>
      <c r="IKN107" s="212"/>
      <c r="IKO107" s="212"/>
      <c r="IKP107" s="212"/>
      <c r="IKQ107" s="212"/>
      <c r="IKR107" s="212"/>
      <c r="IKS107" s="212"/>
      <c r="IKT107" s="212"/>
      <c r="IKU107" s="212"/>
      <c r="IKV107" s="212"/>
      <c r="IKW107" s="212"/>
      <c r="IKX107" s="212"/>
      <c r="IKY107" s="212"/>
      <c r="IKZ107" s="212"/>
      <c r="ILA107" s="212"/>
      <c r="ILB107" s="212"/>
      <c r="ILC107" s="212"/>
      <c r="ILD107" s="212"/>
      <c r="ILE107" s="212"/>
      <c r="ILF107" s="212"/>
      <c r="ILG107" s="212"/>
      <c r="ILH107" s="212"/>
      <c r="ILI107" s="212"/>
      <c r="ILJ107" s="212"/>
      <c r="ILK107" s="212"/>
      <c r="ILL107" s="212"/>
      <c r="ILM107" s="212"/>
      <c r="ILN107" s="212"/>
      <c r="ILO107" s="212"/>
      <c r="ILP107" s="212"/>
      <c r="ILQ107" s="212"/>
      <c r="ILR107" s="212"/>
      <c r="ILS107" s="212"/>
      <c r="ILT107" s="212"/>
      <c r="ILU107" s="212"/>
      <c r="ILV107" s="212"/>
      <c r="ILW107" s="212"/>
      <c r="ILX107" s="212"/>
      <c r="ILY107" s="212"/>
      <c r="ILZ107" s="212"/>
      <c r="IMA107" s="212"/>
      <c r="IMB107" s="212"/>
      <c r="IMC107" s="212"/>
      <c r="IMD107" s="212"/>
      <c r="IME107" s="212"/>
      <c r="IMF107" s="212"/>
      <c r="IMG107" s="212"/>
      <c r="IMH107" s="212"/>
      <c r="IMI107" s="212"/>
      <c r="IMJ107" s="212"/>
      <c r="IMK107" s="212"/>
      <c r="IML107" s="212"/>
      <c r="IMM107" s="212"/>
      <c r="IMN107" s="212"/>
      <c r="IMO107" s="212"/>
      <c r="IMP107" s="212"/>
      <c r="IMQ107" s="212"/>
      <c r="IMR107" s="212"/>
      <c r="IMS107" s="212"/>
      <c r="IMT107" s="212"/>
      <c r="IMU107" s="212"/>
      <c r="IMV107" s="212"/>
      <c r="IMW107" s="212"/>
      <c r="IMX107" s="212"/>
      <c r="IMY107" s="212"/>
      <c r="IMZ107" s="212"/>
      <c r="INA107" s="212"/>
      <c r="INB107" s="212"/>
      <c r="INC107" s="212"/>
      <c r="IND107" s="212"/>
      <c r="INE107" s="212"/>
      <c r="INF107" s="212"/>
      <c r="ING107" s="212"/>
      <c r="INH107" s="212"/>
      <c r="INI107" s="212"/>
      <c r="INJ107" s="212"/>
      <c r="INK107" s="212"/>
      <c r="INL107" s="212"/>
      <c r="INM107" s="212"/>
      <c r="INN107" s="212"/>
      <c r="INO107" s="212"/>
      <c r="INP107" s="212"/>
      <c r="INQ107" s="212"/>
      <c r="INR107" s="212"/>
      <c r="INS107" s="212"/>
      <c r="INT107" s="212"/>
      <c r="INU107" s="212"/>
      <c r="INV107" s="212"/>
      <c r="INW107" s="212"/>
      <c r="INX107" s="212"/>
      <c r="INY107" s="212"/>
      <c r="INZ107" s="212"/>
      <c r="IOA107" s="212"/>
      <c r="IOB107" s="212"/>
      <c r="IOC107" s="212"/>
      <c r="IOD107" s="212"/>
      <c r="IOE107" s="212"/>
      <c r="IOF107" s="212"/>
      <c r="IOG107" s="212"/>
      <c r="IOH107" s="212"/>
      <c r="IOI107" s="212"/>
      <c r="IOJ107" s="212"/>
      <c r="IOK107" s="212"/>
      <c r="IOL107" s="212"/>
      <c r="IOM107" s="212"/>
      <c r="ION107" s="212"/>
      <c r="IOO107" s="212"/>
      <c r="IOP107" s="212"/>
      <c r="IOQ107" s="212"/>
      <c r="IOR107" s="212"/>
      <c r="IOS107" s="212"/>
      <c r="IOT107" s="212"/>
      <c r="IOU107" s="212"/>
      <c r="IOV107" s="212"/>
      <c r="IOW107" s="212"/>
      <c r="IOX107" s="212"/>
      <c r="IOY107" s="212"/>
      <c r="IOZ107" s="212"/>
      <c r="IPA107" s="212"/>
      <c r="IPB107" s="212"/>
      <c r="IPC107" s="212"/>
      <c r="IPD107" s="212"/>
      <c r="IPE107" s="212"/>
      <c r="IPF107" s="212"/>
      <c r="IPG107" s="212"/>
      <c r="IPH107" s="212"/>
      <c r="IPI107" s="212"/>
      <c r="IPJ107" s="212"/>
      <c r="IPK107" s="212"/>
      <c r="IPL107" s="212"/>
      <c r="IPM107" s="212"/>
      <c r="IPN107" s="212"/>
      <c r="IPO107" s="212"/>
      <c r="IPP107" s="212"/>
      <c r="IPQ107" s="212"/>
      <c r="IPR107" s="212"/>
      <c r="IPS107" s="212"/>
      <c r="IPT107" s="212"/>
      <c r="IPU107" s="212"/>
      <c r="IPV107" s="212"/>
      <c r="IPW107" s="212"/>
      <c r="IPX107" s="212"/>
      <c r="IPY107" s="212"/>
      <c r="IPZ107" s="212"/>
      <c r="IQA107" s="212"/>
      <c r="IQB107" s="212"/>
      <c r="IQC107" s="212"/>
      <c r="IQD107" s="212"/>
      <c r="IQE107" s="212"/>
      <c r="IQF107" s="212"/>
      <c r="IQG107" s="212"/>
      <c r="IQH107" s="212"/>
      <c r="IQI107" s="212"/>
      <c r="IQJ107" s="212"/>
      <c r="IQK107" s="212"/>
      <c r="IQL107" s="212"/>
      <c r="IQM107" s="212"/>
      <c r="IQN107" s="212"/>
      <c r="IQO107" s="212"/>
      <c r="IQP107" s="212"/>
      <c r="IQQ107" s="212"/>
      <c r="IQR107" s="212"/>
      <c r="IQS107" s="212"/>
      <c r="IQT107" s="212"/>
      <c r="IQU107" s="212"/>
      <c r="IQV107" s="212"/>
      <c r="IQW107" s="212"/>
      <c r="IQX107" s="212"/>
      <c r="IQY107" s="212"/>
      <c r="IQZ107" s="212"/>
      <c r="IRA107" s="212"/>
      <c r="IRB107" s="212"/>
      <c r="IRC107" s="212"/>
      <c r="IRD107" s="212"/>
      <c r="IRE107" s="212"/>
      <c r="IRF107" s="212"/>
      <c r="IRG107" s="212"/>
      <c r="IRH107" s="212"/>
      <c r="IRI107" s="212"/>
      <c r="IRJ107" s="212"/>
      <c r="IRK107" s="212"/>
      <c r="IRL107" s="212"/>
      <c r="IRM107" s="212"/>
      <c r="IRN107" s="212"/>
      <c r="IRO107" s="212"/>
      <c r="IRP107" s="212"/>
      <c r="IRQ107" s="212"/>
      <c r="IRR107" s="212"/>
      <c r="IRS107" s="212"/>
      <c r="IRT107" s="212"/>
      <c r="IRU107" s="212"/>
      <c r="IRV107" s="212"/>
      <c r="IRW107" s="212"/>
      <c r="IRX107" s="212"/>
      <c r="IRY107" s="212"/>
      <c r="IRZ107" s="212"/>
      <c r="ISA107" s="212"/>
      <c r="ISB107" s="212"/>
      <c r="ISC107" s="212"/>
      <c r="ISD107" s="212"/>
      <c r="ISE107" s="212"/>
      <c r="ISF107" s="212"/>
      <c r="ISG107" s="212"/>
      <c r="ISH107" s="212"/>
      <c r="ISI107" s="212"/>
      <c r="ISJ107" s="212"/>
      <c r="ISK107" s="212"/>
      <c r="ISL107" s="212"/>
      <c r="ISM107" s="212"/>
      <c r="ISN107" s="212"/>
      <c r="ISO107" s="212"/>
      <c r="ISP107" s="212"/>
      <c r="ISQ107" s="212"/>
      <c r="ISR107" s="212"/>
      <c r="ISS107" s="212"/>
      <c r="IST107" s="212"/>
      <c r="ISU107" s="212"/>
      <c r="ISV107" s="212"/>
      <c r="ISW107" s="212"/>
      <c r="ISX107" s="212"/>
      <c r="ISY107" s="212"/>
      <c r="ISZ107" s="212"/>
      <c r="ITA107" s="212"/>
      <c r="ITB107" s="212"/>
      <c r="ITC107" s="212"/>
      <c r="ITD107" s="212"/>
      <c r="ITE107" s="212"/>
      <c r="ITF107" s="212"/>
      <c r="ITG107" s="212"/>
      <c r="ITH107" s="212"/>
      <c r="ITI107" s="212"/>
      <c r="ITJ107" s="212"/>
      <c r="ITK107" s="212"/>
      <c r="ITL107" s="212"/>
      <c r="ITM107" s="212"/>
      <c r="ITN107" s="212"/>
      <c r="ITO107" s="212"/>
      <c r="ITP107" s="212"/>
      <c r="ITQ107" s="212"/>
      <c r="ITR107" s="212"/>
      <c r="ITS107" s="212"/>
      <c r="ITT107" s="212"/>
      <c r="ITU107" s="212"/>
      <c r="ITV107" s="212"/>
      <c r="ITW107" s="212"/>
      <c r="ITX107" s="212"/>
      <c r="ITY107" s="212"/>
      <c r="ITZ107" s="212"/>
      <c r="IUA107" s="212"/>
      <c r="IUB107" s="212"/>
      <c r="IUC107" s="212"/>
      <c r="IUD107" s="212"/>
      <c r="IUE107" s="212"/>
      <c r="IUF107" s="212"/>
      <c r="IUG107" s="212"/>
      <c r="IUH107" s="212"/>
      <c r="IUI107" s="212"/>
      <c r="IUJ107" s="212"/>
      <c r="IUK107" s="212"/>
      <c r="IUL107" s="212"/>
      <c r="IUM107" s="212"/>
      <c r="IUN107" s="212"/>
      <c r="IUO107" s="212"/>
      <c r="IUP107" s="212"/>
      <c r="IUQ107" s="212"/>
      <c r="IUR107" s="212"/>
      <c r="IUS107" s="212"/>
      <c r="IUT107" s="212"/>
      <c r="IUU107" s="212"/>
      <c r="IUV107" s="212"/>
      <c r="IUW107" s="212"/>
      <c r="IUX107" s="212"/>
      <c r="IUY107" s="212"/>
      <c r="IUZ107" s="212"/>
      <c r="IVA107" s="212"/>
      <c r="IVB107" s="212"/>
      <c r="IVC107" s="212"/>
      <c r="IVD107" s="212"/>
      <c r="IVE107" s="212"/>
      <c r="IVF107" s="212"/>
      <c r="IVG107" s="212"/>
      <c r="IVH107" s="212"/>
      <c r="IVI107" s="212"/>
      <c r="IVJ107" s="212"/>
      <c r="IVK107" s="212"/>
      <c r="IVL107" s="212"/>
      <c r="IVM107" s="212"/>
      <c r="IVN107" s="212"/>
      <c r="IVO107" s="212"/>
      <c r="IVP107" s="212"/>
      <c r="IVQ107" s="212"/>
      <c r="IVR107" s="212"/>
      <c r="IVS107" s="212"/>
      <c r="IVT107" s="212"/>
      <c r="IVU107" s="212"/>
      <c r="IVV107" s="212"/>
      <c r="IVW107" s="212"/>
      <c r="IVX107" s="212"/>
      <c r="IVY107" s="212"/>
      <c r="IVZ107" s="212"/>
      <c r="IWA107" s="212"/>
      <c r="IWB107" s="212"/>
      <c r="IWC107" s="212"/>
      <c r="IWD107" s="212"/>
      <c r="IWE107" s="212"/>
      <c r="IWF107" s="212"/>
      <c r="IWG107" s="212"/>
      <c r="IWH107" s="212"/>
      <c r="IWI107" s="212"/>
      <c r="IWJ107" s="212"/>
      <c r="IWK107" s="212"/>
      <c r="IWL107" s="212"/>
      <c r="IWM107" s="212"/>
      <c r="IWN107" s="212"/>
      <c r="IWO107" s="212"/>
      <c r="IWP107" s="212"/>
      <c r="IWQ107" s="212"/>
      <c r="IWR107" s="212"/>
      <c r="IWS107" s="212"/>
      <c r="IWT107" s="212"/>
      <c r="IWU107" s="212"/>
      <c r="IWV107" s="212"/>
      <c r="IWW107" s="212"/>
      <c r="IWX107" s="212"/>
      <c r="IWY107" s="212"/>
      <c r="IWZ107" s="212"/>
      <c r="IXA107" s="212"/>
      <c r="IXB107" s="212"/>
      <c r="IXC107" s="212"/>
      <c r="IXD107" s="212"/>
      <c r="IXE107" s="212"/>
      <c r="IXF107" s="212"/>
      <c r="IXG107" s="212"/>
      <c r="IXH107" s="212"/>
      <c r="IXI107" s="212"/>
      <c r="IXJ107" s="212"/>
      <c r="IXK107" s="212"/>
      <c r="IXL107" s="212"/>
      <c r="IXM107" s="212"/>
      <c r="IXN107" s="212"/>
      <c r="IXO107" s="212"/>
      <c r="IXP107" s="212"/>
      <c r="IXQ107" s="212"/>
      <c r="IXR107" s="212"/>
      <c r="IXS107" s="212"/>
      <c r="IXT107" s="212"/>
      <c r="IXU107" s="212"/>
      <c r="IXV107" s="212"/>
      <c r="IXW107" s="212"/>
      <c r="IXX107" s="212"/>
      <c r="IXY107" s="212"/>
      <c r="IXZ107" s="212"/>
      <c r="IYA107" s="212"/>
      <c r="IYB107" s="212"/>
      <c r="IYC107" s="212"/>
      <c r="IYD107" s="212"/>
      <c r="IYE107" s="212"/>
      <c r="IYF107" s="212"/>
      <c r="IYG107" s="212"/>
      <c r="IYH107" s="212"/>
      <c r="IYI107" s="212"/>
      <c r="IYJ107" s="212"/>
      <c r="IYK107" s="212"/>
      <c r="IYL107" s="212"/>
      <c r="IYM107" s="212"/>
      <c r="IYN107" s="212"/>
      <c r="IYO107" s="212"/>
      <c r="IYP107" s="212"/>
      <c r="IYQ107" s="212"/>
      <c r="IYR107" s="212"/>
      <c r="IYS107" s="212"/>
      <c r="IYT107" s="212"/>
      <c r="IYU107" s="212"/>
      <c r="IYV107" s="212"/>
      <c r="IYW107" s="212"/>
      <c r="IYX107" s="212"/>
      <c r="IYY107" s="212"/>
      <c r="IYZ107" s="212"/>
      <c r="IZA107" s="212"/>
      <c r="IZB107" s="212"/>
      <c r="IZC107" s="212"/>
      <c r="IZD107" s="212"/>
      <c r="IZE107" s="212"/>
      <c r="IZF107" s="212"/>
      <c r="IZG107" s="212"/>
      <c r="IZH107" s="212"/>
      <c r="IZI107" s="212"/>
      <c r="IZJ107" s="212"/>
      <c r="IZK107" s="212"/>
      <c r="IZL107" s="212"/>
      <c r="IZM107" s="212"/>
      <c r="IZN107" s="212"/>
      <c r="IZO107" s="212"/>
      <c r="IZP107" s="212"/>
      <c r="IZQ107" s="212"/>
      <c r="IZR107" s="212"/>
      <c r="IZS107" s="212"/>
      <c r="IZT107" s="212"/>
      <c r="IZU107" s="212"/>
      <c r="IZV107" s="212"/>
      <c r="IZW107" s="212"/>
      <c r="IZX107" s="212"/>
      <c r="IZY107" s="212"/>
      <c r="IZZ107" s="212"/>
      <c r="JAA107" s="212"/>
      <c r="JAB107" s="212"/>
      <c r="JAC107" s="212"/>
      <c r="JAD107" s="212"/>
      <c r="JAE107" s="212"/>
      <c r="JAF107" s="212"/>
      <c r="JAG107" s="212"/>
      <c r="JAH107" s="212"/>
      <c r="JAI107" s="212"/>
      <c r="JAJ107" s="212"/>
      <c r="JAK107" s="212"/>
      <c r="JAL107" s="212"/>
      <c r="JAM107" s="212"/>
      <c r="JAN107" s="212"/>
      <c r="JAO107" s="212"/>
      <c r="JAP107" s="212"/>
      <c r="JAQ107" s="212"/>
      <c r="JAR107" s="212"/>
      <c r="JAS107" s="212"/>
      <c r="JAT107" s="212"/>
      <c r="JAU107" s="212"/>
      <c r="JAV107" s="212"/>
      <c r="JAW107" s="212"/>
      <c r="JAX107" s="212"/>
      <c r="JAY107" s="212"/>
      <c r="JAZ107" s="212"/>
      <c r="JBA107" s="212"/>
      <c r="JBB107" s="212"/>
      <c r="JBC107" s="212"/>
      <c r="JBD107" s="212"/>
      <c r="JBE107" s="212"/>
      <c r="JBF107" s="212"/>
      <c r="JBG107" s="212"/>
      <c r="JBH107" s="212"/>
      <c r="JBI107" s="212"/>
      <c r="JBJ107" s="212"/>
      <c r="JBK107" s="212"/>
      <c r="JBL107" s="212"/>
      <c r="JBM107" s="212"/>
      <c r="JBN107" s="212"/>
      <c r="JBO107" s="212"/>
      <c r="JBP107" s="212"/>
      <c r="JBQ107" s="212"/>
      <c r="JBR107" s="212"/>
      <c r="JBS107" s="212"/>
      <c r="JBT107" s="212"/>
      <c r="JBU107" s="212"/>
      <c r="JBV107" s="212"/>
      <c r="JBW107" s="212"/>
      <c r="JBX107" s="212"/>
      <c r="JBY107" s="212"/>
      <c r="JBZ107" s="212"/>
      <c r="JCA107" s="212"/>
      <c r="JCB107" s="212"/>
      <c r="JCC107" s="212"/>
      <c r="JCD107" s="212"/>
      <c r="JCE107" s="212"/>
      <c r="JCF107" s="212"/>
      <c r="JCG107" s="212"/>
      <c r="JCH107" s="212"/>
      <c r="JCI107" s="212"/>
      <c r="JCJ107" s="212"/>
      <c r="JCK107" s="212"/>
      <c r="JCL107" s="212"/>
      <c r="JCM107" s="212"/>
      <c r="JCN107" s="212"/>
      <c r="JCO107" s="212"/>
      <c r="JCP107" s="212"/>
      <c r="JCQ107" s="212"/>
      <c r="JCR107" s="212"/>
      <c r="JCS107" s="212"/>
      <c r="JCT107" s="212"/>
      <c r="JCU107" s="212"/>
      <c r="JCV107" s="212"/>
      <c r="JCW107" s="212"/>
      <c r="JCX107" s="212"/>
      <c r="JCY107" s="212"/>
      <c r="JCZ107" s="212"/>
      <c r="JDA107" s="212"/>
      <c r="JDB107" s="212"/>
      <c r="JDC107" s="212"/>
      <c r="JDD107" s="212"/>
      <c r="JDE107" s="212"/>
      <c r="JDF107" s="212"/>
      <c r="JDG107" s="212"/>
      <c r="JDH107" s="212"/>
      <c r="JDI107" s="212"/>
      <c r="JDJ107" s="212"/>
      <c r="JDK107" s="212"/>
      <c r="JDL107" s="212"/>
      <c r="JDM107" s="212"/>
      <c r="JDN107" s="212"/>
      <c r="JDO107" s="212"/>
      <c r="JDP107" s="212"/>
      <c r="JDQ107" s="212"/>
      <c r="JDR107" s="212"/>
      <c r="JDS107" s="212"/>
      <c r="JDT107" s="212"/>
      <c r="JDU107" s="212"/>
      <c r="JDV107" s="212"/>
      <c r="JDW107" s="212"/>
      <c r="JDX107" s="212"/>
      <c r="JDY107" s="212"/>
      <c r="JDZ107" s="212"/>
      <c r="JEA107" s="212"/>
      <c r="JEB107" s="212"/>
      <c r="JEC107" s="212"/>
      <c r="JED107" s="212"/>
      <c r="JEE107" s="212"/>
      <c r="JEF107" s="212"/>
      <c r="JEG107" s="212"/>
      <c r="JEH107" s="212"/>
      <c r="JEI107" s="212"/>
      <c r="JEJ107" s="212"/>
      <c r="JEK107" s="212"/>
      <c r="JEL107" s="212"/>
      <c r="JEM107" s="212"/>
      <c r="JEN107" s="212"/>
      <c r="JEO107" s="212"/>
      <c r="JEP107" s="212"/>
      <c r="JEQ107" s="212"/>
      <c r="JER107" s="212"/>
      <c r="JES107" s="212"/>
      <c r="JET107" s="212"/>
      <c r="JEU107" s="212"/>
      <c r="JEV107" s="212"/>
      <c r="JEW107" s="212"/>
      <c r="JEX107" s="212"/>
      <c r="JEY107" s="212"/>
      <c r="JEZ107" s="212"/>
      <c r="JFA107" s="212"/>
      <c r="JFB107" s="212"/>
      <c r="JFC107" s="212"/>
      <c r="JFD107" s="212"/>
      <c r="JFE107" s="212"/>
      <c r="JFF107" s="212"/>
      <c r="JFG107" s="212"/>
      <c r="JFH107" s="212"/>
      <c r="JFI107" s="212"/>
      <c r="JFJ107" s="212"/>
      <c r="JFK107" s="212"/>
      <c r="JFL107" s="212"/>
      <c r="JFM107" s="212"/>
      <c r="JFN107" s="212"/>
      <c r="JFO107" s="212"/>
      <c r="JFP107" s="212"/>
      <c r="JFQ107" s="212"/>
      <c r="JFR107" s="212"/>
      <c r="JFS107" s="212"/>
      <c r="JFT107" s="212"/>
      <c r="JFU107" s="212"/>
      <c r="JFV107" s="212"/>
      <c r="JFW107" s="212"/>
      <c r="JFX107" s="212"/>
      <c r="JFY107" s="212"/>
      <c r="JFZ107" s="212"/>
      <c r="JGA107" s="212"/>
      <c r="JGB107" s="212"/>
      <c r="JGC107" s="212"/>
      <c r="JGD107" s="212"/>
      <c r="JGE107" s="212"/>
      <c r="JGF107" s="212"/>
      <c r="JGG107" s="212"/>
      <c r="JGH107" s="212"/>
      <c r="JGI107" s="212"/>
      <c r="JGJ107" s="212"/>
      <c r="JGK107" s="212"/>
      <c r="JGL107" s="212"/>
      <c r="JGM107" s="212"/>
      <c r="JGN107" s="212"/>
      <c r="JGO107" s="212"/>
      <c r="JGP107" s="212"/>
      <c r="JGQ107" s="212"/>
      <c r="JGR107" s="212"/>
      <c r="JGS107" s="212"/>
      <c r="JGT107" s="212"/>
      <c r="JGU107" s="212"/>
      <c r="JGV107" s="212"/>
      <c r="JGW107" s="212"/>
      <c r="JGX107" s="212"/>
      <c r="JGY107" s="212"/>
      <c r="JGZ107" s="212"/>
      <c r="JHA107" s="212"/>
      <c r="JHB107" s="212"/>
      <c r="JHC107" s="212"/>
      <c r="JHD107" s="212"/>
      <c r="JHE107" s="212"/>
      <c r="JHF107" s="212"/>
      <c r="JHG107" s="212"/>
      <c r="JHH107" s="212"/>
      <c r="JHI107" s="212"/>
      <c r="JHJ107" s="212"/>
      <c r="JHK107" s="212"/>
      <c r="JHL107" s="212"/>
      <c r="JHM107" s="212"/>
      <c r="JHN107" s="212"/>
      <c r="JHO107" s="212"/>
      <c r="JHP107" s="212"/>
      <c r="JHQ107" s="212"/>
      <c r="JHR107" s="212"/>
      <c r="JHS107" s="212"/>
      <c r="JHT107" s="212"/>
      <c r="JHU107" s="212"/>
      <c r="JHV107" s="212"/>
      <c r="JHW107" s="212"/>
      <c r="JHX107" s="212"/>
      <c r="JHY107" s="212"/>
      <c r="JHZ107" s="212"/>
      <c r="JIA107" s="212"/>
      <c r="JIB107" s="212"/>
      <c r="JIC107" s="212"/>
      <c r="JID107" s="212"/>
      <c r="JIE107" s="212"/>
      <c r="JIF107" s="212"/>
      <c r="JIG107" s="212"/>
      <c r="JIH107" s="212"/>
      <c r="JII107" s="212"/>
      <c r="JIJ107" s="212"/>
      <c r="JIK107" s="212"/>
      <c r="JIL107" s="212"/>
      <c r="JIM107" s="212"/>
      <c r="JIN107" s="212"/>
      <c r="JIO107" s="212"/>
      <c r="JIP107" s="212"/>
      <c r="JIQ107" s="212"/>
      <c r="JIR107" s="212"/>
      <c r="JIS107" s="212"/>
      <c r="JIT107" s="212"/>
      <c r="JIU107" s="212"/>
      <c r="JIV107" s="212"/>
      <c r="JIW107" s="212"/>
      <c r="JIX107" s="212"/>
      <c r="JIY107" s="212"/>
      <c r="JIZ107" s="212"/>
      <c r="JJA107" s="212"/>
      <c r="JJB107" s="212"/>
      <c r="JJC107" s="212"/>
      <c r="JJD107" s="212"/>
      <c r="JJE107" s="212"/>
      <c r="JJF107" s="212"/>
      <c r="JJG107" s="212"/>
      <c r="JJH107" s="212"/>
      <c r="JJI107" s="212"/>
      <c r="JJJ107" s="212"/>
      <c r="JJK107" s="212"/>
      <c r="JJL107" s="212"/>
      <c r="JJM107" s="212"/>
      <c r="JJN107" s="212"/>
      <c r="JJO107" s="212"/>
      <c r="JJP107" s="212"/>
      <c r="JJQ107" s="212"/>
      <c r="JJR107" s="212"/>
      <c r="JJS107" s="212"/>
      <c r="JJT107" s="212"/>
      <c r="JJU107" s="212"/>
      <c r="JJV107" s="212"/>
      <c r="JJW107" s="212"/>
      <c r="JJX107" s="212"/>
      <c r="JJY107" s="212"/>
      <c r="JJZ107" s="212"/>
      <c r="JKA107" s="212"/>
      <c r="JKB107" s="212"/>
      <c r="JKC107" s="212"/>
      <c r="JKD107" s="212"/>
      <c r="JKE107" s="212"/>
      <c r="JKF107" s="212"/>
      <c r="JKG107" s="212"/>
      <c r="JKH107" s="212"/>
      <c r="JKI107" s="212"/>
      <c r="JKJ107" s="212"/>
      <c r="JKK107" s="212"/>
      <c r="JKL107" s="212"/>
      <c r="JKM107" s="212"/>
      <c r="JKN107" s="212"/>
      <c r="JKO107" s="212"/>
      <c r="JKP107" s="212"/>
      <c r="JKQ107" s="212"/>
      <c r="JKR107" s="212"/>
      <c r="JKS107" s="212"/>
      <c r="JKT107" s="212"/>
      <c r="JKU107" s="212"/>
      <c r="JKV107" s="212"/>
      <c r="JKW107" s="212"/>
      <c r="JKX107" s="212"/>
      <c r="JKY107" s="212"/>
      <c r="JKZ107" s="212"/>
      <c r="JLA107" s="212"/>
      <c r="JLB107" s="212"/>
      <c r="JLC107" s="212"/>
      <c r="JLD107" s="212"/>
      <c r="JLE107" s="212"/>
      <c r="JLF107" s="212"/>
      <c r="JLG107" s="212"/>
      <c r="JLH107" s="212"/>
      <c r="JLI107" s="212"/>
      <c r="JLJ107" s="212"/>
      <c r="JLK107" s="212"/>
      <c r="JLL107" s="212"/>
      <c r="JLM107" s="212"/>
      <c r="JLN107" s="212"/>
      <c r="JLO107" s="212"/>
      <c r="JLP107" s="212"/>
      <c r="JLQ107" s="212"/>
      <c r="JLR107" s="212"/>
      <c r="JLS107" s="212"/>
      <c r="JLT107" s="212"/>
      <c r="JLU107" s="212"/>
      <c r="JLV107" s="212"/>
      <c r="JLW107" s="212"/>
      <c r="JLX107" s="212"/>
      <c r="JLY107" s="212"/>
      <c r="JLZ107" s="212"/>
      <c r="JMA107" s="212"/>
      <c r="JMB107" s="212"/>
      <c r="JMC107" s="212"/>
      <c r="JMD107" s="212"/>
      <c r="JME107" s="212"/>
      <c r="JMF107" s="212"/>
      <c r="JMG107" s="212"/>
      <c r="JMH107" s="212"/>
      <c r="JMI107" s="212"/>
      <c r="JMJ107" s="212"/>
      <c r="JMK107" s="212"/>
      <c r="JML107" s="212"/>
      <c r="JMM107" s="212"/>
      <c r="JMN107" s="212"/>
      <c r="JMO107" s="212"/>
      <c r="JMP107" s="212"/>
      <c r="JMQ107" s="212"/>
      <c r="JMR107" s="212"/>
      <c r="JMS107" s="212"/>
      <c r="JMT107" s="212"/>
      <c r="JMU107" s="212"/>
      <c r="JMV107" s="212"/>
      <c r="JMW107" s="212"/>
      <c r="JMX107" s="212"/>
      <c r="JMY107" s="212"/>
      <c r="JMZ107" s="212"/>
      <c r="JNA107" s="212"/>
      <c r="JNB107" s="212"/>
      <c r="JNC107" s="212"/>
      <c r="JND107" s="212"/>
      <c r="JNE107" s="212"/>
      <c r="JNF107" s="212"/>
      <c r="JNG107" s="212"/>
      <c r="JNH107" s="212"/>
      <c r="JNI107" s="212"/>
      <c r="JNJ107" s="212"/>
      <c r="JNK107" s="212"/>
      <c r="JNL107" s="212"/>
      <c r="JNM107" s="212"/>
      <c r="JNN107" s="212"/>
      <c r="JNO107" s="212"/>
      <c r="JNP107" s="212"/>
      <c r="JNQ107" s="212"/>
      <c r="JNR107" s="212"/>
      <c r="JNS107" s="212"/>
      <c r="JNT107" s="212"/>
      <c r="JNU107" s="212"/>
      <c r="JNV107" s="212"/>
      <c r="JNW107" s="212"/>
      <c r="JNX107" s="212"/>
      <c r="JNY107" s="212"/>
      <c r="JNZ107" s="212"/>
      <c r="JOA107" s="212"/>
      <c r="JOB107" s="212"/>
      <c r="JOC107" s="212"/>
      <c r="JOD107" s="212"/>
      <c r="JOE107" s="212"/>
      <c r="JOF107" s="212"/>
      <c r="JOG107" s="212"/>
      <c r="JOH107" s="212"/>
      <c r="JOI107" s="212"/>
      <c r="JOJ107" s="212"/>
      <c r="JOK107" s="212"/>
      <c r="JOL107" s="212"/>
      <c r="JOM107" s="212"/>
      <c r="JON107" s="212"/>
      <c r="JOO107" s="212"/>
      <c r="JOP107" s="212"/>
      <c r="JOQ107" s="212"/>
      <c r="JOR107" s="212"/>
      <c r="JOS107" s="212"/>
      <c r="JOT107" s="212"/>
      <c r="JOU107" s="212"/>
      <c r="JOV107" s="212"/>
      <c r="JOW107" s="212"/>
      <c r="JOX107" s="212"/>
      <c r="JOY107" s="212"/>
      <c r="JOZ107" s="212"/>
      <c r="JPA107" s="212"/>
      <c r="JPB107" s="212"/>
      <c r="JPC107" s="212"/>
      <c r="JPD107" s="212"/>
      <c r="JPE107" s="212"/>
      <c r="JPF107" s="212"/>
      <c r="JPG107" s="212"/>
      <c r="JPH107" s="212"/>
      <c r="JPI107" s="212"/>
      <c r="JPJ107" s="212"/>
      <c r="JPK107" s="212"/>
      <c r="JPL107" s="212"/>
      <c r="JPM107" s="212"/>
      <c r="JPN107" s="212"/>
      <c r="JPO107" s="212"/>
      <c r="JPP107" s="212"/>
      <c r="JPQ107" s="212"/>
      <c r="JPR107" s="212"/>
      <c r="JPS107" s="212"/>
      <c r="JPT107" s="212"/>
      <c r="JPU107" s="212"/>
      <c r="JPV107" s="212"/>
      <c r="JPW107" s="212"/>
      <c r="JPX107" s="212"/>
      <c r="JPY107" s="212"/>
      <c r="JPZ107" s="212"/>
      <c r="JQA107" s="212"/>
      <c r="JQB107" s="212"/>
      <c r="JQC107" s="212"/>
      <c r="JQD107" s="212"/>
      <c r="JQE107" s="212"/>
      <c r="JQF107" s="212"/>
      <c r="JQG107" s="212"/>
      <c r="JQH107" s="212"/>
      <c r="JQI107" s="212"/>
      <c r="JQJ107" s="212"/>
      <c r="JQK107" s="212"/>
      <c r="JQL107" s="212"/>
      <c r="JQM107" s="212"/>
      <c r="JQN107" s="212"/>
      <c r="JQO107" s="212"/>
      <c r="JQP107" s="212"/>
      <c r="JQQ107" s="212"/>
      <c r="JQR107" s="212"/>
      <c r="JQS107" s="212"/>
      <c r="JQT107" s="212"/>
      <c r="JQU107" s="212"/>
      <c r="JQV107" s="212"/>
      <c r="JQW107" s="212"/>
      <c r="JQX107" s="212"/>
      <c r="JQY107" s="212"/>
      <c r="JQZ107" s="212"/>
      <c r="JRA107" s="212"/>
      <c r="JRB107" s="212"/>
      <c r="JRC107" s="212"/>
      <c r="JRD107" s="212"/>
      <c r="JRE107" s="212"/>
      <c r="JRF107" s="212"/>
      <c r="JRG107" s="212"/>
      <c r="JRH107" s="212"/>
      <c r="JRI107" s="212"/>
      <c r="JRJ107" s="212"/>
      <c r="JRK107" s="212"/>
      <c r="JRL107" s="212"/>
      <c r="JRM107" s="212"/>
      <c r="JRN107" s="212"/>
      <c r="JRO107" s="212"/>
      <c r="JRP107" s="212"/>
      <c r="JRQ107" s="212"/>
      <c r="JRR107" s="212"/>
      <c r="JRS107" s="212"/>
      <c r="JRT107" s="212"/>
      <c r="JRU107" s="212"/>
      <c r="JRV107" s="212"/>
      <c r="JRW107" s="212"/>
      <c r="JRX107" s="212"/>
      <c r="JRY107" s="212"/>
      <c r="JRZ107" s="212"/>
      <c r="JSA107" s="212"/>
      <c r="JSB107" s="212"/>
      <c r="JSC107" s="212"/>
      <c r="JSD107" s="212"/>
      <c r="JSE107" s="212"/>
      <c r="JSF107" s="212"/>
      <c r="JSG107" s="212"/>
      <c r="JSH107" s="212"/>
      <c r="JSI107" s="212"/>
      <c r="JSJ107" s="212"/>
      <c r="JSK107" s="212"/>
      <c r="JSL107" s="212"/>
      <c r="JSM107" s="212"/>
      <c r="JSN107" s="212"/>
      <c r="JSO107" s="212"/>
      <c r="JSP107" s="212"/>
      <c r="JSQ107" s="212"/>
      <c r="JSR107" s="212"/>
      <c r="JSS107" s="212"/>
      <c r="JST107" s="212"/>
      <c r="JSU107" s="212"/>
      <c r="JSV107" s="212"/>
      <c r="JSW107" s="212"/>
      <c r="JSX107" s="212"/>
      <c r="JSY107" s="212"/>
      <c r="JSZ107" s="212"/>
      <c r="JTA107" s="212"/>
      <c r="JTB107" s="212"/>
      <c r="JTC107" s="212"/>
      <c r="JTD107" s="212"/>
      <c r="JTE107" s="212"/>
      <c r="JTF107" s="212"/>
      <c r="JTG107" s="212"/>
      <c r="JTH107" s="212"/>
      <c r="JTI107" s="212"/>
      <c r="JTJ107" s="212"/>
      <c r="JTK107" s="212"/>
      <c r="JTL107" s="212"/>
      <c r="JTM107" s="212"/>
      <c r="JTN107" s="212"/>
      <c r="JTO107" s="212"/>
      <c r="JTP107" s="212"/>
      <c r="JTQ107" s="212"/>
      <c r="JTR107" s="212"/>
      <c r="JTS107" s="212"/>
      <c r="JTT107" s="212"/>
      <c r="JTU107" s="212"/>
      <c r="JTV107" s="212"/>
      <c r="JTW107" s="212"/>
      <c r="JTX107" s="212"/>
      <c r="JTY107" s="212"/>
      <c r="JTZ107" s="212"/>
      <c r="JUA107" s="212"/>
      <c r="JUB107" s="212"/>
      <c r="JUC107" s="212"/>
      <c r="JUD107" s="212"/>
      <c r="JUE107" s="212"/>
      <c r="JUF107" s="212"/>
      <c r="JUG107" s="212"/>
      <c r="JUH107" s="212"/>
      <c r="JUI107" s="212"/>
      <c r="JUJ107" s="212"/>
      <c r="JUK107" s="212"/>
      <c r="JUL107" s="212"/>
      <c r="JUM107" s="212"/>
      <c r="JUN107" s="212"/>
      <c r="JUO107" s="212"/>
      <c r="JUP107" s="212"/>
      <c r="JUQ107" s="212"/>
      <c r="JUR107" s="212"/>
      <c r="JUS107" s="212"/>
      <c r="JUT107" s="212"/>
      <c r="JUU107" s="212"/>
      <c r="JUV107" s="212"/>
      <c r="JUW107" s="212"/>
      <c r="JUX107" s="212"/>
      <c r="JUY107" s="212"/>
      <c r="JUZ107" s="212"/>
      <c r="JVA107" s="212"/>
      <c r="JVB107" s="212"/>
      <c r="JVC107" s="212"/>
      <c r="JVD107" s="212"/>
      <c r="JVE107" s="212"/>
      <c r="JVF107" s="212"/>
      <c r="JVG107" s="212"/>
      <c r="JVH107" s="212"/>
      <c r="JVI107" s="212"/>
      <c r="JVJ107" s="212"/>
      <c r="JVK107" s="212"/>
      <c r="JVL107" s="212"/>
      <c r="JVM107" s="212"/>
      <c r="JVN107" s="212"/>
      <c r="JVO107" s="212"/>
      <c r="JVP107" s="212"/>
      <c r="JVQ107" s="212"/>
      <c r="JVR107" s="212"/>
      <c r="JVS107" s="212"/>
      <c r="JVT107" s="212"/>
      <c r="JVU107" s="212"/>
      <c r="JVV107" s="212"/>
      <c r="JVW107" s="212"/>
      <c r="JVX107" s="212"/>
      <c r="JVY107" s="212"/>
      <c r="JVZ107" s="212"/>
      <c r="JWA107" s="212"/>
      <c r="JWB107" s="212"/>
      <c r="JWC107" s="212"/>
      <c r="JWD107" s="212"/>
      <c r="JWE107" s="212"/>
      <c r="JWF107" s="212"/>
      <c r="JWG107" s="212"/>
      <c r="JWH107" s="212"/>
      <c r="JWI107" s="212"/>
      <c r="JWJ107" s="212"/>
      <c r="JWK107" s="212"/>
      <c r="JWL107" s="212"/>
      <c r="JWM107" s="212"/>
      <c r="JWN107" s="212"/>
      <c r="JWO107" s="212"/>
      <c r="JWP107" s="212"/>
      <c r="JWQ107" s="212"/>
      <c r="JWR107" s="212"/>
      <c r="JWS107" s="212"/>
      <c r="JWT107" s="212"/>
      <c r="JWU107" s="212"/>
      <c r="JWV107" s="212"/>
      <c r="JWW107" s="212"/>
      <c r="JWX107" s="212"/>
      <c r="JWY107" s="212"/>
      <c r="JWZ107" s="212"/>
      <c r="JXA107" s="212"/>
      <c r="JXB107" s="212"/>
      <c r="JXC107" s="212"/>
      <c r="JXD107" s="212"/>
      <c r="JXE107" s="212"/>
      <c r="JXF107" s="212"/>
      <c r="JXG107" s="212"/>
      <c r="JXH107" s="212"/>
      <c r="JXI107" s="212"/>
      <c r="JXJ107" s="212"/>
      <c r="JXK107" s="212"/>
      <c r="JXL107" s="212"/>
      <c r="JXM107" s="212"/>
      <c r="JXN107" s="212"/>
      <c r="JXO107" s="212"/>
      <c r="JXP107" s="212"/>
      <c r="JXQ107" s="212"/>
      <c r="JXR107" s="212"/>
      <c r="JXS107" s="212"/>
      <c r="JXT107" s="212"/>
      <c r="JXU107" s="212"/>
      <c r="JXV107" s="212"/>
      <c r="JXW107" s="212"/>
      <c r="JXX107" s="212"/>
      <c r="JXY107" s="212"/>
      <c r="JXZ107" s="212"/>
      <c r="JYA107" s="212"/>
      <c r="JYB107" s="212"/>
      <c r="JYC107" s="212"/>
      <c r="JYD107" s="212"/>
      <c r="JYE107" s="212"/>
      <c r="JYF107" s="212"/>
      <c r="JYG107" s="212"/>
      <c r="JYH107" s="212"/>
      <c r="JYI107" s="212"/>
      <c r="JYJ107" s="212"/>
      <c r="JYK107" s="212"/>
      <c r="JYL107" s="212"/>
      <c r="JYM107" s="212"/>
      <c r="JYN107" s="212"/>
      <c r="JYO107" s="212"/>
      <c r="JYP107" s="212"/>
      <c r="JYQ107" s="212"/>
      <c r="JYR107" s="212"/>
      <c r="JYS107" s="212"/>
      <c r="JYT107" s="212"/>
      <c r="JYU107" s="212"/>
      <c r="JYV107" s="212"/>
      <c r="JYW107" s="212"/>
      <c r="JYX107" s="212"/>
      <c r="JYY107" s="212"/>
      <c r="JYZ107" s="212"/>
      <c r="JZA107" s="212"/>
      <c r="JZB107" s="212"/>
      <c r="JZC107" s="212"/>
      <c r="JZD107" s="212"/>
      <c r="JZE107" s="212"/>
      <c r="JZF107" s="212"/>
      <c r="JZG107" s="212"/>
      <c r="JZH107" s="212"/>
      <c r="JZI107" s="212"/>
      <c r="JZJ107" s="212"/>
      <c r="JZK107" s="212"/>
      <c r="JZL107" s="212"/>
      <c r="JZM107" s="212"/>
      <c r="JZN107" s="212"/>
      <c r="JZO107" s="212"/>
      <c r="JZP107" s="212"/>
      <c r="JZQ107" s="212"/>
      <c r="JZR107" s="212"/>
      <c r="JZS107" s="212"/>
      <c r="JZT107" s="212"/>
      <c r="JZU107" s="212"/>
      <c r="JZV107" s="212"/>
      <c r="JZW107" s="212"/>
      <c r="JZX107" s="212"/>
      <c r="JZY107" s="212"/>
      <c r="JZZ107" s="212"/>
      <c r="KAA107" s="212"/>
      <c r="KAB107" s="212"/>
      <c r="KAC107" s="212"/>
      <c r="KAD107" s="212"/>
      <c r="KAE107" s="212"/>
      <c r="KAF107" s="212"/>
      <c r="KAG107" s="212"/>
      <c r="KAH107" s="212"/>
      <c r="KAI107" s="212"/>
      <c r="KAJ107" s="212"/>
      <c r="KAK107" s="212"/>
      <c r="KAL107" s="212"/>
      <c r="KAM107" s="212"/>
      <c r="KAN107" s="212"/>
      <c r="KAO107" s="212"/>
      <c r="KAP107" s="212"/>
      <c r="KAQ107" s="212"/>
      <c r="KAR107" s="212"/>
      <c r="KAS107" s="212"/>
      <c r="KAT107" s="212"/>
      <c r="KAU107" s="212"/>
      <c r="KAV107" s="212"/>
      <c r="KAW107" s="212"/>
      <c r="KAX107" s="212"/>
      <c r="KAY107" s="212"/>
      <c r="KAZ107" s="212"/>
      <c r="KBA107" s="212"/>
      <c r="KBB107" s="212"/>
      <c r="KBC107" s="212"/>
      <c r="KBD107" s="212"/>
      <c r="KBE107" s="212"/>
      <c r="KBF107" s="212"/>
      <c r="KBG107" s="212"/>
      <c r="KBH107" s="212"/>
      <c r="KBI107" s="212"/>
      <c r="KBJ107" s="212"/>
      <c r="KBK107" s="212"/>
      <c r="KBL107" s="212"/>
      <c r="KBM107" s="212"/>
      <c r="KBN107" s="212"/>
      <c r="KBO107" s="212"/>
      <c r="KBP107" s="212"/>
      <c r="KBQ107" s="212"/>
      <c r="KBR107" s="212"/>
      <c r="KBS107" s="212"/>
      <c r="KBT107" s="212"/>
      <c r="KBU107" s="212"/>
      <c r="KBV107" s="212"/>
      <c r="KBW107" s="212"/>
      <c r="KBX107" s="212"/>
      <c r="KBY107" s="212"/>
      <c r="KBZ107" s="212"/>
      <c r="KCA107" s="212"/>
      <c r="KCB107" s="212"/>
      <c r="KCC107" s="212"/>
      <c r="KCD107" s="212"/>
      <c r="KCE107" s="212"/>
      <c r="KCF107" s="212"/>
      <c r="KCG107" s="212"/>
      <c r="KCH107" s="212"/>
      <c r="KCI107" s="212"/>
      <c r="KCJ107" s="212"/>
      <c r="KCK107" s="212"/>
      <c r="KCL107" s="212"/>
      <c r="KCM107" s="212"/>
      <c r="KCN107" s="212"/>
      <c r="KCO107" s="212"/>
      <c r="KCP107" s="212"/>
      <c r="KCQ107" s="212"/>
      <c r="KCR107" s="212"/>
      <c r="KCS107" s="212"/>
      <c r="KCT107" s="212"/>
      <c r="KCU107" s="212"/>
      <c r="KCV107" s="212"/>
      <c r="KCW107" s="212"/>
      <c r="KCX107" s="212"/>
      <c r="KCY107" s="212"/>
      <c r="KCZ107" s="212"/>
      <c r="KDA107" s="212"/>
      <c r="KDB107" s="212"/>
      <c r="KDC107" s="212"/>
      <c r="KDD107" s="212"/>
      <c r="KDE107" s="212"/>
      <c r="KDF107" s="212"/>
      <c r="KDG107" s="212"/>
      <c r="KDH107" s="212"/>
      <c r="KDI107" s="212"/>
      <c r="KDJ107" s="212"/>
      <c r="KDK107" s="212"/>
      <c r="KDL107" s="212"/>
      <c r="KDM107" s="212"/>
      <c r="KDN107" s="212"/>
      <c r="KDO107" s="212"/>
      <c r="KDP107" s="212"/>
      <c r="KDQ107" s="212"/>
      <c r="KDR107" s="212"/>
      <c r="KDS107" s="212"/>
      <c r="KDT107" s="212"/>
      <c r="KDU107" s="212"/>
      <c r="KDV107" s="212"/>
      <c r="KDW107" s="212"/>
      <c r="KDX107" s="212"/>
      <c r="KDY107" s="212"/>
      <c r="KDZ107" s="212"/>
      <c r="KEA107" s="212"/>
      <c r="KEB107" s="212"/>
      <c r="KEC107" s="212"/>
      <c r="KED107" s="212"/>
      <c r="KEE107" s="212"/>
      <c r="KEF107" s="212"/>
      <c r="KEG107" s="212"/>
      <c r="KEH107" s="212"/>
      <c r="KEI107" s="212"/>
      <c r="KEJ107" s="212"/>
      <c r="KEK107" s="212"/>
      <c r="KEL107" s="212"/>
      <c r="KEM107" s="212"/>
      <c r="KEN107" s="212"/>
      <c r="KEO107" s="212"/>
      <c r="KEP107" s="212"/>
      <c r="KEQ107" s="212"/>
      <c r="KER107" s="212"/>
      <c r="KES107" s="212"/>
      <c r="KET107" s="212"/>
      <c r="KEU107" s="212"/>
      <c r="KEV107" s="212"/>
      <c r="KEW107" s="212"/>
      <c r="KEX107" s="212"/>
      <c r="KEY107" s="212"/>
      <c r="KEZ107" s="212"/>
      <c r="KFA107" s="212"/>
      <c r="KFB107" s="212"/>
      <c r="KFC107" s="212"/>
      <c r="KFD107" s="212"/>
      <c r="KFE107" s="212"/>
      <c r="KFF107" s="212"/>
      <c r="KFG107" s="212"/>
      <c r="KFH107" s="212"/>
      <c r="KFI107" s="212"/>
      <c r="KFJ107" s="212"/>
      <c r="KFK107" s="212"/>
      <c r="KFL107" s="212"/>
      <c r="KFM107" s="212"/>
      <c r="KFN107" s="212"/>
      <c r="KFO107" s="212"/>
      <c r="KFP107" s="212"/>
      <c r="KFQ107" s="212"/>
      <c r="KFR107" s="212"/>
      <c r="KFS107" s="212"/>
      <c r="KFT107" s="212"/>
      <c r="KFU107" s="212"/>
      <c r="KFV107" s="212"/>
      <c r="KFW107" s="212"/>
      <c r="KFX107" s="212"/>
      <c r="KFY107" s="212"/>
      <c r="KFZ107" s="212"/>
      <c r="KGA107" s="212"/>
      <c r="KGB107" s="212"/>
      <c r="KGC107" s="212"/>
      <c r="KGD107" s="212"/>
      <c r="KGE107" s="212"/>
      <c r="KGF107" s="212"/>
      <c r="KGG107" s="212"/>
      <c r="KGH107" s="212"/>
      <c r="KGI107" s="212"/>
      <c r="KGJ107" s="212"/>
      <c r="KGK107" s="212"/>
      <c r="KGL107" s="212"/>
      <c r="KGM107" s="212"/>
      <c r="KGN107" s="212"/>
      <c r="KGO107" s="212"/>
      <c r="KGP107" s="212"/>
      <c r="KGQ107" s="212"/>
      <c r="KGR107" s="212"/>
      <c r="KGS107" s="212"/>
      <c r="KGT107" s="212"/>
      <c r="KGU107" s="212"/>
      <c r="KGV107" s="212"/>
      <c r="KGW107" s="212"/>
      <c r="KGX107" s="212"/>
      <c r="KGY107" s="212"/>
      <c r="KGZ107" s="212"/>
      <c r="KHA107" s="212"/>
      <c r="KHB107" s="212"/>
      <c r="KHC107" s="212"/>
      <c r="KHD107" s="212"/>
      <c r="KHE107" s="212"/>
      <c r="KHF107" s="212"/>
      <c r="KHG107" s="212"/>
      <c r="KHH107" s="212"/>
      <c r="KHI107" s="212"/>
      <c r="KHJ107" s="212"/>
      <c r="KHK107" s="212"/>
      <c r="KHL107" s="212"/>
      <c r="KHM107" s="212"/>
      <c r="KHN107" s="212"/>
      <c r="KHO107" s="212"/>
      <c r="KHP107" s="212"/>
      <c r="KHQ107" s="212"/>
      <c r="KHR107" s="212"/>
      <c r="KHS107" s="212"/>
      <c r="KHT107" s="212"/>
      <c r="KHU107" s="212"/>
      <c r="KHV107" s="212"/>
      <c r="KHW107" s="212"/>
      <c r="KHX107" s="212"/>
      <c r="KHY107" s="212"/>
      <c r="KHZ107" s="212"/>
      <c r="KIA107" s="212"/>
      <c r="KIB107" s="212"/>
      <c r="KIC107" s="212"/>
      <c r="KID107" s="212"/>
      <c r="KIE107" s="212"/>
      <c r="KIF107" s="212"/>
      <c r="KIG107" s="212"/>
      <c r="KIH107" s="212"/>
      <c r="KII107" s="212"/>
      <c r="KIJ107" s="212"/>
      <c r="KIK107" s="212"/>
      <c r="KIL107" s="212"/>
      <c r="KIM107" s="212"/>
      <c r="KIN107" s="212"/>
      <c r="KIO107" s="212"/>
      <c r="KIP107" s="212"/>
      <c r="KIQ107" s="212"/>
      <c r="KIR107" s="212"/>
      <c r="KIS107" s="212"/>
      <c r="KIT107" s="212"/>
      <c r="KIU107" s="212"/>
      <c r="KIV107" s="212"/>
      <c r="KIW107" s="212"/>
      <c r="KIX107" s="212"/>
      <c r="KIY107" s="212"/>
      <c r="KIZ107" s="212"/>
      <c r="KJA107" s="212"/>
      <c r="KJB107" s="212"/>
      <c r="KJC107" s="212"/>
      <c r="KJD107" s="212"/>
      <c r="KJE107" s="212"/>
      <c r="KJF107" s="212"/>
      <c r="KJG107" s="212"/>
      <c r="KJH107" s="212"/>
      <c r="KJI107" s="212"/>
      <c r="KJJ107" s="212"/>
      <c r="KJK107" s="212"/>
      <c r="KJL107" s="212"/>
      <c r="KJM107" s="212"/>
      <c r="KJN107" s="212"/>
      <c r="KJO107" s="212"/>
      <c r="KJP107" s="212"/>
      <c r="KJQ107" s="212"/>
      <c r="KJR107" s="212"/>
      <c r="KJS107" s="212"/>
      <c r="KJT107" s="212"/>
      <c r="KJU107" s="212"/>
      <c r="KJV107" s="212"/>
      <c r="KJW107" s="212"/>
      <c r="KJX107" s="212"/>
      <c r="KJY107" s="212"/>
      <c r="KJZ107" s="212"/>
      <c r="KKA107" s="212"/>
      <c r="KKB107" s="212"/>
      <c r="KKC107" s="212"/>
      <c r="KKD107" s="212"/>
      <c r="KKE107" s="212"/>
      <c r="KKF107" s="212"/>
      <c r="KKG107" s="212"/>
      <c r="KKH107" s="212"/>
      <c r="KKI107" s="212"/>
      <c r="KKJ107" s="212"/>
      <c r="KKK107" s="212"/>
      <c r="KKL107" s="212"/>
      <c r="KKM107" s="212"/>
      <c r="KKN107" s="212"/>
      <c r="KKO107" s="212"/>
      <c r="KKP107" s="212"/>
      <c r="KKQ107" s="212"/>
      <c r="KKR107" s="212"/>
      <c r="KKS107" s="212"/>
      <c r="KKT107" s="212"/>
      <c r="KKU107" s="212"/>
      <c r="KKV107" s="212"/>
      <c r="KKW107" s="212"/>
      <c r="KKX107" s="212"/>
      <c r="KKY107" s="212"/>
      <c r="KKZ107" s="212"/>
      <c r="KLA107" s="212"/>
      <c r="KLB107" s="212"/>
      <c r="KLC107" s="212"/>
      <c r="KLD107" s="212"/>
      <c r="KLE107" s="212"/>
      <c r="KLF107" s="212"/>
      <c r="KLG107" s="212"/>
      <c r="KLH107" s="212"/>
      <c r="KLI107" s="212"/>
      <c r="KLJ107" s="212"/>
      <c r="KLK107" s="212"/>
      <c r="KLL107" s="212"/>
      <c r="KLM107" s="212"/>
      <c r="KLN107" s="212"/>
      <c r="KLO107" s="212"/>
      <c r="KLP107" s="212"/>
      <c r="KLQ107" s="212"/>
      <c r="KLR107" s="212"/>
      <c r="KLS107" s="212"/>
      <c r="KLT107" s="212"/>
      <c r="KLU107" s="212"/>
      <c r="KLV107" s="212"/>
      <c r="KLW107" s="212"/>
      <c r="KLX107" s="212"/>
      <c r="KLY107" s="212"/>
      <c r="KLZ107" s="212"/>
      <c r="KMA107" s="212"/>
      <c r="KMB107" s="212"/>
      <c r="KMC107" s="212"/>
      <c r="KMD107" s="212"/>
      <c r="KME107" s="212"/>
      <c r="KMF107" s="212"/>
      <c r="KMG107" s="212"/>
      <c r="KMH107" s="212"/>
      <c r="KMI107" s="212"/>
      <c r="KMJ107" s="212"/>
      <c r="KMK107" s="212"/>
      <c r="KML107" s="212"/>
      <c r="KMM107" s="212"/>
      <c r="KMN107" s="212"/>
      <c r="KMO107" s="212"/>
      <c r="KMP107" s="212"/>
      <c r="KMQ107" s="212"/>
      <c r="KMR107" s="212"/>
      <c r="KMS107" s="212"/>
      <c r="KMT107" s="212"/>
      <c r="KMU107" s="212"/>
      <c r="KMV107" s="212"/>
      <c r="KMW107" s="212"/>
      <c r="KMX107" s="212"/>
      <c r="KMY107" s="212"/>
      <c r="KMZ107" s="212"/>
      <c r="KNA107" s="212"/>
      <c r="KNB107" s="212"/>
      <c r="KNC107" s="212"/>
      <c r="KND107" s="212"/>
      <c r="KNE107" s="212"/>
      <c r="KNF107" s="212"/>
      <c r="KNG107" s="212"/>
      <c r="KNH107" s="212"/>
      <c r="KNI107" s="212"/>
      <c r="KNJ107" s="212"/>
      <c r="KNK107" s="212"/>
      <c r="KNL107" s="212"/>
      <c r="KNM107" s="212"/>
      <c r="KNN107" s="212"/>
      <c r="KNO107" s="212"/>
      <c r="KNP107" s="212"/>
      <c r="KNQ107" s="212"/>
      <c r="KNR107" s="212"/>
      <c r="KNS107" s="212"/>
      <c r="KNT107" s="212"/>
      <c r="KNU107" s="212"/>
      <c r="KNV107" s="212"/>
      <c r="KNW107" s="212"/>
      <c r="KNX107" s="212"/>
      <c r="KNY107" s="212"/>
      <c r="KNZ107" s="212"/>
      <c r="KOA107" s="212"/>
      <c r="KOB107" s="212"/>
      <c r="KOC107" s="212"/>
      <c r="KOD107" s="212"/>
      <c r="KOE107" s="212"/>
      <c r="KOF107" s="212"/>
      <c r="KOG107" s="212"/>
      <c r="KOH107" s="212"/>
      <c r="KOI107" s="212"/>
      <c r="KOJ107" s="212"/>
      <c r="KOK107" s="212"/>
      <c r="KOL107" s="212"/>
      <c r="KOM107" s="212"/>
      <c r="KON107" s="212"/>
      <c r="KOO107" s="212"/>
      <c r="KOP107" s="212"/>
      <c r="KOQ107" s="212"/>
      <c r="KOR107" s="212"/>
      <c r="KOS107" s="212"/>
      <c r="KOT107" s="212"/>
      <c r="KOU107" s="212"/>
      <c r="KOV107" s="212"/>
      <c r="KOW107" s="212"/>
      <c r="KOX107" s="212"/>
      <c r="KOY107" s="212"/>
      <c r="KOZ107" s="212"/>
      <c r="KPA107" s="212"/>
      <c r="KPB107" s="212"/>
      <c r="KPC107" s="212"/>
      <c r="KPD107" s="212"/>
      <c r="KPE107" s="212"/>
      <c r="KPF107" s="212"/>
      <c r="KPG107" s="212"/>
      <c r="KPH107" s="212"/>
      <c r="KPI107" s="212"/>
      <c r="KPJ107" s="212"/>
      <c r="KPK107" s="212"/>
      <c r="KPL107" s="212"/>
      <c r="KPM107" s="212"/>
      <c r="KPN107" s="212"/>
      <c r="KPO107" s="212"/>
      <c r="KPP107" s="212"/>
      <c r="KPQ107" s="212"/>
      <c r="KPR107" s="212"/>
      <c r="KPS107" s="212"/>
      <c r="KPT107" s="212"/>
      <c r="KPU107" s="212"/>
      <c r="KPV107" s="212"/>
      <c r="KPW107" s="212"/>
      <c r="KPX107" s="212"/>
      <c r="KPY107" s="212"/>
      <c r="KPZ107" s="212"/>
      <c r="KQA107" s="212"/>
      <c r="KQB107" s="212"/>
      <c r="KQC107" s="212"/>
      <c r="KQD107" s="212"/>
      <c r="KQE107" s="212"/>
      <c r="KQF107" s="212"/>
      <c r="KQG107" s="212"/>
      <c r="KQH107" s="212"/>
      <c r="KQI107" s="212"/>
      <c r="KQJ107" s="212"/>
      <c r="KQK107" s="212"/>
      <c r="KQL107" s="212"/>
      <c r="KQM107" s="212"/>
      <c r="KQN107" s="212"/>
      <c r="KQO107" s="212"/>
      <c r="KQP107" s="212"/>
      <c r="KQQ107" s="212"/>
      <c r="KQR107" s="212"/>
      <c r="KQS107" s="212"/>
      <c r="KQT107" s="212"/>
      <c r="KQU107" s="212"/>
      <c r="KQV107" s="212"/>
      <c r="KQW107" s="212"/>
      <c r="KQX107" s="212"/>
      <c r="KQY107" s="212"/>
      <c r="KQZ107" s="212"/>
      <c r="KRA107" s="212"/>
      <c r="KRB107" s="212"/>
      <c r="KRC107" s="212"/>
      <c r="KRD107" s="212"/>
      <c r="KRE107" s="212"/>
      <c r="KRF107" s="212"/>
      <c r="KRG107" s="212"/>
      <c r="KRH107" s="212"/>
      <c r="KRI107" s="212"/>
      <c r="KRJ107" s="212"/>
      <c r="KRK107" s="212"/>
      <c r="KRL107" s="212"/>
      <c r="KRM107" s="212"/>
      <c r="KRN107" s="212"/>
      <c r="KRO107" s="212"/>
      <c r="KRP107" s="212"/>
      <c r="KRQ107" s="212"/>
      <c r="KRR107" s="212"/>
      <c r="KRS107" s="212"/>
      <c r="KRT107" s="212"/>
      <c r="KRU107" s="212"/>
      <c r="KRV107" s="212"/>
      <c r="KRW107" s="212"/>
      <c r="KRX107" s="212"/>
      <c r="KRY107" s="212"/>
      <c r="KRZ107" s="212"/>
      <c r="KSA107" s="212"/>
      <c r="KSB107" s="212"/>
      <c r="KSC107" s="212"/>
      <c r="KSD107" s="212"/>
      <c r="KSE107" s="212"/>
      <c r="KSF107" s="212"/>
      <c r="KSG107" s="212"/>
      <c r="KSH107" s="212"/>
      <c r="KSI107" s="212"/>
      <c r="KSJ107" s="212"/>
      <c r="KSK107" s="212"/>
      <c r="KSL107" s="212"/>
      <c r="KSM107" s="212"/>
      <c r="KSN107" s="212"/>
      <c r="KSO107" s="212"/>
      <c r="KSP107" s="212"/>
      <c r="KSQ107" s="212"/>
      <c r="KSR107" s="212"/>
      <c r="KSS107" s="212"/>
      <c r="KST107" s="212"/>
      <c r="KSU107" s="212"/>
      <c r="KSV107" s="212"/>
      <c r="KSW107" s="212"/>
      <c r="KSX107" s="212"/>
      <c r="KSY107" s="212"/>
      <c r="KSZ107" s="212"/>
      <c r="KTA107" s="212"/>
      <c r="KTB107" s="212"/>
      <c r="KTC107" s="212"/>
      <c r="KTD107" s="212"/>
      <c r="KTE107" s="212"/>
      <c r="KTF107" s="212"/>
      <c r="KTG107" s="212"/>
      <c r="KTH107" s="212"/>
      <c r="KTI107" s="212"/>
      <c r="KTJ107" s="212"/>
      <c r="KTK107" s="212"/>
      <c r="KTL107" s="212"/>
      <c r="KTM107" s="212"/>
      <c r="KTN107" s="212"/>
      <c r="KTO107" s="212"/>
      <c r="KTP107" s="212"/>
      <c r="KTQ107" s="212"/>
      <c r="KTR107" s="212"/>
      <c r="KTS107" s="212"/>
      <c r="KTT107" s="212"/>
      <c r="KTU107" s="212"/>
      <c r="KTV107" s="212"/>
      <c r="KTW107" s="212"/>
      <c r="KTX107" s="212"/>
      <c r="KTY107" s="212"/>
      <c r="KTZ107" s="212"/>
      <c r="KUA107" s="212"/>
      <c r="KUB107" s="212"/>
      <c r="KUC107" s="212"/>
      <c r="KUD107" s="212"/>
      <c r="KUE107" s="212"/>
      <c r="KUF107" s="212"/>
      <c r="KUG107" s="212"/>
      <c r="KUH107" s="212"/>
      <c r="KUI107" s="212"/>
      <c r="KUJ107" s="212"/>
      <c r="KUK107" s="212"/>
      <c r="KUL107" s="212"/>
      <c r="KUM107" s="212"/>
      <c r="KUN107" s="212"/>
      <c r="KUO107" s="212"/>
      <c r="KUP107" s="212"/>
      <c r="KUQ107" s="212"/>
      <c r="KUR107" s="212"/>
      <c r="KUS107" s="212"/>
      <c r="KUT107" s="212"/>
      <c r="KUU107" s="212"/>
      <c r="KUV107" s="212"/>
      <c r="KUW107" s="212"/>
      <c r="KUX107" s="212"/>
      <c r="KUY107" s="212"/>
      <c r="KUZ107" s="212"/>
      <c r="KVA107" s="212"/>
      <c r="KVB107" s="212"/>
      <c r="KVC107" s="212"/>
      <c r="KVD107" s="212"/>
      <c r="KVE107" s="212"/>
      <c r="KVF107" s="212"/>
      <c r="KVG107" s="212"/>
      <c r="KVH107" s="212"/>
      <c r="KVI107" s="212"/>
      <c r="KVJ107" s="212"/>
      <c r="KVK107" s="212"/>
      <c r="KVL107" s="212"/>
      <c r="KVM107" s="212"/>
      <c r="KVN107" s="212"/>
      <c r="KVO107" s="212"/>
      <c r="KVP107" s="212"/>
      <c r="KVQ107" s="212"/>
      <c r="KVR107" s="212"/>
      <c r="KVS107" s="212"/>
      <c r="KVT107" s="212"/>
      <c r="KVU107" s="212"/>
      <c r="KVV107" s="212"/>
      <c r="KVW107" s="212"/>
      <c r="KVX107" s="212"/>
      <c r="KVY107" s="212"/>
      <c r="KVZ107" s="212"/>
      <c r="KWA107" s="212"/>
      <c r="KWB107" s="212"/>
      <c r="KWC107" s="212"/>
      <c r="KWD107" s="212"/>
      <c r="KWE107" s="212"/>
      <c r="KWF107" s="212"/>
      <c r="KWG107" s="212"/>
      <c r="KWH107" s="212"/>
      <c r="KWI107" s="212"/>
      <c r="KWJ107" s="212"/>
      <c r="KWK107" s="212"/>
      <c r="KWL107" s="212"/>
      <c r="KWM107" s="212"/>
      <c r="KWN107" s="212"/>
      <c r="KWO107" s="212"/>
      <c r="KWP107" s="212"/>
      <c r="KWQ107" s="212"/>
      <c r="KWR107" s="212"/>
      <c r="KWS107" s="212"/>
      <c r="KWT107" s="212"/>
      <c r="KWU107" s="212"/>
      <c r="KWV107" s="212"/>
      <c r="KWW107" s="212"/>
      <c r="KWX107" s="212"/>
      <c r="KWY107" s="212"/>
      <c r="KWZ107" s="212"/>
      <c r="KXA107" s="212"/>
      <c r="KXB107" s="212"/>
      <c r="KXC107" s="212"/>
      <c r="KXD107" s="212"/>
      <c r="KXE107" s="212"/>
      <c r="KXF107" s="212"/>
      <c r="KXG107" s="212"/>
      <c r="KXH107" s="212"/>
      <c r="KXI107" s="212"/>
      <c r="KXJ107" s="212"/>
      <c r="KXK107" s="212"/>
      <c r="KXL107" s="212"/>
      <c r="KXM107" s="212"/>
      <c r="KXN107" s="212"/>
      <c r="KXO107" s="212"/>
      <c r="KXP107" s="212"/>
      <c r="KXQ107" s="212"/>
      <c r="KXR107" s="212"/>
      <c r="KXS107" s="212"/>
      <c r="KXT107" s="212"/>
      <c r="KXU107" s="212"/>
      <c r="KXV107" s="212"/>
      <c r="KXW107" s="212"/>
      <c r="KXX107" s="212"/>
      <c r="KXY107" s="212"/>
      <c r="KXZ107" s="212"/>
      <c r="KYA107" s="212"/>
      <c r="KYB107" s="212"/>
      <c r="KYC107" s="212"/>
      <c r="KYD107" s="212"/>
      <c r="KYE107" s="212"/>
      <c r="KYF107" s="212"/>
      <c r="KYG107" s="212"/>
      <c r="KYH107" s="212"/>
      <c r="KYI107" s="212"/>
      <c r="KYJ107" s="212"/>
      <c r="KYK107" s="212"/>
      <c r="KYL107" s="212"/>
      <c r="KYM107" s="212"/>
      <c r="KYN107" s="212"/>
      <c r="KYO107" s="212"/>
      <c r="KYP107" s="212"/>
      <c r="KYQ107" s="212"/>
      <c r="KYR107" s="212"/>
      <c r="KYS107" s="212"/>
      <c r="KYT107" s="212"/>
      <c r="KYU107" s="212"/>
      <c r="KYV107" s="212"/>
      <c r="KYW107" s="212"/>
      <c r="KYX107" s="212"/>
      <c r="KYY107" s="212"/>
      <c r="KYZ107" s="212"/>
      <c r="KZA107" s="212"/>
      <c r="KZB107" s="212"/>
      <c r="KZC107" s="212"/>
      <c r="KZD107" s="212"/>
      <c r="KZE107" s="212"/>
      <c r="KZF107" s="212"/>
      <c r="KZG107" s="212"/>
      <c r="KZH107" s="212"/>
      <c r="KZI107" s="212"/>
      <c r="KZJ107" s="212"/>
      <c r="KZK107" s="212"/>
      <c r="KZL107" s="212"/>
      <c r="KZM107" s="212"/>
      <c r="KZN107" s="212"/>
      <c r="KZO107" s="212"/>
      <c r="KZP107" s="212"/>
      <c r="KZQ107" s="212"/>
      <c r="KZR107" s="212"/>
      <c r="KZS107" s="212"/>
      <c r="KZT107" s="212"/>
      <c r="KZU107" s="212"/>
      <c r="KZV107" s="212"/>
      <c r="KZW107" s="212"/>
      <c r="KZX107" s="212"/>
      <c r="KZY107" s="212"/>
      <c r="KZZ107" s="212"/>
      <c r="LAA107" s="212"/>
      <c r="LAB107" s="212"/>
      <c r="LAC107" s="212"/>
      <c r="LAD107" s="212"/>
      <c r="LAE107" s="212"/>
      <c r="LAF107" s="212"/>
      <c r="LAG107" s="212"/>
      <c r="LAH107" s="212"/>
      <c r="LAI107" s="212"/>
      <c r="LAJ107" s="212"/>
      <c r="LAK107" s="212"/>
      <c r="LAL107" s="212"/>
      <c r="LAM107" s="212"/>
      <c r="LAN107" s="212"/>
      <c r="LAO107" s="212"/>
      <c r="LAP107" s="212"/>
      <c r="LAQ107" s="212"/>
      <c r="LAR107" s="212"/>
      <c r="LAS107" s="212"/>
      <c r="LAT107" s="212"/>
      <c r="LAU107" s="212"/>
      <c r="LAV107" s="212"/>
      <c r="LAW107" s="212"/>
      <c r="LAX107" s="212"/>
      <c r="LAY107" s="212"/>
      <c r="LAZ107" s="212"/>
      <c r="LBA107" s="212"/>
      <c r="LBB107" s="212"/>
      <c r="LBC107" s="212"/>
      <c r="LBD107" s="212"/>
      <c r="LBE107" s="212"/>
      <c r="LBF107" s="212"/>
      <c r="LBG107" s="212"/>
      <c r="LBH107" s="212"/>
      <c r="LBI107" s="212"/>
      <c r="LBJ107" s="212"/>
      <c r="LBK107" s="212"/>
      <c r="LBL107" s="212"/>
      <c r="LBM107" s="212"/>
      <c r="LBN107" s="212"/>
      <c r="LBO107" s="212"/>
      <c r="LBP107" s="212"/>
      <c r="LBQ107" s="212"/>
      <c r="LBR107" s="212"/>
      <c r="LBS107" s="212"/>
      <c r="LBT107" s="212"/>
      <c r="LBU107" s="212"/>
      <c r="LBV107" s="212"/>
      <c r="LBW107" s="212"/>
      <c r="LBX107" s="212"/>
      <c r="LBY107" s="212"/>
      <c r="LBZ107" s="212"/>
      <c r="LCA107" s="212"/>
      <c r="LCB107" s="212"/>
      <c r="LCC107" s="212"/>
      <c r="LCD107" s="212"/>
      <c r="LCE107" s="212"/>
      <c r="LCF107" s="212"/>
      <c r="LCG107" s="212"/>
      <c r="LCH107" s="212"/>
      <c r="LCI107" s="212"/>
      <c r="LCJ107" s="212"/>
      <c r="LCK107" s="212"/>
      <c r="LCL107" s="212"/>
      <c r="LCM107" s="212"/>
      <c r="LCN107" s="212"/>
      <c r="LCO107" s="212"/>
      <c r="LCP107" s="212"/>
      <c r="LCQ107" s="212"/>
      <c r="LCR107" s="212"/>
      <c r="LCS107" s="212"/>
      <c r="LCT107" s="212"/>
      <c r="LCU107" s="212"/>
      <c r="LCV107" s="212"/>
      <c r="LCW107" s="212"/>
      <c r="LCX107" s="212"/>
      <c r="LCY107" s="212"/>
      <c r="LCZ107" s="212"/>
      <c r="LDA107" s="212"/>
      <c r="LDB107" s="212"/>
      <c r="LDC107" s="212"/>
      <c r="LDD107" s="212"/>
      <c r="LDE107" s="212"/>
      <c r="LDF107" s="212"/>
      <c r="LDG107" s="212"/>
      <c r="LDH107" s="212"/>
      <c r="LDI107" s="212"/>
      <c r="LDJ107" s="212"/>
      <c r="LDK107" s="212"/>
      <c r="LDL107" s="212"/>
      <c r="LDM107" s="212"/>
      <c r="LDN107" s="212"/>
      <c r="LDO107" s="212"/>
      <c r="LDP107" s="212"/>
      <c r="LDQ107" s="212"/>
      <c r="LDR107" s="212"/>
      <c r="LDS107" s="212"/>
      <c r="LDT107" s="212"/>
      <c r="LDU107" s="212"/>
      <c r="LDV107" s="212"/>
      <c r="LDW107" s="212"/>
      <c r="LDX107" s="212"/>
      <c r="LDY107" s="212"/>
      <c r="LDZ107" s="212"/>
      <c r="LEA107" s="212"/>
      <c r="LEB107" s="212"/>
      <c r="LEC107" s="212"/>
      <c r="LED107" s="212"/>
      <c r="LEE107" s="212"/>
      <c r="LEF107" s="212"/>
      <c r="LEG107" s="212"/>
      <c r="LEH107" s="212"/>
      <c r="LEI107" s="212"/>
      <c r="LEJ107" s="212"/>
      <c r="LEK107" s="212"/>
      <c r="LEL107" s="212"/>
      <c r="LEM107" s="212"/>
      <c r="LEN107" s="212"/>
      <c r="LEO107" s="212"/>
      <c r="LEP107" s="212"/>
      <c r="LEQ107" s="212"/>
      <c r="LER107" s="212"/>
      <c r="LES107" s="212"/>
      <c r="LET107" s="212"/>
      <c r="LEU107" s="212"/>
      <c r="LEV107" s="212"/>
      <c r="LEW107" s="212"/>
      <c r="LEX107" s="212"/>
      <c r="LEY107" s="212"/>
      <c r="LEZ107" s="212"/>
      <c r="LFA107" s="212"/>
      <c r="LFB107" s="212"/>
      <c r="LFC107" s="212"/>
      <c r="LFD107" s="212"/>
      <c r="LFE107" s="212"/>
      <c r="LFF107" s="212"/>
      <c r="LFG107" s="212"/>
      <c r="LFH107" s="212"/>
      <c r="LFI107" s="212"/>
      <c r="LFJ107" s="212"/>
      <c r="LFK107" s="212"/>
      <c r="LFL107" s="212"/>
      <c r="LFM107" s="212"/>
      <c r="LFN107" s="212"/>
      <c r="LFO107" s="212"/>
      <c r="LFP107" s="212"/>
      <c r="LFQ107" s="212"/>
      <c r="LFR107" s="212"/>
      <c r="LFS107" s="212"/>
      <c r="LFT107" s="212"/>
      <c r="LFU107" s="212"/>
      <c r="LFV107" s="212"/>
      <c r="LFW107" s="212"/>
      <c r="LFX107" s="212"/>
      <c r="LFY107" s="212"/>
      <c r="LFZ107" s="212"/>
      <c r="LGA107" s="212"/>
      <c r="LGB107" s="212"/>
      <c r="LGC107" s="212"/>
      <c r="LGD107" s="212"/>
      <c r="LGE107" s="212"/>
      <c r="LGF107" s="212"/>
      <c r="LGG107" s="212"/>
      <c r="LGH107" s="212"/>
      <c r="LGI107" s="212"/>
      <c r="LGJ107" s="212"/>
      <c r="LGK107" s="212"/>
      <c r="LGL107" s="212"/>
      <c r="LGM107" s="212"/>
      <c r="LGN107" s="212"/>
      <c r="LGO107" s="212"/>
      <c r="LGP107" s="212"/>
      <c r="LGQ107" s="212"/>
      <c r="LGR107" s="212"/>
      <c r="LGS107" s="212"/>
      <c r="LGT107" s="212"/>
      <c r="LGU107" s="212"/>
      <c r="LGV107" s="212"/>
      <c r="LGW107" s="212"/>
      <c r="LGX107" s="212"/>
      <c r="LGY107" s="212"/>
      <c r="LGZ107" s="212"/>
      <c r="LHA107" s="212"/>
      <c r="LHB107" s="212"/>
      <c r="LHC107" s="212"/>
      <c r="LHD107" s="212"/>
      <c r="LHE107" s="212"/>
      <c r="LHF107" s="212"/>
      <c r="LHG107" s="212"/>
      <c r="LHH107" s="212"/>
      <c r="LHI107" s="212"/>
      <c r="LHJ107" s="212"/>
      <c r="LHK107" s="212"/>
      <c r="LHL107" s="212"/>
      <c r="LHM107" s="212"/>
      <c r="LHN107" s="212"/>
      <c r="LHO107" s="212"/>
      <c r="LHP107" s="212"/>
      <c r="LHQ107" s="212"/>
      <c r="LHR107" s="212"/>
      <c r="LHS107" s="212"/>
      <c r="LHT107" s="212"/>
      <c r="LHU107" s="212"/>
      <c r="LHV107" s="212"/>
      <c r="LHW107" s="212"/>
      <c r="LHX107" s="212"/>
      <c r="LHY107" s="212"/>
      <c r="LHZ107" s="212"/>
      <c r="LIA107" s="212"/>
      <c r="LIB107" s="212"/>
      <c r="LIC107" s="212"/>
      <c r="LID107" s="212"/>
      <c r="LIE107" s="212"/>
      <c r="LIF107" s="212"/>
      <c r="LIG107" s="212"/>
      <c r="LIH107" s="212"/>
      <c r="LII107" s="212"/>
      <c r="LIJ107" s="212"/>
      <c r="LIK107" s="212"/>
      <c r="LIL107" s="212"/>
      <c r="LIM107" s="212"/>
      <c r="LIN107" s="212"/>
      <c r="LIO107" s="212"/>
      <c r="LIP107" s="212"/>
      <c r="LIQ107" s="212"/>
      <c r="LIR107" s="212"/>
      <c r="LIS107" s="212"/>
      <c r="LIT107" s="212"/>
      <c r="LIU107" s="212"/>
      <c r="LIV107" s="212"/>
      <c r="LIW107" s="212"/>
      <c r="LIX107" s="212"/>
      <c r="LIY107" s="212"/>
      <c r="LIZ107" s="212"/>
      <c r="LJA107" s="212"/>
      <c r="LJB107" s="212"/>
      <c r="LJC107" s="212"/>
      <c r="LJD107" s="212"/>
      <c r="LJE107" s="212"/>
      <c r="LJF107" s="212"/>
      <c r="LJG107" s="212"/>
      <c r="LJH107" s="212"/>
      <c r="LJI107" s="212"/>
      <c r="LJJ107" s="212"/>
      <c r="LJK107" s="212"/>
      <c r="LJL107" s="212"/>
      <c r="LJM107" s="212"/>
      <c r="LJN107" s="212"/>
      <c r="LJO107" s="212"/>
      <c r="LJP107" s="212"/>
      <c r="LJQ107" s="212"/>
      <c r="LJR107" s="212"/>
      <c r="LJS107" s="212"/>
      <c r="LJT107" s="212"/>
      <c r="LJU107" s="212"/>
      <c r="LJV107" s="212"/>
      <c r="LJW107" s="212"/>
      <c r="LJX107" s="212"/>
      <c r="LJY107" s="212"/>
      <c r="LJZ107" s="212"/>
      <c r="LKA107" s="212"/>
      <c r="LKB107" s="212"/>
      <c r="LKC107" s="212"/>
      <c r="LKD107" s="212"/>
      <c r="LKE107" s="212"/>
      <c r="LKF107" s="212"/>
      <c r="LKG107" s="212"/>
      <c r="LKH107" s="212"/>
      <c r="LKI107" s="212"/>
      <c r="LKJ107" s="212"/>
      <c r="LKK107" s="212"/>
      <c r="LKL107" s="212"/>
      <c r="LKM107" s="212"/>
      <c r="LKN107" s="212"/>
      <c r="LKO107" s="212"/>
      <c r="LKP107" s="212"/>
      <c r="LKQ107" s="212"/>
      <c r="LKR107" s="212"/>
      <c r="LKS107" s="212"/>
      <c r="LKT107" s="212"/>
      <c r="LKU107" s="212"/>
      <c r="LKV107" s="212"/>
      <c r="LKW107" s="212"/>
      <c r="LKX107" s="212"/>
      <c r="LKY107" s="212"/>
      <c r="LKZ107" s="212"/>
      <c r="LLA107" s="212"/>
      <c r="LLB107" s="212"/>
      <c r="LLC107" s="212"/>
      <c r="LLD107" s="212"/>
      <c r="LLE107" s="212"/>
      <c r="LLF107" s="212"/>
      <c r="LLG107" s="212"/>
      <c r="LLH107" s="212"/>
      <c r="LLI107" s="212"/>
      <c r="LLJ107" s="212"/>
      <c r="LLK107" s="212"/>
      <c r="LLL107" s="212"/>
      <c r="LLM107" s="212"/>
      <c r="LLN107" s="212"/>
      <c r="LLO107" s="212"/>
      <c r="LLP107" s="212"/>
      <c r="LLQ107" s="212"/>
      <c r="LLR107" s="212"/>
      <c r="LLS107" s="212"/>
      <c r="LLT107" s="212"/>
      <c r="LLU107" s="212"/>
      <c r="LLV107" s="212"/>
      <c r="LLW107" s="212"/>
      <c r="LLX107" s="212"/>
      <c r="LLY107" s="212"/>
      <c r="LLZ107" s="212"/>
      <c r="LMA107" s="212"/>
      <c r="LMB107" s="212"/>
      <c r="LMC107" s="212"/>
      <c r="LMD107" s="212"/>
      <c r="LME107" s="212"/>
      <c r="LMF107" s="212"/>
      <c r="LMG107" s="212"/>
      <c r="LMH107" s="212"/>
      <c r="LMI107" s="212"/>
      <c r="LMJ107" s="212"/>
      <c r="LMK107" s="212"/>
      <c r="LML107" s="212"/>
      <c r="LMM107" s="212"/>
      <c r="LMN107" s="212"/>
      <c r="LMO107" s="212"/>
      <c r="LMP107" s="212"/>
      <c r="LMQ107" s="212"/>
      <c r="LMR107" s="212"/>
      <c r="LMS107" s="212"/>
      <c r="LMT107" s="212"/>
      <c r="LMU107" s="212"/>
      <c r="LMV107" s="212"/>
      <c r="LMW107" s="212"/>
      <c r="LMX107" s="212"/>
      <c r="LMY107" s="212"/>
      <c r="LMZ107" s="212"/>
      <c r="LNA107" s="212"/>
      <c r="LNB107" s="212"/>
      <c r="LNC107" s="212"/>
      <c r="LND107" s="212"/>
      <c r="LNE107" s="212"/>
      <c r="LNF107" s="212"/>
      <c r="LNG107" s="212"/>
      <c r="LNH107" s="212"/>
      <c r="LNI107" s="212"/>
      <c r="LNJ107" s="212"/>
      <c r="LNK107" s="212"/>
      <c r="LNL107" s="212"/>
      <c r="LNM107" s="212"/>
      <c r="LNN107" s="212"/>
      <c r="LNO107" s="212"/>
      <c r="LNP107" s="212"/>
      <c r="LNQ107" s="212"/>
      <c r="LNR107" s="212"/>
      <c r="LNS107" s="212"/>
      <c r="LNT107" s="212"/>
      <c r="LNU107" s="212"/>
      <c r="LNV107" s="212"/>
      <c r="LNW107" s="212"/>
      <c r="LNX107" s="212"/>
      <c r="LNY107" s="212"/>
      <c r="LNZ107" s="212"/>
      <c r="LOA107" s="212"/>
      <c r="LOB107" s="212"/>
      <c r="LOC107" s="212"/>
      <c r="LOD107" s="212"/>
      <c r="LOE107" s="212"/>
      <c r="LOF107" s="212"/>
      <c r="LOG107" s="212"/>
      <c r="LOH107" s="212"/>
      <c r="LOI107" s="212"/>
      <c r="LOJ107" s="212"/>
      <c r="LOK107" s="212"/>
      <c r="LOL107" s="212"/>
      <c r="LOM107" s="212"/>
      <c r="LON107" s="212"/>
      <c r="LOO107" s="212"/>
      <c r="LOP107" s="212"/>
      <c r="LOQ107" s="212"/>
      <c r="LOR107" s="212"/>
      <c r="LOS107" s="212"/>
      <c r="LOT107" s="212"/>
      <c r="LOU107" s="212"/>
      <c r="LOV107" s="212"/>
      <c r="LOW107" s="212"/>
      <c r="LOX107" s="212"/>
      <c r="LOY107" s="212"/>
      <c r="LOZ107" s="212"/>
      <c r="LPA107" s="212"/>
      <c r="LPB107" s="212"/>
      <c r="LPC107" s="212"/>
      <c r="LPD107" s="212"/>
      <c r="LPE107" s="212"/>
      <c r="LPF107" s="212"/>
      <c r="LPG107" s="212"/>
      <c r="LPH107" s="212"/>
      <c r="LPI107" s="212"/>
      <c r="LPJ107" s="212"/>
      <c r="LPK107" s="212"/>
      <c r="LPL107" s="212"/>
      <c r="LPM107" s="212"/>
      <c r="LPN107" s="212"/>
      <c r="LPO107" s="212"/>
      <c r="LPP107" s="212"/>
      <c r="LPQ107" s="212"/>
      <c r="LPR107" s="212"/>
      <c r="LPS107" s="212"/>
      <c r="LPT107" s="212"/>
      <c r="LPU107" s="212"/>
      <c r="LPV107" s="212"/>
      <c r="LPW107" s="212"/>
      <c r="LPX107" s="212"/>
      <c r="LPY107" s="212"/>
      <c r="LPZ107" s="212"/>
      <c r="LQA107" s="212"/>
      <c r="LQB107" s="212"/>
      <c r="LQC107" s="212"/>
      <c r="LQD107" s="212"/>
      <c r="LQE107" s="212"/>
      <c r="LQF107" s="212"/>
      <c r="LQG107" s="212"/>
      <c r="LQH107" s="212"/>
      <c r="LQI107" s="212"/>
      <c r="LQJ107" s="212"/>
      <c r="LQK107" s="212"/>
      <c r="LQL107" s="212"/>
      <c r="LQM107" s="212"/>
      <c r="LQN107" s="212"/>
      <c r="LQO107" s="212"/>
      <c r="LQP107" s="212"/>
      <c r="LQQ107" s="212"/>
      <c r="LQR107" s="212"/>
      <c r="LQS107" s="212"/>
      <c r="LQT107" s="212"/>
      <c r="LQU107" s="212"/>
      <c r="LQV107" s="212"/>
      <c r="LQW107" s="212"/>
      <c r="LQX107" s="212"/>
      <c r="LQY107" s="212"/>
      <c r="LQZ107" s="212"/>
      <c r="LRA107" s="212"/>
      <c r="LRB107" s="212"/>
      <c r="LRC107" s="212"/>
      <c r="LRD107" s="212"/>
      <c r="LRE107" s="212"/>
      <c r="LRF107" s="212"/>
      <c r="LRG107" s="212"/>
      <c r="LRH107" s="212"/>
      <c r="LRI107" s="212"/>
      <c r="LRJ107" s="212"/>
      <c r="LRK107" s="212"/>
      <c r="LRL107" s="212"/>
      <c r="LRM107" s="212"/>
      <c r="LRN107" s="212"/>
      <c r="LRO107" s="212"/>
      <c r="LRP107" s="212"/>
      <c r="LRQ107" s="212"/>
      <c r="LRR107" s="212"/>
      <c r="LRS107" s="212"/>
      <c r="LRT107" s="212"/>
      <c r="LRU107" s="212"/>
      <c r="LRV107" s="212"/>
      <c r="LRW107" s="212"/>
      <c r="LRX107" s="212"/>
      <c r="LRY107" s="212"/>
      <c r="LRZ107" s="212"/>
      <c r="LSA107" s="212"/>
      <c r="LSB107" s="212"/>
      <c r="LSC107" s="212"/>
      <c r="LSD107" s="212"/>
      <c r="LSE107" s="212"/>
      <c r="LSF107" s="212"/>
      <c r="LSG107" s="212"/>
      <c r="LSH107" s="212"/>
      <c r="LSI107" s="212"/>
      <c r="LSJ107" s="212"/>
      <c r="LSK107" s="212"/>
      <c r="LSL107" s="212"/>
      <c r="LSM107" s="212"/>
      <c r="LSN107" s="212"/>
      <c r="LSO107" s="212"/>
      <c r="LSP107" s="212"/>
      <c r="LSQ107" s="212"/>
      <c r="LSR107" s="212"/>
      <c r="LSS107" s="212"/>
      <c r="LST107" s="212"/>
      <c r="LSU107" s="212"/>
      <c r="LSV107" s="212"/>
      <c r="LSW107" s="212"/>
      <c r="LSX107" s="212"/>
      <c r="LSY107" s="212"/>
      <c r="LSZ107" s="212"/>
      <c r="LTA107" s="212"/>
      <c r="LTB107" s="212"/>
      <c r="LTC107" s="212"/>
      <c r="LTD107" s="212"/>
      <c r="LTE107" s="212"/>
      <c r="LTF107" s="212"/>
      <c r="LTG107" s="212"/>
      <c r="LTH107" s="212"/>
      <c r="LTI107" s="212"/>
      <c r="LTJ107" s="212"/>
      <c r="LTK107" s="212"/>
      <c r="LTL107" s="212"/>
      <c r="LTM107" s="212"/>
      <c r="LTN107" s="212"/>
      <c r="LTO107" s="212"/>
      <c r="LTP107" s="212"/>
      <c r="LTQ107" s="212"/>
      <c r="LTR107" s="212"/>
      <c r="LTS107" s="212"/>
      <c r="LTT107" s="212"/>
      <c r="LTU107" s="212"/>
      <c r="LTV107" s="212"/>
      <c r="LTW107" s="212"/>
      <c r="LTX107" s="212"/>
      <c r="LTY107" s="212"/>
      <c r="LTZ107" s="212"/>
      <c r="LUA107" s="212"/>
      <c r="LUB107" s="212"/>
      <c r="LUC107" s="212"/>
      <c r="LUD107" s="212"/>
      <c r="LUE107" s="212"/>
      <c r="LUF107" s="212"/>
      <c r="LUG107" s="212"/>
      <c r="LUH107" s="212"/>
      <c r="LUI107" s="212"/>
      <c r="LUJ107" s="212"/>
      <c r="LUK107" s="212"/>
      <c r="LUL107" s="212"/>
      <c r="LUM107" s="212"/>
      <c r="LUN107" s="212"/>
      <c r="LUO107" s="212"/>
      <c r="LUP107" s="212"/>
      <c r="LUQ107" s="212"/>
      <c r="LUR107" s="212"/>
      <c r="LUS107" s="212"/>
      <c r="LUT107" s="212"/>
      <c r="LUU107" s="212"/>
      <c r="LUV107" s="212"/>
      <c r="LUW107" s="212"/>
      <c r="LUX107" s="212"/>
      <c r="LUY107" s="212"/>
      <c r="LUZ107" s="212"/>
      <c r="LVA107" s="212"/>
      <c r="LVB107" s="212"/>
      <c r="LVC107" s="212"/>
      <c r="LVD107" s="212"/>
      <c r="LVE107" s="212"/>
      <c r="LVF107" s="212"/>
      <c r="LVG107" s="212"/>
      <c r="LVH107" s="212"/>
      <c r="LVI107" s="212"/>
      <c r="LVJ107" s="212"/>
      <c r="LVK107" s="212"/>
      <c r="LVL107" s="212"/>
      <c r="LVM107" s="212"/>
      <c r="LVN107" s="212"/>
      <c r="LVO107" s="212"/>
      <c r="LVP107" s="212"/>
      <c r="LVQ107" s="212"/>
      <c r="LVR107" s="212"/>
      <c r="LVS107" s="212"/>
      <c r="LVT107" s="212"/>
      <c r="LVU107" s="212"/>
      <c r="LVV107" s="212"/>
      <c r="LVW107" s="212"/>
      <c r="LVX107" s="212"/>
      <c r="LVY107" s="212"/>
      <c r="LVZ107" s="212"/>
      <c r="LWA107" s="212"/>
      <c r="LWB107" s="212"/>
      <c r="LWC107" s="212"/>
      <c r="LWD107" s="212"/>
      <c r="LWE107" s="212"/>
      <c r="LWF107" s="212"/>
      <c r="LWG107" s="212"/>
      <c r="LWH107" s="212"/>
      <c r="LWI107" s="212"/>
      <c r="LWJ107" s="212"/>
      <c r="LWK107" s="212"/>
      <c r="LWL107" s="212"/>
      <c r="LWM107" s="212"/>
      <c r="LWN107" s="212"/>
      <c r="LWO107" s="212"/>
      <c r="LWP107" s="212"/>
      <c r="LWQ107" s="212"/>
      <c r="LWR107" s="212"/>
      <c r="LWS107" s="212"/>
      <c r="LWT107" s="212"/>
      <c r="LWU107" s="212"/>
      <c r="LWV107" s="212"/>
      <c r="LWW107" s="212"/>
      <c r="LWX107" s="212"/>
      <c r="LWY107" s="212"/>
      <c r="LWZ107" s="212"/>
      <c r="LXA107" s="212"/>
      <c r="LXB107" s="212"/>
      <c r="LXC107" s="212"/>
      <c r="LXD107" s="212"/>
      <c r="LXE107" s="212"/>
      <c r="LXF107" s="212"/>
      <c r="LXG107" s="212"/>
      <c r="LXH107" s="212"/>
      <c r="LXI107" s="212"/>
      <c r="LXJ107" s="212"/>
      <c r="LXK107" s="212"/>
      <c r="LXL107" s="212"/>
      <c r="LXM107" s="212"/>
      <c r="LXN107" s="212"/>
      <c r="LXO107" s="212"/>
      <c r="LXP107" s="212"/>
      <c r="LXQ107" s="212"/>
      <c r="LXR107" s="212"/>
      <c r="LXS107" s="212"/>
      <c r="LXT107" s="212"/>
      <c r="LXU107" s="212"/>
      <c r="LXV107" s="212"/>
      <c r="LXW107" s="212"/>
      <c r="LXX107" s="212"/>
      <c r="LXY107" s="212"/>
      <c r="LXZ107" s="212"/>
      <c r="LYA107" s="212"/>
      <c r="LYB107" s="212"/>
      <c r="LYC107" s="212"/>
      <c r="LYD107" s="212"/>
      <c r="LYE107" s="212"/>
      <c r="LYF107" s="212"/>
      <c r="LYG107" s="212"/>
      <c r="LYH107" s="212"/>
      <c r="LYI107" s="212"/>
      <c r="LYJ107" s="212"/>
      <c r="LYK107" s="212"/>
      <c r="LYL107" s="212"/>
      <c r="LYM107" s="212"/>
      <c r="LYN107" s="212"/>
      <c r="LYO107" s="212"/>
      <c r="LYP107" s="212"/>
      <c r="LYQ107" s="212"/>
      <c r="LYR107" s="212"/>
      <c r="LYS107" s="212"/>
      <c r="LYT107" s="212"/>
      <c r="LYU107" s="212"/>
      <c r="LYV107" s="212"/>
      <c r="LYW107" s="212"/>
      <c r="LYX107" s="212"/>
      <c r="LYY107" s="212"/>
      <c r="LYZ107" s="212"/>
      <c r="LZA107" s="212"/>
      <c r="LZB107" s="212"/>
      <c r="LZC107" s="212"/>
      <c r="LZD107" s="212"/>
      <c r="LZE107" s="212"/>
      <c r="LZF107" s="212"/>
      <c r="LZG107" s="212"/>
      <c r="LZH107" s="212"/>
      <c r="LZI107" s="212"/>
      <c r="LZJ107" s="212"/>
      <c r="LZK107" s="212"/>
      <c r="LZL107" s="212"/>
      <c r="LZM107" s="212"/>
      <c r="LZN107" s="212"/>
      <c r="LZO107" s="212"/>
      <c r="LZP107" s="212"/>
      <c r="LZQ107" s="212"/>
      <c r="LZR107" s="212"/>
      <c r="LZS107" s="212"/>
      <c r="LZT107" s="212"/>
      <c r="LZU107" s="212"/>
      <c r="LZV107" s="212"/>
      <c r="LZW107" s="212"/>
      <c r="LZX107" s="212"/>
      <c r="LZY107" s="212"/>
      <c r="LZZ107" s="212"/>
      <c r="MAA107" s="212"/>
      <c r="MAB107" s="212"/>
      <c r="MAC107" s="212"/>
      <c r="MAD107" s="212"/>
      <c r="MAE107" s="212"/>
      <c r="MAF107" s="212"/>
      <c r="MAG107" s="212"/>
      <c r="MAH107" s="212"/>
      <c r="MAI107" s="212"/>
      <c r="MAJ107" s="212"/>
      <c r="MAK107" s="212"/>
      <c r="MAL107" s="212"/>
      <c r="MAM107" s="212"/>
      <c r="MAN107" s="212"/>
      <c r="MAO107" s="212"/>
      <c r="MAP107" s="212"/>
      <c r="MAQ107" s="212"/>
      <c r="MAR107" s="212"/>
      <c r="MAS107" s="212"/>
      <c r="MAT107" s="212"/>
      <c r="MAU107" s="212"/>
      <c r="MAV107" s="212"/>
      <c r="MAW107" s="212"/>
      <c r="MAX107" s="212"/>
      <c r="MAY107" s="212"/>
      <c r="MAZ107" s="212"/>
      <c r="MBA107" s="212"/>
      <c r="MBB107" s="212"/>
      <c r="MBC107" s="212"/>
      <c r="MBD107" s="212"/>
      <c r="MBE107" s="212"/>
      <c r="MBF107" s="212"/>
      <c r="MBG107" s="212"/>
      <c r="MBH107" s="212"/>
      <c r="MBI107" s="212"/>
      <c r="MBJ107" s="212"/>
      <c r="MBK107" s="212"/>
      <c r="MBL107" s="212"/>
      <c r="MBM107" s="212"/>
      <c r="MBN107" s="212"/>
      <c r="MBO107" s="212"/>
      <c r="MBP107" s="212"/>
      <c r="MBQ107" s="212"/>
      <c r="MBR107" s="212"/>
      <c r="MBS107" s="212"/>
      <c r="MBT107" s="212"/>
      <c r="MBU107" s="212"/>
      <c r="MBV107" s="212"/>
      <c r="MBW107" s="212"/>
      <c r="MBX107" s="212"/>
      <c r="MBY107" s="212"/>
      <c r="MBZ107" s="212"/>
      <c r="MCA107" s="212"/>
      <c r="MCB107" s="212"/>
      <c r="MCC107" s="212"/>
      <c r="MCD107" s="212"/>
      <c r="MCE107" s="212"/>
      <c r="MCF107" s="212"/>
      <c r="MCG107" s="212"/>
      <c r="MCH107" s="212"/>
      <c r="MCI107" s="212"/>
      <c r="MCJ107" s="212"/>
      <c r="MCK107" s="212"/>
      <c r="MCL107" s="212"/>
      <c r="MCM107" s="212"/>
      <c r="MCN107" s="212"/>
      <c r="MCO107" s="212"/>
      <c r="MCP107" s="212"/>
      <c r="MCQ107" s="212"/>
      <c r="MCR107" s="212"/>
      <c r="MCS107" s="212"/>
      <c r="MCT107" s="212"/>
      <c r="MCU107" s="212"/>
      <c r="MCV107" s="212"/>
      <c r="MCW107" s="212"/>
      <c r="MCX107" s="212"/>
      <c r="MCY107" s="212"/>
      <c r="MCZ107" s="212"/>
      <c r="MDA107" s="212"/>
      <c r="MDB107" s="212"/>
      <c r="MDC107" s="212"/>
      <c r="MDD107" s="212"/>
      <c r="MDE107" s="212"/>
      <c r="MDF107" s="212"/>
      <c r="MDG107" s="212"/>
      <c r="MDH107" s="212"/>
      <c r="MDI107" s="212"/>
      <c r="MDJ107" s="212"/>
      <c r="MDK107" s="212"/>
      <c r="MDL107" s="212"/>
      <c r="MDM107" s="212"/>
      <c r="MDN107" s="212"/>
      <c r="MDO107" s="212"/>
      <c r="MDP107" s="212"/>
      <c r="MDQ107" s="212"/>
      <c r="MDR107" s="212"/>
      <c r="MDS107" s="212"/>
      <c r="MDT107" s="212"/>
      <c r="MDU107" s="212"/>
      <c r="MDV107" s="212"/>
      <c r="MDW107" s="212"/>
      <c r="MDX107" s="212"/>
      <c r="MDY107" s="212"/>
      <c r="MDZ107" s="212"/>
      <c r="MEA107" s="212"/>
      <c r="MEB107" s="212"/>
      <c r="MEC107" s="212"/>
      <c r="MED107" s="212"/>
      <c r="MEE107" s="212"/>
      <c r="MEF107" s="212"/>
      <c r="MEG107" s="212"/>
      <c r="MEH107" s="212"/>
      <c r="MEI107" s="212"/>
      <c r="MEJ107" s="212"/>
      <c r="MEK107" s="212"/>
      <c r="MEL107" s="212"/>
      <c r="MEM107" s="212"/>
      <c r="MEN107" s="212"/>
      <c r="MEO107" s="212"/>
      <c r="MEP107" s="212"/>
      <c r="MEQ107" s="212"/>
      <c r="MER107" s="212"/>
      <c r="MES107" s="212"/>
      <c r="MET107" s="212"/>
      <c r="MEU107" s="212"/>
      <c r="MEV107" s="212"/>
      <c r="MEW107" s="212"/>
      <c r="MEX107" s="212"/>
      <c r="MEY107" s="212"/>
      <c r="MEZ107" s="212"/>
      <c r="MFA107" s="212"/>
      <c r="MFB107" s="212"/>
      <c r="MFC107" s="212"/>
      <c r="MFD107" s="212"/>
      <c r="MFE107" s="212"/>
      <c r="MFF107" s="212"/>
      <c r="MFG107" s="212"/>
      <c r="MFH107" s="212"/>
      <c r="MFI107" s="212"/>
      <c r="MFJ107" s="212"/>
      <c r="MFK107" s="212"/>
      <c r="MFL107" s="212"/>
      <c r="MFM107" s="212"/>
      <c r="MFN107" s="212"/>
      <c r="MFO107" s="212"/>
      <c r="MFP107" s="212"/>
      <c r="MFQ107" s="212"/>
      <c r="MFR107" s="212"/>
      <c r="MFS107" s="212"/>
      <c r="MFT107" s="212"/>
      <c r="MFU107" s="212"/>
      <c r="MFV107" s="212"/>
      <c r="MFW107" s="212"/>
      <c r="MFX107" s="212"/>
      <c r="MFY107" s="212"/>
      <c r="MFZ107" s="212"/>
      <c r="MGA107" s="212"/>
      <c r="MGB107" s="212"/>
      <c r="MGC107" s="212"/>
      <c r="MGD107" s="212"/>
      <c r="MGE107" s="212"/>
      <c r="MGF107" s="212"/>
      <c r="MGG107" s="212"/>
      <c r="MGH107" s="212"/>
      <c r="MGI107" s="212"/>
      <c r="MGJ107" s="212"/>
      <c r="MGK107" s="212"/>
      <c r="MGL107" s="212"/>
      <c r="MGM107" s="212"/>
      <c r="MGN107" s="212"/>
      <c r="MGO107" s="212"/>
      <c r="MGP107" s="212"/>
      <c r="MGQ107" s="212"/>
      <c r="MGR107" s="212"/>
      <c r="MGS107" s="212"/>
      <c r="MGT107" s="212"/>
      <c r="MGU107" s="212"/>
      <c r="MGV107" s="212"/>
      <c r="MGW107" s="212"/>
      <c r="MGX107" s="212"/>
      <c r="MGY107" s="212"/>
      <c r="MGZ107" s="212"/>
      <c r="MHA107" s="212"/>
      <c r="MHB107" s="212"/>
      <c r="MHC107" s="212"/>
      <c r="MHD107" s="212"/>
      <c r="MHE107" s="212"/>
      <c r="MHF107" s="212"/>
      <c r="MHG107" s="212"/>
      <c r="MHH107" s="212"/>
      <c r="MHI107" s="212"/>
      <c r="MHJ107" s="212"/>
      <c r="MHK107" s="212"/>
      <c r="MHL107" s="212"/>
      <c r="MHM107" s="212"/>
      <c r="MHN107" s="212"/>
      <c r="MHO107" s="212"/>
      <c r="MHP107" s="212"/>
      <c r="MHQ107" s="212"/>
      <c r="MHR107" s="212"/>
      <c r="MHS107" s="212"/>
      <c r="MHT107" s="212"/>
      <c r="MHU107" s="212"/>
      <c r="MHV107" s="212"/>
      <c r="MHW107" s="212"/>
      <c r="MHX107" s="212"/>
      <c r="MHY107" s="212"/>
      <c r="MHZ107" s="212"/>
      <c r="MIA107" s="212"/>
      <c r="MIB107" s="212"/>
      <c r="MIC107" s="212"/>
      <c r="MID107" s="212"/>
      <c r="MIE107" s="212"/>
      <c r="MIF107" s="212"/>
      <c r="MIG107" s="212"/>
      <c r="MIH107" s="212"/>
      <c r="MII107" s="212"/>
      <c r="MIJ107" s="212"/>
      <c r="MIK107" s="212"/>
      <c r="MIL107" s="212"/>
      <c r="MIM107" s="212"/>
      <c r="MIN107" s="212"/>
      <c r="MIO107" s="212"/>
      <c r="MIP107" s="212"/>
      <c r="MIQ107" s="212"/>
      <c r="MIR107" s="212"/>
      <c r="MIS107" s="212"/>
      <c r="MIT107" s="212"/>
      <c r="MIU107" s="212"/>
      <c r="MIV107" s="212"/>
      <c r="MIW107" s="212"/>
      <c r="MIX107" s="212"/>
      <c r="MIY107" s="212"/>
      <c r="MIZ107" s="212"/>
      <c r="MJA107" s="212"/>
      <c r="MJB107" s="212"/>
      <c r="MJC107" s="212"/>
      <c r="MJD107" s="212"/>
      <c r="MJE107" s="212"/>
      <c r="MJF107" s="212"/>
      <c r="MJG107" s="212"/>
      <c r="MJH107" s="212"/>
      <c r="MJI107" s="212"/>
      <c r="MJJ107" s="212"/>
      <c r="MJK107" s="212"/>
      <c r="MJL107" s="212"/>
      <c r="MJM107" s="212"/>
      <c r="MJN107" s="212"/>
      <c r="MJO107" s="212"/>
      <c r="MJP107" s="212"/>
      <c r="MJQ107" s="212"/>
      <c r="MJR107" s="212"/>
      <c r="MJS107" s="212"/>
      <c r="MJT107" s="212"/>
      <c r="MJU107" s="212"/>
      <c r="MJV107" s="212"/>
      <c r="MJW107" s="212"/>
      <c r="MJX107" s="212"/>
      <c r="MJY107" s="212"/>
      <c r="MJZ107" s="212"/>
      <c r="MKA107" s="212"/>
      <c r="MKB107" s="212"/>
      <c r="MKC107" s="212"/>
      <c r="MKD107" s="212"/>
      <c r="MKE107" s="212"/>
      <c r="MKF107" s="212"/>
      <c r="MKG107" s="212"/>
      <c r="MKH107" s="212"/>
      <c r="MKI107" s="212"/>
      <c r="MKJ107" s="212"/>
      <c r="MKK107" s="212"/>
      <c r="MKL107" s="212"/>
      <c r="MKM107" s="212"/>
      <c r="MKN107" s="212"/>
      <c r="MKO107" s="212"/>
      <c r="MKP107" s="212"/>
      <c r="MKQ107" s="212"/>
      <c r="MKR107" s="212"/>
      <c r="MKS107" s="212"/>
      <c r="MKT107" s="212"/>
      <c r="MKU107" s="212"/>
      <c r="MKV107" s="212"/>
      <c r="MKW107" s="212"/>
      <c r="MKX107" s="212"/>
      <c r="MKY107" s="212"/>
      <c r="MKZ107" s="212"/>
      <c r="MLA107" s="212"/>
      <c r="MLB107" s="212"/>
      <c r="MLC107" s="212"/>
      <c r="MLD107" s="212"/>
      <c r="MLE107" s="212"/>
      <c r="MLF107" s="212"/>
      <c r="MLG107" s="212"/>
      <c r="MLH107" s="212"/>
      <c r="MLI107" s="212"/>
      <c r="MLJ107" s="212"/>
      <c r="MLK107" s="212"/>
      <c r="MLL107" s="212"/>
      <c r="MLM107" s="212"/>
      <c r="MLN107" s="212"/>
      <c r="MLO107" s="212"/>
      <c r="MLP107" s="212"/>
      <c r="MLQ107" s="212"/>
      <c r="MLR107" s="212"/>
      <c r="MLS107" s="212"/>
      <c r="MLT107" s="212"/>
      <c r="MLU107" s="212"/>
      <c r="MLV107" s="212"/>
      <c r="MLW107" s="212"/>
      <c r="MLX107" s="212"/>
      <c r="MLY107" s="212"/>
      <c r="MLZ107" s="212"/>
      <c r="MMA107" s="212"/>
      <c r="MMB107" s="212"/>
      <c r="MMC107" s="212"/>
      <c r="MMD107" s="212"/>
      <c r="MME107" s="212"/>
      <c r="MMF107" s="212"/>
      <c r="MMG107" s="212"/>
      <c r="MMH107" s="212"/>
      <c r="MMI107" s="212"/>
      <c r="MMJ107" s="212"/>
      <c r="MMK107" s="212"/>
      <c r="MML107" s="212"/>
      <c r="MMM107" s="212"/>
      <c r="MMN107" s="212"/>
      <c r="MMO107" s="212"/>
      <c r="MMP107" s="212"/>
      <c r="MMQ107" s="212"/>
      <c r="MMR107" s="212"/>
      <c r="MMS107" s="212"/>
      <c r="MMT107" s="212"/>
      <c r="MMU107" s="212"/>
      <c r="MMV107" s="212"/>
      <c r="MMW107" s="212"/>
      <c r="MMX107" s="212"/>
      <c r="MMY107" s="212"/>
      <c r="MMZ107" s="212"/>
      <c r="MNA107" s="212"/>
      <c r="MNB107" s="212"/>
      <c r="MNC107" s="212"/>
      <c r="MND107" s="212"/>
      <c r="MNE107" s="212"/>
      <c r="MNF107" s="212"/>
      <c r="MNG107" s="212"/>
      <c r="MNH107" s="212"/>
      <c r="MNI107" s="212"/>
      <c r="MNJ107" s="212"/>
      <c r="MNK107" s="212"/>
      <c r="MNL107" s="212"/>
      <c r="MNM107" s="212"/>
      <c r="MNN107" s="212"/>
      <c r="MNO107" s="212"/>
      <c r="MNP107" s="212"/>
      <c r="MNQ107" s="212"/>
      <c r="MNR107" s="212"/>
      <c r="MNS107" s="212"/>
      <c r="MNT107" s="212"/>
      <c r="MNU107" s="212"/>
      <c r="MNV107" s="212"/>
      <c r="MNW107" s="212"/>
      <c r="MNX107" s="212"/>
      <c r="MNY107" s="212"/>
      <c r="MNZ107" s="212"/>
      <c r="MOA107" s="212"/>
      <c r="MOB107" s="212"/>
      <c r="MOC107" s="212"/>
      <c r="MOD107" s="212"/>
      <c r="MOE107" s="212"/>
      <c r="MOF107" s="212"/>
      <c r="MOG107" s="212"/>
      <c r="MOH107" s="212"/>
      <c r="MOI107" s="212"/>
      <c r="MOJ107" s="212"/>
      <c r="MOK107" s="212"/>
      <c r="MOL107" s="212"/>
      <c r="MOM107" s="212"/>
      <c r="MON107" s="212"/>
      <c r="MOO107" s="212"/>
      <c r="MOP107" s="212"/>
      <c r="MOQ107" s="212"/>
      <c r="MOR107" s="212"/>
      <c r="MOS107" s="212"/>
      <c r="MOT107" s="212"/>
      <c r="MOU107" s="212"/>
      <c r="MOV107" s="212"/>
      <c r="MOW107" s="212"/>
      <c r="MOX107" s="212"/>
      <c r="MOY107" s="212"/>
      <c r="MOZ107" s="212"/>
      <c r="MPA107" s="212"/>
      <c r="MPB107" s="212"/>
      <c r="MPC107" s="212"/>
      <c r="MPD107" s="212"/>
      <c r="MPE107" s="212"/>
      <c r="MPF107" s="212"/>
      <c r="MPG107" s="212"/>
      <c r="MPH107" s="212"/>
      <c r="MPI107" s="212"/>
      <c r="MPJ107" s="212"/>
      <c r="MPK107" s="212"/>
      <c r="MPL107" s="212"/>
      <c r="MPM107" s="212"/>
      <c r="MPN107" s="212"/>
      <c r="MPO107" s="212"/>
      <c r="MPP107" s="212"/>
      <c r="MPQ107" s="212"/>
      <c r="MPR107" s="212"/>
      <c r="MPS107" s="212"/>
      <c r="MPT107" s="212"/>
      <c r="MPU107" s="212"/>
      <c r="MPV107" s="212"/>
      <c r="MPW107" s="212"/>
      <c r="MPX107" s="212"/>
      <c r="MPY107" s="212"/>
      <c r="MPZ107" s="212"/>
      <c r="MQA107" s="212"/>
      <c r="MQB107" s="212"/>
      <c r="MQC107" s="212"/>
      <c r="MQD107" s="212"/>
      <c r="MQE107" s="212"/>
      <c r="MQF107" s="212"/>
      <c r="MQG107" s="212"/>
      <c r="MQH107" s="212"/>
      <c r="MQI107" s="212"/>
      <c r="MQJ107" s="212"/>
      <c r="MQK107" s="212"/>
      <c r="MQL107" s="212"/>
      <c r="MQM107" s="212"/>
      <c r="MQN107" s="212"/>
      <c r="MQO107" s="212"/>
      <c r="MQP107" s="212"/>
      <c r="MQQ107" s="212"/>
      <c r="MQR107" s="212"/>
      <c r="MQS107" s="212"/>
      <c r="MQT107" s="212"/>
      <c r="MQU107" s="212"/>
      <c r="MQV107" s="212"/>
      <c r="MQW107" s="212"/>
      <c r="MQX107" s="212"/>
      <c r="MQY107" s="212"/>
      <c r="MQZ107" s="212"/>
      <c r="MRA107" s="212"/>
      <c r="MRB107" s="212"/>
      <c r="MRC107" s="212"/>
      <c r="MRD107" s="212"/>
      <c r="MRE107" s="212"/>
      <c r="MRF107" s="212"/>
      <c r="MRG107" s="212"/>
      <c r="MRH107" s="212"/>
      <c r="MRI107" s="212"/>
      <c r="MRJ107" s="212"/>
      <c r="MRK107" s="212"/>
      <c r="MRL107" s="212"/>
      <c r="MRM107" s="212"/>
      <c r="MRN107" s="212"/>
      <c r="MRO107" s="212"/>
      <c r="MRP107" s="212"/>
      <c r="MRQ107" s="212"/>
      <c r="MRR107" s="212"/>
      <c r="MRS107" s="212"/>
      <c r="MRT107" s="212"/>
      <c r="MRU107" s="212"/>
      <c r="MRV107" s="212"/>
      <c r="MRW107" s="212"/>
      <c r="MRX107" s="212"/>
      <c r="MRY107" s="212"/>
      <c r="MRZ107" s="212"/>
      <c r="MSA107" s="212"/>
      <c r="MSB107" s="212"/>
      <c r="MSC107" s="212"/>
      <c r="MSD107" s="212"/>
      <c r="MSE107" s="212"/>
      <c r="MSF107" s="212"/>
      <c r="MSG107" s="212"/>
      <c r="MSH107" s="212"/>
      <c r="MSI107" s="212"/>
      <c r="MSJ107" s="212"/>
      <c r="MSK107" s="212"/>
      <c r="MSL107" s="212"/>
      <c r="MSM107" s="212"/>
      <c r="MSN107" s="212"/>
      <c r="MSO107" s="212"/>
      <c r="MSP107" s="212"/>
      <c r="MSQ107" s="212"/>
      <c r="MSR107" s="212"/>
      <c r="MSS107" s="212"/>
      <c r="MST107" s="212"/>
      <c r="MSU107" s="212"/>
      <c r="MSV107" s="212"/>
      <c r="MSW107" s="212"/>
      <c r="MSX107" s="212"/>
      <c r="MSY107" s="212"/>
      <c r="MSZ107" s="212"/>
      <c r="MTA107" s="212"/>
      <c r="MTB107" s="212"/>
      <c r="MTC107" s="212"/>
      <c r="MTD107" s="212"/>
      <c r="MTE107" s="212"/>
      <c r="MTF107" s="212"/>
      <c r="MTG107" s="212"/>
      <c r="MTH107" s="212"/>
      <c r="MTI107" s="212"/>
      <c r="MTJ107" s="212"/>
      <c r="MTK107" s="212"/>
      <c r="MTL107" s="212"/>
      <c r="MTM107" s="212"/>
      <c r="MTN107" s="212"/>
      <c r="MTO107" s="212"/>
      <c r="MTP107" s="212"/>
      <c r="MTQ107" s="212"/>
      <c r="MTR107" s="212"/>
      <c r="MTS107" s="212"/>
      <c r="MTT107" s="212"/>
      <c r="MTU107" s="212"/>
      <c r="MTV107" s="212"/>
      <c r="MTW107" s="212"/>
      <c r="MTX107" s="212"/>
      <c r="MTY107" s="212"/>
      <c r="MTZ107" s="212"/>
      <c r="MUA107" s="212"/>
      <c r="MUB107" s="212"/>
      <c r="MUC107" s="212"/>
      <c r="MUD107" s="212"/>
      <c r="MUE107" s="212"/>
      <c r="MUF107" s="212"/>
      <c r="MUG107" s="212"/>
      <c r="MUH107" s="212"/>
      <c r="MUI107" s="212"/>
      <c r="MUJ107" s="212"/>
      <c r="MUK107" s="212"/>
      <c r="MUL107" s="212"/>
      <c r="MUM107" s="212"/>
      <c r="MUN107" s="212"/>
      <c r="MUO107" s="212"/>
      <c r="MUP107" s="212"/>
      <c r="MUQ107" s="212"/>
      <c r="MUR107" s="212"/>
      <c r="MUS107" s="212"/>
      <c r="MUT107" s="212"/>
      <c r="MUU107" s="212"/>
      <c r="MUV107" s="212"/>
      <c r="MUW107" s="212"/>
      <c r="MUX107" s="212"/>
      <c r="MUY107" s="212"/>
      <c r="MUZ107" s="212"/>
      <c r="MVA107" s="212"/>
      <c r="MVB107" s="212"/>
      <c r="MVC107" s="212"/>
      <c r="MVD107" s="212"/>
      <c r="MVE107" s="212"/>
      <c r="MVF107" s="212"/>
      <c r="MVG107" s="212"/>
      <c r="MVH107" s="212"/>
      <c r="MVI107" s="212"/>
      <c r="MVJ107" s="212"/>
      <c r="MVK107" s="212"/>
      <c r="MVL107" s="212"/>
      <c r="MVM107" s="212"/>
      <c r="MVN107" s="212"/>
      <c r="MVO107" s="212"/>
      <c r="MVP107" s="212"/>
      <c r="MVQ107" s="212"/>
      <c r="MVR107" s="212"/>
      <c r="MVS107" s="212"/>
      <c r="MVT107" s="212"/>
      <c r="MVU107" s="212"/>
      <c r="MVV107" s="212"/>
      <c r="MVW107" s="212"/>
      <c r="MVX107" s="212"/>
      <c r="MVY107" s="212"/>
      <c r="MVZ107" s="212"/>
      <c r="MWA107" s="212"/>
      <c r="MWB107" s="212"/>
      <c r="MWC107" s="212"/>
      <c r="MWD107" s="212"/>
      <c r="MWE107" s="212"/>
      <c r="MWF107" s="212"/>
      <c r="MWG107" s="212"/>
      <c r="MWH107" s="212"/>
      <c r="MWI107" s="212"/>
      <c r="MWJ107" s="212"/>
      <c r="MWK107" s="212"/>
      <c r="MWL107" s="212"/>
      <c r="MWM107" s="212"/>
      <c r="MWN107" s="212"/>
      <c r="MWO107" s="212"/>
      <c r="MWP107" s="212"/>
      <c r="MWQ107" s="212"/>
      <c r="MWR107" s="212"/>
      <c r="MWS107" s="212"/>
      <c r="MWT107" s="212"/>
      <c r="MWU107" s="212"/>
      <c r="MWV107" s="212"/>
      <c r="MWW107" s="212"/>
      <c r="MWX107" s="212"/>
      <c r="MWY107" s="212"/>
      <c r="MWZ107" s="212"/>
      <c r="MXA107" s="212"/>
      <c r="MXB107" s="212"/>
      <c r="MXC107" s="212"/>
      <c r="MXD107" s="212"/>
      <c r="MXE107" s="212"/>
      <c r="MXF107" s="212"/>
      <c r="MXG107" s="212"/>
      <c r="MXH107" s="212"/>
      <c r="MXI107" s="212"/>
      <c r="MXJ107" s="212"/>
      <c r="MXK107" s="212"/>
      <c r="MXL107" s="212"/>
      <c r="MXM107" s="212"/>
      <c r="MXN107" s="212"/>
      <c r="MXO107" s="212"/>
      <c r="MXP107" s="212"/>
      <c r="MXQ107" s="212"/>
      <c r="MXR107" s="212"/>
      <c r="MXS107" s="212"/>
      <c r="MXT107" s="212"/>
      <c r="MXU107" s="212"/>
      <c r="MXV107" s="212"/>
      <c r="MXW107" s="212"/>
      <c r="MXX107" s="212"/>
      <c r="MXY107" s="212"/>
      <c r="MXZ107" s="212"/>
      <c r="MYA107" s="212"/>
      <c r="MYB107" s="212"/>
      <c r="MYC107" s="212"/>
      <c r="MYD107" s="212"/>
      <c r="MYE107" s="212"/>
      <c r="MYF107" s="212"/>
      <c r="MYG107" s="212"/>
      <c r="MYH107" s="212"/>
      <c r="MYI107" s="212"/>
      <c r="MYJ107" s="212"/>
      <c r="MYK107" s="212"/>
      <c r="MYL107" s="212"/>
      <c r="MYM107" s="212"/>
      <c r="MYN107" s="212"/>
      <c r="MYO107" s="212"/>
      <c r="MYP107" s="212"/>
      <c r="MYQ107" s="212"/>
      <c r="MYR107" s="212"/>
      <c r="MYS107" s="212"/>
      <c r="MYT107" s="212"/>
      <c r="MYU107" s="212"/>
      <c r="MYV107" s="212"/>
      <c r="MYW107" s="212"/>
      <c r="MYX107" s="212"/>
      <c r="MYY107" s="212"/>
      <c r="MYZ107" s="212"/>
      <c r="MZA107" s="212"/>
      <c r="MZB107" s="212"/>
      <c r="MZC107" s="212"/>
      <c r="MZD107" s="212"/>
      <c r="MZE107" s="212"/>
      <c r="MZF107" s="212"/>
      <c r="MZG107" s="212"/>
      <c r="MZH107" s="212"/>
      <c r="MZI107" s="212"/>
      <c r="MZJ107" s="212"/>
      <c r="MZK107" s="212"/>
      <c r="MZL107" s="212"/>
      <c r="MZM107" s="212"/>
      <c r="MZN107" s="212"/>
      <c r="MZO107" s="212"/>
      <c r="MZP107" s="212"/>
      <c r="MZQ107" s="212"/>
      <c r="MZR107" s="212"/>
      <c r="MZS107" s="212"/>
      <c r="MZT107" s="212"/>
      <c r="MZU107" s="212"/>
      <c r="MZV107" s="212"/>
      <c r="MZW107" s="212"/>
      <c r="MZX107" s="212"/>
      <c r="MZY107" s="212"/>
      <c r="MZZ107" s="212"/>
      <c r="NAA107" s="212"/>
      <c r="NAB107" s="212"/>
      <c r="NAC107" s="212"/>
      <c r="NAD107" s="212"/>
      <c r="NAE107" s="212"/>
      <c r="NAF107" s="212"/>
      <c r="NAG107" s="212"/>
      <c r="NAH107" s="212"/>
      <c r="NAI107" s="212"/>
      <c r="NAJ107" s="212"/>
      <c r="NAK107" s="212"/>
      <c r="NAL107" s="212"/>
      <c r="NAM107" s="212"/>
      <c r="NAN107" s="212"/>
      <c r="NAO107" s="212"/>
      <c r="NAP107" s="212"/>
      <c r="NAQ107" s="212"/>
      <c r="NAR107" s="212"/>
      <c r="NAS107" s="212"/>
      <c r="NAT107" s="212"/>
      <c r="NAU107" s="212"/>
      <c r="NAV107" s="212"/>
      <c r="NAW107" s="212"/>
      <c r="NAX107" s="212"/>
      <c r="NAY107" s="212"/>
      <c r="NAZ107" s="212"/>
      <c r="NBA107" s="212"/>
      <c r="NBB107" s="212"/>
      <c r="NBC107" s="212"/>
      <c r="NBD107" s="212"/>
      <c r="NBE107" s="212"/>
      <c r="NBF107" s="212"/>
      <c r="NBG107" s="212"/>
      <c r="NBH107" s="212"/>
      <c r="NBI107" s="212"/>
      <c r="NBJ107" s="212"/>
      <c r="NBK107" s="212"/>
      <c r="NBL107" s="212"/>
      <c r="NBM107" s="212"/>
      <c r="NBN107" s="212"/>
      <c r="NBO107" s="212"/>
      <c r="NBP107" s="212"/>
      <c r="NBQ107" s="212"/>
      <c r="NBR107" s="212"/>
      <c r="NBS107" s="212"/>
      <c r="NBT107" s="212"/>
      <c r="NBU107" s="212"/>
      <c r="NBV107" s="212"/>
      <c r="NBW107" s="212"/>
      <c r="NBX107" s="212"/>
      <c r="NBY107" s="212"/>
      <c r="NBZ107" s="212"/>
      <c r="NCA107" s="212"/>
      <c r="NCB107" s="212"/>
      <c r="NCC107" s="212"/>
      <c r="NCD107" s="212"/>
      <c r="NCE107" s="212"/>
      <c r="NCF107" s="212"/>
      <c r="NCG107" s="212"/>
      <c r="NCH107" s="212"/>
      <c r="NCI107" s="212"/>
      <c r="NCJ107" s="212"/>
      <c r="NCK107" s="212"/>
      <c r="NCL107" s="212"/>
      <c r="NCM107" s="212"/>
      <c r="NCN107" s="212"/>
      <c r="NCO107" s="212"/>
      <c r="NCP107" s="212"/>
      <c r="NCQ107" s="212"/>
      <c r="NCR107" s="212"/>
      <c r="NCS107" s="212"/>
      <c r="NCT107" s="212"/>
      <c r="NCU107" s="212"/>
      <c r="NCV107" s="212"/>
      <c r="NCW107" s="212"/>
      <c r="NCX107" s="212"/>
      <c r="NCY107" s="212"/>
      <c r="NCZ107" s="212"/>
      <c r="NDA107" s="212"/>
      <c r="NDB107" s="212"/>
      <c r="NDC107" s="212"/>
      <c r="NDD107" s="212"/>
      <c r="NDE107" s="212"/>
      <c r="NDF107" s="212"/>
      <c r="NDG107" s="212"/>
      <c r="NDH107" s="212"/>
      <c r="NDI107" s="212"/>
      <c r="NDJ107" s="212"/>
      <c r="NDK107" s="212"/>
      <c r="NDL107" s="212"/>
      <c r="NDM107" s="212"/>
      <c r="NDN107" s="212"/>
      <c r="NDO107" s="212"/>
      <c r="NDP107" s="212"/>
      <c r="NDQ107" s="212"/>
      <c r="NDR107" s="212"/>
      <c r="NDS107" s="212"/>
      <c r="NDT107" s="212"/>
      <c r="NDU107" s="212"/>
      <c r="NDV107" s="212"/>
      <c r="NDW107" s="212"/>
      <c r="NDX107" s="212"/>
      <c r="NDY107" s="212"/>
      <c r="NDZ107" s="212"/>
      <c r="NEA107" s="212"/>
      <c r="NEB107" s="212"/>
      <c r="NEC107" s="212"/>
      <c r="NED107" s="212"/>
      <c r="NEE107" s="212"/>
      <c r="NEF107" s="212"/>
      <c r="NEG107" s="212"/>
      <c r="NEH107" s="212"/>
      <c r="NEI107" s="212"/>
      <c r="NEJ107" s="212"/>
      <c r="NEK107" s="212"/>
      <c r="NEL107" s="212"/>
      <c r="NEM107" s="212"/>
      <c r="NEN107" s="212"/>
      <c r="NEO107" s="212"/>
      <c r="NEP107" s="212"/>
      <c r="NEQ107" s="212"/>
      <c r="NER107" s="212"/>
      <c r="NES107" s="212"/>
      <c r="NET107" s="212"/>
      <c r="NEU107" s="212"/>
      <c r="NEV107" s="212"/>
      <c r="NEW107" s="212"/>
      <c r="NEX107" s="212"/>
      <c r="NEY107" s="212"/>
      <c r="NEZ107" s="212"/>
      <c r="NFA107" s="212"/>
      <c r="NFB107" s="212"/>
      <c r="NFC107" s="212"/>
      <c r="NFD107" s="212"/>
      <c r="NFE107" s="212"/>
      <c r="NFF107" s="212"/>
      <c r="NFG107" s="212"/>
      <c r="NFH107" s="212"/>
      <c r="NFI107" s="212"/>
      <c r="NFJ107" s="212"/>
      <c r="NFK107" s="212"/>
      <c r="NFL107" s="212"/>
      <c r="NFM107" s="212"/>
      <c r="NFN107" s="212"/>
      <c r="NFO107" s="212"/>
      <c r="NFP107" s="212"/>
      <c r="NFQ107" s="212"/>
      <c r="NFR107" s="212"/>
      <c r="NFS107" s="212"/>
      <c r="NFT107" s="212"/>
      <c r="NFU107" s="212"/>
      <c r="NFV107" s="212"/>
      <c r="NFW107" s="212"/>
      <c r="NFX107" s="212"/>
      <c r="NFY107" s="212"/>
      <c r="NFZ107" s="212"/>
      <c r="NGA107" s="212"/>
      <c r="NGB107" s="212"/>
      <c r="NGC107" s="212"/>
      <c r="NGD107" s="212"/>
      <c r="NGE107" s="212"/>
      <c r="NGF107" s="212"/>
      <c r="NGG107" s="212"/>
      <c r="NGH107" s="212"/>
      <c r="NGI107" s="212"/>
      <c r="NGJ107" s="212"/>
      <c r="NGK107" s="212"/>
      <c r="NGL107" s="212"/>
      <c r="NGM107" s="212"/>
      <c r="NGN107" s="212"/>
      <c r="NGO107" s="212"/>
      <c r="NGP107" s="212"/>
      <c r="NGQ107" s="212"/>
      <c r="NGR107" s="212"/>
      <c r="NGS107" s="212"/>
      <c r="NGT107" s="212"/>
      <c r="NGU107" s="212"/>
      <c r="NGV107" s="212"/>
      <c r="NGW107" s="212"/>
      <c r="NGX107" s="212"/>
      <c r="NGY107" s="212"/>
      <c r="NGZ107" s="212"/>
      <c r="NHA107" s="212"/>
      <c r="NHB107" s="212"/>
      <c r="NHC107" s="212"/>
      <c r="NHD107" s="212"/>
      <c r="NHE107" s="212"/>
      <c r="NHF107" s="212"/>
      <c r="NHG107" s="212"/>
      <c r="NHH107" s="212"/>
      <c r="NHI107" s="212"/>
      <c r="NHJ107" s="212"/>
      <c r="NHK107" s="212"/>
      <c r="NHL107" s="212"/>
      <c r="NHM107" s="212"/>
      <c r="NHN107" s="212"/>
      <c r="NHO107" s="212"/>
      <c r="NHP107" s="212"/>
      <c r="NHQ107" s="212"/>
      <c r="NHR107" s="212"/>
      <c r="NHS107" s="212"/>
      <c r="NHT107" s="212"/>
      <c r="NHU107" s="212"/>
      <c r="NHV107" s="212"/>
      <c r="NHW107" s="212"/>
      <c r="NHX107" s="212"/>
      <c r="NHY107" s="212"/>
      <c r="NHZ107" s="212"/>
      <c r="NIA107" s="212"/>
      <c r="NIB107" s="212"/>
      <c r="NIC107" s="212"/>
      <c r="NID107" s="212"/>
      <c r="NIE107" s="212"/>
      <c r="NIF107" s="212"/>
      <c r="NIG107" s="212"/>
      <c r="NIH107" s="212"/>
      <c r="NII107" s="212"/>
      <c r="NIJ107" s="212"/>
      <c r="NIK107" s="212"/>
      <c r="NIL107" s="212"/>
      <c r="NIM107" s="212"/>
      <c r="NIN107" s="212"/>
      <c r="NIO107" s="212"/>
      <c r="NIP107" s="212"/>
      <c r="NIQ107" s="212"/>
      <c r="NIR107" s="212"/>
      <c r="NIS107" s="212"/>
      <c r="NIT107" s="212"/>
      <c r="NIU107" s="212"/>
      <c r="NIV107" s="212"/>
      <c r="NIW107" s="212"/>
      <c r="NIX107" s="212"/>
      <c r="NIY107" s="212"/>
      <c r="NIZ107" s="212"/>
      <c r="NJA107" s="212"/>
      <c r="NJB107" s="212"/>
      <c r="NJC107" s="212"/>
      <c r="NJD107" s="212"/>
      <c r="NJE107" s="212"/>
      <c r="NJF107" s="212"/>
      <c r="NJG107" s="212"/>
      <c r="NJH107" s="212"/>
      <c r="NJI107" s="212"/>
      <c r="NJJ107" s="212"/>
      <c r="NJK107" s="212"/>
      <c r="NJL107" s="212"/>
      <c r="NJM107" s="212"/>
      <c r="NJN107" s="212"/>
      <c r="NJO107" s="212"/>
      <c r="NJP107" s="212"/>
      <c r="NJQ107" s="212"/>
      <c r="NJR107" s="212"/>
      <c r="NJS107" s="212"/>
      <c r="NJT107" s="212"/>
      <c r="NJU107" s="212"/>
      <c r="NJV107" s="212"/>
      <c r="NJW107" s="212"/>
      <c r="NJX107" s="212"/>
      <c r="NJY107" s="212"/>
      <c r="NJZ107" s="212"/>
      <c r="NKA107" s="212"/>
      <c r="NKB107" s="212"/>
      <c r="NKC107" s="212"/>
      <c r="NKD107" s="212"/>
      <c r="NKE107" s="212"/>
      <c r="NKF107" s="212"/>
      <c r="NKG107" s="212"/>
      <c r="NKH107" s="212"/>
      <c r="NKI107" s="212"/>
      <c r="NKJ107" s="212"/>
      <c r="NKK107" s="212"/>
      <c r="NKL107" s="212"/>
      <c r="NKM107" s="212"/>
      <c r="NKN107" s="212"/>
      <c r="NKO107" s="212"/>
      <c r="NKP107" s="212"/>
      <c r="NKQ107" s="212"/>
      <c r="NKR107" s="212"/>
      <c r="NKS107" s="212"/>
      <c r="NKT107" s="212"/>
      <c r="NKU107" s="212"/>
      <c r="NKV107" s="212"/>
      <c r="NKW107" s="212"/>
      <c r="NKX107" s="212"/>
      <c r="NKY107" s="212"/>
      <c r="NKZ107" s="212"/>
      <c r="NLA107" s="212"/>
      <c r="NLB107" s="212"/>
      <c r="NLC107" s="212"/>
      <c r="NLD107" s="212"/>
      <c r="NLE107" s="212"/>
      <c r="NLF107" s="212"/>
      <c r="NLG107" s="212"/>
      <c r="NLH107" s="212"/>
      <c r="NLI107" s="212"/>
      <c r="NLJ107" s="212"/>
      <c r="NLK107" s="212"/>
      <c r="NLL107" s="212"/>
      <c r="NLM107" s="212"/>
      <c r="NLN107" s="212"/>
      <c r="NLO107" s="212"/>
      <c r="NLP107" s="212"/>
      <c r="NLQ107" s="212"/>
      <c r="NLR107" s="212"/>
      <c r="NLS107" s="212"/>
      <c r="NLT107" s="212"/>
      <c r="NLU107" s="212"/>
      <c r="NLV107" s="212"/>
      <c r="NLW107" s="212"/>
      <c r="NLX107" s="212"/>
      <c r="NLY107" s="212"/>
      <c r="NLZ107" s="212"/>
      <c r="NMA107" s="212"/>
      <c r="NMB107" s="212"/>
      <c r="NMC107" s="212"/>
      <c r="NMD107" s="212"/>
      <c r="NME107" s="212"/>
      <c r="NMF107" s="212"/>
      <c r="NMG107" s="212"/>
      <c r="NMH107" s="212"/>
      <c r="NMI107" s="212"/>
      <c r="NMJ107" s="212"/>
      <c r="NMK107" s="212"/>
      <c r="NML107" s="212"/>
      <c r="NMM107" s="212"/>
      <c r="NMN107" s="212"/>
      <c r="NMO107" s="212"/>
      <c r="NMP107" s="212"/>
      <c r="NMQ107" s="212"/>
      <c r="NMR107" s="212"/>
      <c r="NMS107" s="212"/>
      <c r="NMT107" s="212"/>
      <c r="NMU107" s="212"/>
      <c r="NMV107" s="212"/>
      <c r="NMW107" s="212"/>
      <c r="NMX107" s="212"/>
      <c r="NMY107" s="212"/>
      <c r="NMZ107" s="212"/>
      <c r="NNA107" s="212"/>
      <c r="NNB107" s="212"/>
      <c r="NNC107" s="212"/>
      <c r="NND107" s="212"/>
      <c r="NNE107" s="212"/>
      <c r="NNF107" s="212"/>
      <c r="NNG107" s="212"/>
      <c r="NNH107" s="212"/>
      <c r="NNI107" s="212"/>
      <c r="NNJ107" s="212"/>
      <c r="NNK107" s="212"/>
      <c r="NNL107" s="212"/>
      <c r="NNM107" s="212"/>
      <c r="NNN107" s="212"/>
      <c r="NNO107" s="212"/>
      <c r="NNP107" s="212"/>
      <c r="NNQ107" s="212"/>
      <c r="NNR107" s="212"/>
      <c r="NNS107" s="212"/>
      <c r="NNT107" s="212"/>
      <c r="NNU107" s="212"/>
      <c r="NNV107" s="212"/>
      <c r="NNW107" s="212"/>
      <c r="NNX107" s="212"/>
      <c r="NNY107" s="212"/>
      <c r="NNZ107" s="212"/>
      <c r="NOA107" s="212"/>
      <c r="NOB107" s="212"/>
      <c r="NOC107" s="212"/>
      <c r="NOD107" s="212"/>
      <c r="NOE107" s="212"/>
      <c r="NOF107" s="212"/>
      <c r="NOG107" s="212"/>
      <c r="NOH107" s="212"/>
      <c r="NOI107" s="212"/>
      <c r="NOJ107" s="212"/>
      <c r="NOK107" s="212"/>
      <c r="NOL107" s="212"/>
      <c r="NOM107" s="212"/>
      <c r="NON107" s="212"/>
      <c r="NOO107" s="212"/>
      <c r="NOP107" s="212"/>
      <c r="NOQ107" s="212"/>
      <c r="NOR107" s="212"/>
      <c r="NOS107" s="212"/>
      <c r="NOT107" s="212"/>
      <c r="NOU107" s="212"/>
      <c r="NOV107" s="212"/>
      <c r="NOW107" s="212"/>
      <c r="NOX107" s="212"/>
      <c r="NOY107" s="212"/>
      <c r="NOZ107" s="212"/>
      <c r="NPA107" s="212"/>
      <c r="NPB107" s="212"/>
      <c r="NPC107" s="212"/>
      <c r="NPD107" s="212"/>
      <c r="NPE107" s="212"/>
      <c r="NPF107" s="212"/>
      <c r="NPG107" s="212"/>
      <c r="NPH107" s="212"/>
      <c r="NPI107" s="212"/>
      <c r="NPJ107" s="212"/>
      <c r="NPK107" s="212"/>
      <c r="NPL107" s="212"/>
      <c r="NPM107" s="212"/>
      <c r="NPN107" s="212"/>
      <c r="NPO107" s="212"/>
      <c r="NPP107" s="212"/>
      <c r="NPQ107" s="212"/>
      <c r="NPR107" s="212"/>
      <c r="NPS107" s="212"/>
      <c r="NPT107" s="212"/>
      <c r="NPU107" s="212"/>
      <c r="NPV107" s="212"/>
      <c r="NPW107" s="212"/>
      <c r="NPX107" s="212"/>
      <c r="NPY107" s="212"/>
      <c r="NPZ107" s="212"/>
      <c r="NQA107" s="212"/>
      <c r="NQB107" s="212"/>
      <c r="NQC107" s="212"/>
      <c r="NQD107" s="212"/>
      <c r="NQE107" s="212"/>
      <c r="NQF107" s="212"/>
      <c r="NQG107" s="212"/>
      <c r="NQH107" s="212"/>
      <c r="NQI107" s="212"/>
      <c r="NQJ107" s="212"/>
      <c r="NQK107" s="212"/>
      <c r="NQL107" s="212"/>
      <c r="NQM107" s="212"/>
      <c r="NQN107" s="212"/>
      <c r="NQO107" s="212"/>
      <c r="NQP107" s="212"/>
      <c r="NQQ107" s="212"/>
      <c r="NQR107" s="212"/>
      <c r="NQS107" s="212"/>
      <c r="NQT107" s="212"/>
      <c r="NQU107" s="212"/>
      <c r="NQV107" s="212"/>
      <c r="NQW107" s="212"/>
      <c r="NQX107" s="212"/>
      <c r="NQY107" s="212"/>
      <c r="NQZ107" s="212"/>
      <c r="NRA107" s="212"/>
      <c r="NRB107" s="212"/>
      <c r="NRC107" s="212"/>
      <c r="NRD107" s="212"/>
      <c r="NRE107" s="212"/>
      <c r="NRF107" s="212"/>
      <c r="NRG107" s="212"/>
      <c r="NRH107" s="212"/>
      <c r="NRI107" s="212"/>
      <c r="NRJ107" s="212"/>
      <c r="NRK107" s="212"/>
      <c r="NRL107" s="212"/>
      <c r="NRM107" s="212"/>
      <c r="NRN107" s="212"/>
      <c r="NRO107" s="212"/>
      <c r="NRP107" s="212"/>
      <c r="NRQ107" s="212"/>
      <c r="NRR107" s="212"/>
      <c r="NRS107" s="212"/>
      <c r="NRT107" s="212"/>
      <c r="NRU107" s="212"/>
      <c r="NRV107" s="212"/>
      <c r="NRW107" s="212"/>
      <c r="NRX107" s="212"/>
      <c r="NRY107" s="212"/>
      <c r="NRZ107" s="212"/>
      <c r="NSA107" s="212"/>
      <c r="NSB107" s="212"/>
      <c r="NSC107" s="212"/>
      <c r="NSD107" s="212"/>
      <c r="NSE107" s="212"/>
      <c r="NSF107" s="212"/>
      <c r="NSG107" s="212"/>
      <c r="NSH107" s="212"/>
      <c r="NSI107" s="212"/>
      <c r="NSJ107" s="212"/>
      <c r="NSK107" s="212"/>
      <c r="NSL107" s="212"/>
      <c r="NSM107" s="212"/>
      <c r="NSN107" s="212"/>
      <c r="NSO107" s="212"/>
      <c r="NSP107" s="212"/>
      <c r="NSQ107" s="212"/>
      <c r="NSR107" s="212"/>
      <c r="NSS107" s="212"/>
      <c r="NST107" s="212"/>
      <c r="NSU107" s="212"/>
      <c r="NSV107" s="212"/>
      <c r="NSW107" s="212"/>
      <c r="NSX107" s="212"/>
      <c r="NSY107" s="212"/>
      <c r="NSZ107" s="212"/>
      <c r="NTA107" s="212"/>
      <c r="NTB107" s="212"/>
      <c r="NTC107" s="212"/>
      <c r="NTD107" s="212"/>
      <c r="NTE107" s="212"/>
      <c r="NTF107" s="212"/>
      <c r="NTG107" s="212"/>
      <c r="NTH107" s="212"/>
      <c r="NTI107" s="212"/>
      <c r="NTJ107" s="212"/>
      <c r="NTK107" s="212"/>
      <c r="NTL107" s="212"/>
      <c r="NTM107" s="212"/>
      <c r="NTN107" s="212"/>
      <c r="NTO107" s="212"/>
      <c r="NTP107" s="212"/>
      <c r="NTQ107" s="212"/>
      <c r="NTR107" s="212"/>
      <c r="NTS107" s="212"/>
      <c r="NTT107" s="212"/>
      <c r="NTU107" s="212"/>
      <c r="NTV107" s="212"/>
      <c r="NTW107" s="212"/>
      <c r="NTX107" s="212"/>
      <c r="NTY107" s="212"/>
      <c r="NTZ107" s="212"/>
      <c r="NUA107" s="212"/>
      <c r="NUB107" s="212"/>
      <c r="NUC107" s="212"/>
      <c r="NUD107" s="212"/>
      <c r="NUE107" s="212"/>
      <c r="NUF107" s="212"/>
      <c r="NUG107" s="212"/>
      <c r="NUH107" s="212"/>
      <c r="NUI107" s="212"/>
      <c r="NUJ107" s="212"/>
      <c r="NUK107" s="212"/>
      <c r="NUL107" s="212"/>
      <c r="NUM107" s="212"/>
      <c r="NUN107" s="212"/>
      <c r="NUO107" s="212"/>
      <c r="NUP107" s="212"/>
      <c r="NUQ107" s="212"/>
      <c r="NUR107" s="212"/>
      <c r="NUS107" s="212"/>
      <c r="NUT107" s="212"/>
      <c r="NUU107" s="212"/>
      <c r="NUV107" s="212"/>
      <c r="NUW107" s="212"/>
      <c r="NUX107" s="212"/>
      <c r="NUY107" s="212"/>
      <c r="NUZ107" s="212"/>
      <c r="NVA107" s="212"/>
      <c r="NVB107" s="212"/>
      <c r="NVC107" s="212"/>
      <c r="NVD107" s="212"/>
      <c r="NVE107" s="212"/>
      <c r="NVF107" s="212"/>
      <c r="NVG107" s="212"/>
      <c r="NVH107" s="212"/>
      <c r="NVI107" s="212"/>
      <c r="NVJ107" s="212"/>
      <c r="NVK107" s="212"/>
      <c r="NVL107" s="212"/>
      <c r="NVM107" s="212"/>
      <c r="NVN107" s="212"/>
      <c r="NVO107" s="212"/>
      <c r="NVP107" s="212"/>
      <c r="NVQ107" s="212"/>
      <c r="NVR107" s="212"/>
      <c r="NVS107" s="212"/>
      <c r="NVT107" s="212"/>
      <c r="NVU107" s="212"/>
      <c r="NVV107" s="212"/>
      <c r="NVW107" s="212"/>
      <c r="NVX107" s="212"/>
      <c r="NVY107" s="212"/>
      <c r="NVZ107" s="212"/>
      <c r="NWA107" s="212"/>
      <c r="NWB107" s="212"/>
      <c r="NWC107" s="212"/>
      <c r="NWD107" s="212"/>
      <c r="NWE107" s="212"/>
      <c r="NWF107" s="212"/>
      <c r="NWG107" s="212"/>
      <c r="NWH107" s="212"/>
      <c r="NWI107" s="212"/>
      <c r="NWJ107" s="212"/>
      <c r="NWK107" s="212"/>
      <c r="NWL107" s="212"/>
      <c r="NWM107" s="212"/>
      <c r="NWN107" s="212"/>
      <c r="NWO107" s="212"/>
      <c r="NWP107" s="212"/>
      <c r="NWQ107" s="212"/>
      <c r="NWR107" s="212"/>
      <c r="NWS107" s="212"/>
      <c r="NWT107" s="212"/>
      <c r="NWU107" s="212"/>
      <c r="NWV107" s="212"/>
      <c r="NWW107" s="212"/>
      <c r="NWX107" s="212"/>
      <c r="NWY107" s="212"/>
      <c r="NWZ107" s="212"/>
      <c r="NXA107" s="212"/>
      <c r="NXB107" s="212"/>
      <c r="NXC107" s="212"/>
      <c r="NXD107" s="212"/>
      <c r="NXE107" s="212"/>
      <c r="NXF107" s="212"/>
      <c r="NXG107" s="212"/>
      <c r="NXH107" s="212"/>
      <c r="NXI107" s="212"/>
      <c r="NXJ107" s="212"/>
      <c r="NXK107" s="212"/>
      <c r="NXL107" s="212"/>
      <c r="NXM107" s="212"/>
      <c r="NXN107" s="212"/>
      <c r="NXO107" s="212"/>
      <c r="NXP107" s="212"/>
      <c r="NXQ107" s="212"/>
      <c r="NXR107" s="212"/>
      <c r="NXS107" s="212"/>
      <c r="NXT107" s="212"/>
      <c r="NXU107" s="212"/>
      <c r="NXV107" s="212"/>
      <c r="NXW107" s="212"/>
      <c r="NXX107" s="212"/>
      <c r="NXY107" s="212"/>
      <c r="NXZ107" s="212"/>
      <c r="NYA107" s="212"/>
      <c r="NYB107" s="212"/>
      <c r="NYC107" s="212"/>
      <c r="NYD107" s="212"/>
      <c r="NYE107" s="212"/>
      <c r="NYF107" s="212"/>
      <c r="NYG107" s="212"/>
      <c r="NYH107" s="212"/>
      <c r="NYI107" s="212"/>
      <c r="NYJ107" s="212"/>
      <c r="NYK107" s="212"/>
      <c r="NYL107" s="212"/>
      <c r="NYM107" s="212"/>
      <c r="NYN107" s="212"/>
      <c r="NYO107" s="212"/>
      <c r="NYP107" s="212"/>
      <c r="NYQ107" s="212"/>
      <c r="NYR107" s="212"/>
      <c r="NYS107" s="212"/>
      <c r="NYT107" s="212"/>
      <c r="NYU107" s="212"/>
      <c r="NYV107" s="212"/>
      <c r="NYW107" s="212"/>
      <c r="NYX107" s="212"/>
      <c r="NYY107" s="212"/>
      <c r="NYZ107" s="212"/>
      <c r="NZA107" s="212"/>
      <c r="NZB107" s="212"/>
      <c r="NZC107" s="212"/>
      <c r="NZD107" s="212"/>
      <c r="NZE107" s="212"/>
      <c r="NZF107" s="212"/>
      <c r="NZG107" s="212"/>
      <c r="NZH107" s="212"/>
      <c r="NZI107" s="212"/>
      <c r="NZJ107" s="212"/>
      <c r="NZK107" s="212"/>
      <c r="NZL107" s="212"/>
      <c r="NZM107" s="212"/>
      <c r="NZN107" s="212"/>
      <c r="NZO107" s="212"/>
      <c r="NZP107" s="212"/>
      <c r="NZQ107" s="212"/>
      <c r="NZR107" s="212"/>
      <c r="NZS107" s="212"/>
      <c r="NZT107" s="212"/>
      <c r="NZU107" s="212"/>
      <c r="NZV107" s="212"/>
      <c r="NZW107" s="212"/>
      <c r="NZX107" s="212"/>
      <c r="NZY107" s="212"/>
      <c r="NZZ107" s="212"/>
      <c r="OAA107" s="212"/>
      <c r="OAB107" s="212"/>
      <c r="OAC107" s="212"/>
      <c r="OAD107" s="212"/>
      <c r="OAE107" s="212"/>
      <c r="OAF107" s="212"/>
      <c r="OAG107" s="212"/>
      <c r="OAH107" s="212"/>
      <c r="OAI107" s="212"/>
      <c r="OAJ107" s="212"/>
      <c r="OAK107" s="212"/>
      <c r="OAL107" s="212"/>
      <c r="OAM107" s="212"/>
      <c r="OAN107" s="212"/>
      <c r="OAO107" s="212"/>
      <c r="OAP107" s="212"/>
      <c r="OAQ107" s="212"/>
      <c r="OAR107" s="212"/>
      <c r="OAS107" s="212"/>
      <c r="OAT107" s="212"/>
      <c r="OAU107" s="212"/>
      <c r="OAV107" s="212"/>
      <c r="OAW107" s="212"/>
      <c r="OAX107" s="212"/>
      <c r="OAY107" s="212"/>
      <c r="OAZ107" s="212"/>
      <c r="OBA107" s="212"/>
      <c r="OBB107" s="212"/>
      <c r="OBC107" s="212"/>
      <c r="OBD107" s="212"/>
      <c r="OBE107" s="212"/>
      <c r="OBF107" s="212"/>
      <c r="OBG107" s="212"/>
      <c r="OBH107" s="212"/>
      <c r="OBI107" s="212"/>
      <c r="OBJ107" s="212"/>
      <c r="OBK107" s="212"/>
      <c r="OBL107" s="212"/>
      <c r="OBM107" s="212"/>
      <c r="OBN107" s="212"/>
      <c r="OBO107" s="212"/>
      <c r="OBP107" s="212"/>
      <c r="OBQ107" s="212"/>
      <c r="OBR107" s="212"/>
      <c r="OBS107" s="212"/>
      <c r="OBT107" s="212"/>
      <c r="OBU107" s="212"/>
      <c r="OBV107" s="212"/>
      <c r="OBW107" s="212"/>
      <c r="OBX107" s="212"/>
      <c r="OBY107" s="212"/>
      <c r="OBZ107" s="212"/>
      <c r="OCA107" s="212"/>
      <c r="OCB107" s="212"/>
      <c r="OCC107" s="212"/>
      <c r="OCD107" s="212"/>
      <c r="OCE107" s="212"/>
      <c r="OCF107" s="212"/>
      <c r="OCG107" s="212"/>
      <c r="OCH107" s="212"/>
      <c r="OCI107" s="212"/>
      <c r="OCJ107" s="212"/>
      <c r="OCK107" s="212"/>
      <c r="OCL107" s="212"/>
      <c r="OCM107" s="212"/>
      <c r="OCN107" s="212"/>
      <c r="OCO107" s="212"/>
      <c r="OCP107" s="212"/>
      <c r="OCQ107" s="212"/>
      <c r="OCR107" s="212"/>
      <c r="OCS107" s="212"/>
      <c r="OCT107" s="212"/>
      <c r="OCU107" s="212"/>
      <c r="OCV107" s="212"/>
      <c r="OCW107" s="212"/>
      <c r="OCX107" s="212"/>
      <c r="OCY107" s="212"/>
      <c r="OCZ107" s="212"/>
      <c r="ODA107" s="212"/>
      <c r="ODB107" s="212"/>
      <c r="ODC107" s="212"/>
      <c r="ODD107" s="212"/>
      <c r="ODE107" s="212"/>
      <c r="ODF107" s="212"/>
      <c r="ODG107" s="212"/>
      <c r="ODH107" s="212"/>
      <c r="ODI107" s="212"/>
      <c r="ODJ107" s="212"/>
      <c r="ODK107" s="212"/>
      <c r="ODL107" s="212"/>
      <c r="ODM107" s="212"/>
      <c r="ODN107" s="212"/>
      <c r="ODO107" s="212"/>
      <c r="ODP107" s="212"/>
      <c r="ODQ107" s="212"/>
      <c r="ODR107" s="212"/>
      <c r="ODS107" s="212"/>
      <c r="ODT107" s="212"/>
      <c r="ODU107" s="212"/>
      <c r="ODV107" s="212"/>
      <c r="ODW107" s="212"/>
      <c r="ODX107" s="212"/>
      <c r="ODY107" s="212"/>
      <c r="ODZ107" s="212"/>
      <c r="OEA107" s="212"/>
      <c r="OEB107" s="212"/>
      <c r="OEC107" s="212"/>
      <c r="OED107" s="212"/>
      <c r="OEE107" s="212"/>
      <c r="OEF107" s="212"/>
      <c r="OEG107" s="212"/>
      <c r="OEH107" s="212"/>
      <c r="OEI107" s="212"/>
      <c r="OEJ107" s="212"/>
      <c r="OEK107" s="212"/>
      <c r="OEL107" s="212"/>
      <c r="OEM107" s="212"/>
      <c r="OEN107" s="212"/>
      <c r="OEO107" s="212"/>
      <c r="OEP107" s="212"/>
      <c r="OEQ107" s="212"/>
      <c r="OER107" s="212"/>
      <c r="OES107" s="212"/>
      <c r="OET107" s="212"/>
      <c r="OEU107" s="212"/>
      <c r="OEV107" s="212"/>
      <c r="OEW107" s="212"/>
      <c r="OEX107" s="212"/>
      <c r="OEY107" s="212"/>
      <c r="OEZ107" s="212"/>
      <c r="OFA107" s="212"/>
      <c r="OFB107" s="212"/>
      <c r="OFC107" s="212"/>
      <c r="OFD107" s="212"/>
      <c r="OFE107" s="212"/>
      <c r="OFF107" s="212"/>
      <c r="OFG107" s="212"/>
      <c r="OFH107" s="212"/>
      <c r="OFI107" s="212"/>
      <c r="OFJ107" s="212"/>
      <c r="OFK107" s="212"/>
      <c r="OFL107" s="212"/>
      <c r="OFM107" s="212"/>
      <c r="OFN107" s="212"/>
      <c r="OFO107" s="212"/>
      <c r="OFP107" s="212"/>
      <c r="OFQ107" s="212"/>
      <c r="OFR107" s="212"/>
      <c r="OFS107" s="212"/>
      <c r="OFT107" s="212"/>
      <c r="OFU107" s="212"/>
      <c r="OFV107" s="212"/>
      <c r="OFW107" s="212"/>
      <c r="OFX107" s="212"/>
      <c r="OFY107" s="212"/>
      <c r="OFZ107" s="212"/>
      <c r="OGA107" s="212"/>
      <c r="OGB107" s="212"/>
      <c r="OGC107" s="212"/>
      <c r="OGD107" s="212"/>
      <c r="OGE107" s="212"/>
      <c r="OGF107" s="212"/>
      <c r="OGG107" s="212"/>
      <c r="OGH107" s="212"/>
      <c r="OGI107" s="212"/>
      <c r="OGJ107" s="212"/>
      <c r="OGK107" s="212"/>
      <c r="OGL107" s="212"/>
      <c r="OGM107" s="212"/>
      <c r="OGN107" s="212"/>
      <c r="OGO107" s="212"/>
      <c r="OGP107" s="212"/>
      <c r="OGQ107" s="212"/>
      <c r="OGR107" s="212"/>
      <c r="OGS107" s="212"/>
      <c r="OGT107" s="212"/>
      <c r="OGU107" s="212"/>
      <c r="OGV107" s="212"/>
      <c r="OGW107" s="212"/>
      <c r="OGX107" s="212"/>
      <c r="OGY107" s="212"/>
      <c r="OGZ107" s="212"/>
      <c r="OHA107" s="212"/>
      <c r="OHB107" s="212"/>
      <c r="OHC107" s="212"/>
      <c r="OHD107" s="212"/>
      <c r="OHE107" s="212"/>
      <c r="OHF107" s="212"/>
      <c r="OHG107" s="212"/>
      <c r="OHH107" s="212"/>
      <c r="OHI107" s="212"/>
      <c r="OHJ107" s="212"/>
      <c r="OHK107" s="212"/>
      <c r="OHL107" s="212"/>
      <c r="OHM107" s="212"/>
      <c r="OHN107" s="212"/>
      <c r="OHO107" s="212"/>
      <c r="OHP107" s="212"/>
      <c r="OHQ107" s="212"/>
      <c r="OHR107" s="212"/>
      <c r="OHS107" s="212"/>
      <c r="OHT107" s="212"/>
      <c r="OHU107" s="212"/>
      <c r="OHV107" s="212"/>
      <c r="OHW107" s="212"/>
      <c r="OHX107" s="212"/>
      <c r="OHY107" s="212"/>
      <c r="OHZ107" s="212"/>
      <c r="OIA107" s="212"/>
      <c r="OIB107" s="212"/>
      <c r="OIC107" s="212"/>
      <c r="OID107" s="212"/>
      <c r="OIE107" s="212"/>
      <c r="OIF107" s="212"/>
      <c r="OIG107" s="212"/>
      <c r="OIH107" s="212"/>
      <c r="OII107" s="212"/>
      <c r="OIJ107" s="212"/>
      <c r="OIK107" s="212"/>
      <c r="OIL107" s="212"/>
      <c r="OIM107" s="212"/>
      <c r="OIN107" s="212"/>
      <c r="OIO107" s="212"/>
      <c r="OIP107" s="212"/>
      <c r="OIQ107" s="212"/>
      <c r="OIR107" s="212"/>
      <c r="OIS107" s="212"/>
      <c r="OIT107" s="212"/>
      <c r="OIU107" s="212"/>
      <c r="OIV107" s="212"/>
      <c r="OIW107" s="212"/>
      <c r="OIX107" s="212"/>
      <c r="OIY107" s="212"/>
      <c r="OIZ107" s="212"/>
      <c r="OJA107" s="212"/>
      <c r="OJB107" s="212"/>
      <c r="OJC107" s="212"/>
      <c r="OJD107" s="212"/>
      <c r="OJE107" s="212"/>
      <c r="OJF107" s="212"/>
      <c r="OJG107" s="212"/>
      <c r="OJH107" s="212"/>
      <c r="OJI107" s="212"/>
      <c r="OJJ107" s="212"/>
      <c r="OJK107" s="212"/>
      <c r="OJL107" s="212"/>
      <c r="OJM107" s="212"/>
      <c r="OJN107" s="212"/>
      <c r="OJO107" s="212"/>
      <c r="OJP107" s="212"/>
      <c r="OJQ107" s="212"/>
      <c r="OJR107" s="212"/>
      <c r="OJS107" s="212"/>
      <c r="OJT107" s="212"/>
      <c r="OJU107" s="212"/>
      <c r="OJV107" s="212"/>
      <c r="OJW107" s="212"/>
      <c r="OJX107" s="212"/>
      <c r="OJY107" s="212"/>
      <c r="OJZ107" s="212"/>
      <c r="OKA107" s="212"/>
      <c r="OKB107" s="212"/>
      <c r="OKC107" s="212"/>
      <c r="OKD107" s="212"/>
      <c r="OKE107" s="212"/>
      <c r="OKF107" s="212"/>
      <c r="OKG107" s="212"/>
      <c r="OKH107" s="212"/>
      <c r="OKI107" s="212"/>
      <c r="OKJ107" s="212"/>
      <c r="OKK107" s="212"/>
      <c r="OKL107" s="212"/>
      <c r="OKM107" s="212"/>
      <c r="OKN107" s="212"/>
      <c r="OKO107" s="212"/>
      <c r="OKP107" s="212"/>
      <c r="OKQ107" s="212"/>
      <c r="OKR107" s="212"/>
      <c r="OKS107" s="212"/>
      <c r="OKT107" s="212"/>
      <c r="OKU107" s="212"/>
      <c r="OKV107" s="212"/>
      <c r="OKW107" s="212"/>
      <c r="OKX107" s="212"/>
      <c r="OKY107" s="212"/>
      <c r="OKZ107" s="212"/>
      <c r="OLA107" s="212"/>
      <c r="OLB107" s="212"/>
      <c r="OLC107" s="212"/>
      <c r="OLD107" s="212"/>
      <c r="OLE107" s="212"/>
      <c r="OLF107" s="212"/>
      <c r="OLG107" s="212"/>
      <c r="OLH107" s="212"/>
      <c r="OLI107" s="212"/>
      <c r="OLJ107" s="212"/>
      <c r="OLK107" s="212"/>
      <c r="OLL107" s="212"/>
      <c r="OLM107" s="212"/>
      <c r="OLN107" s="212"/>
      <c r="OLO107" s="212"/>
      <c r="OLP107" s="212"/>
      <c r="OLQ107" s="212"/>
      <c r="OLR107" s="212"/>
      <c r="OLS107" s="212"/>
      <c r="OLT107" s="212"/>
      <c r="OLU107" s="212"/>
      <c r="OLV107" s="212"/>
      <c r="OLW107" s="212"/>
      <c r="OLX107" s="212"/>
      <c r="OLY107" s="212"/>
      <c r="OLZ107" s="212"/>
      <c r="OMA107" s="212"/>
      <c r="OMB107" s="212"/>
      <c r="OMC107" s="212"/>
      <c r="OMD107" s="212"/>
      <c r="OME107" s="212"/>
      <c r="OMF107" s="212"/>
      <c r="OMG107" s="212"/>
      <c r="OMH107" s="212"/>
      <c r="OMI107" s="212"/>
      <c r="OMJ107" s="212"/>
      <c r="OMK107" s="212"/>
      <c r="OML107" s="212"/>
      <c r="OMM107" s="212"/>
      <c r="OMN107" s="212"/>
      <c r="OMO107" s="212"/>
      <c r="OMP107" s="212"/>
      <c r="OMQ107" s="212"/>
      <c r="OMR107" s="212"/>
      <c r="OMS107" s="212"/>
      <c r="OMT107" s="212"/>
      <c r="OMU107" s="212"/>
      <c r="OMV107" s="212"/>
      <c r="OMW107" s="212"/>
      <c r="OMX107" s="212"/>
      <c r="OMY107" s="212"/>
      <c r="OMZ107" s="212"/>
      <c r="ONA107" s="212"/>
      <c r="ONB107" s="212"/>
      <c r="ONC107" s="212"/>
      <c r="OND107" s="212"/>
      <c r="ONE107" s="212"/>
      <c r="ONF107" s="212"/>
      <c r="ONG107" s="212"/>
      <c r="ONH107" s="212"/>
      <c r="ONI107" s="212"/>
      <c r="ONJ107" s="212"/>
      <c r="ONK107" s="212"/>
      <c r="ONL107" s="212"/>
      <c r="ONM107" s="212"/>
      <c r="ONN107" s="212"/>
      <c r="ONO107" s="212"/>
      <c r="ONP107" s="212"/>
      <c r="ONQ107" s="212"/>
      <c r="ONR107" s="212"/>
      <c r="ONS107" s="212"/>
      <c r="ONT107" s="212"/>
      <c r="ONU107" s="212"/>
      <c r="ONV107" s="212"/>
      <c r="ONW107" s="212"/>
      <c r="ONX107" s="212"/>
      <c r="ONY107" s="212"/>
      <c r="ONZ107" s="212"/>
      <c r="OOA107" s="212"/>
      <c r="OOB107" s="212"/>
      <c r="OOC107" s="212"/>
      <c r="OOD107" s="212"/>
      <c r="OOE107" s="212"/>
      <c r="OOF107" s="212"/>
      <c r="OOG107" s="212"/>
      <c r="OOH107" s="212"/>
      <c r="OOI107" s="212"/>
      <c r="OOJ107" s="212"/>
      <c r="OOK107" s="212"/>
      <c r="OOL107" s="212"/>
      <c r="OOM107" s="212"/>
      <c r="OON107" s="212"/>
      <c r="OOO107" s="212"/>
      <c r="OOP107" s="212"/>
      <c r="OOQ107" s="212"/>
      <c r="OOR107" s="212"/>
      <c r="OOS107" s="212"/>
      <c r="OOT107" s="212"/>
      <c r="OOU107" s="212"/>
      <c r="OOV107" s="212"/>
      <c r="OOW107" s="212"/>
      <c r="OOX107" s="212"/>
      <c r="OOY107" s="212"/>
      <c r="OOZ107" s="212"/>
      <c r="OPA107" s="212"/>
      <c r="OPB107" s="212"/>
      <c r="OPC107" s="212"/>
      <c r="OPD107" s="212"/>
      <c r="OPE107" s="212"/>
      <c r="OPF107" s="212"/>
      <c r="OPG107" s="212"/>
      <c r="OPH107" s="212"/>
      <c r="OPI107" s="212"/>
      <c r="OPJ107" s="212"/>
      <c r="OPK107" s="212"/>
      <c r="OPL107" s="212"/>
      <c r="OPM107" s="212"/>
      <c r="OPN107" s="212"/>
      <c r="OPO107" s="212"/>
      <c r="OPP107" s="212"/>
      <c r="OPQ107" s="212"/>
      <c r="OPR107" s="212"/>
      <c r="OPS107" s="212"/>
      <c r="OPT107" s="212"/>
      <c r="OPU107" s="212"/>
      <c r="OPV107" s="212"/>
      <c r="OPW107" s="212"/>
      <c r="OPX107" s="212"/>
      <c r="OPY107" s="212"/>
      <c r="OPZ107" s="212"/>
      <c r="OQA107" s="212"/>
      <c r="OQB107" s="212"/>
      <c r="OQC107" s="212"/>
      <c r="OQD107" s="212"/>
      <c r="OQE107" s="212"/>
      <c r="OQF107" s="212"/>
      <c r="OQG107" s="212"/>
      <c r="OQH107" s="212"/>
      <c r="OQI107" s="212"/>
      <c r="OQJ107" s="212"/>
      <c r="OQK107" s="212"/>
      <c r="OQL107" s="212"/>
      <c r="OQM107" s="212"/>
      <c r="OQN107" s="212"/>
      <c r="OQO107" s="212"/>
      <c r="OQP107" s="212"/>
      <c r="OQQ107" s="212"/>
      <c r="OQR107" s="212"/>
      <c r="OQS107" s="212"/>
      <c r="OQT107" s="212"/>
      <c r="OQU107" s="212"/>
      <c r="OQV107" s="212"/>
      <c r="OQW107" s="212"/>
      <c r="OQX107" s="212"/>
      <c r="OQY107" s="212"/>
      <c r="OQZ107" s="212"/>
      <c r="ORA107" s="212"/>
      <c r="ORB107" s="212"/>
      <c r="ORC107" s="212"/>
      <c r="ORD107" s="212"/>
      <c r="ORE107" s="212"/>
      <c r="ORF107" s="212"/>
      <c r="ORG107" s="212"/>
      <c r="ORH107" s="212"/>
      <c r="ORI107" s="212"/>
      <c r="ORJ107" s="212"/>
      <c r="ORK107" s="212"/>
      <c r="ORL107" s="212"/>
      <c r="ORM107" s="212"/>
      <c r="ORN107" s="212"/>
      <c r="ORO107" s="212"/>
      <c r="ORP107" s="212"/>
      <c r="ORQ107" s="212"/>
      <c r="ORR107" s="212"/>
      <c r="ORS107" s="212"/>
      <c r="ORT107" s="212"/>
      <c r="ORU107" s="212"/>
      <c r="ORV107" s="212"/>
      <c r="ORW107" s="212"/>
      <c r="ORX107" s="212"/>
      <c r="ORY107" s="212"/>
      <c r="ORZ107" s="212"/>
      <c r="OSA107" s="212"/>
      <c r="OSB107" s="212"/>
      <c r="OSC107" s="212"/>
      <c r="OSD107" s="212"/>
      <c r="OSE107" s="212"/>
      <c r="OSF107" s="212"/>
      <c r="OSG107" s="212"/>
      <c r="OSH107" s="212"/>
      <c r="OSI107" s="212"/>
      <c r="OSJ107" s="212"/>
      <c r="OSK107" s="212"/>
      <c r="OSL107" s="212"/>
      <c r="OSM107" s="212"/>
      <c r="OSN107" s="212"/>
      <c r="OSO107" s="212"/>
      <c r="OSP107" s="212"/>
      <c r="OSQ107" s="212"/>
      <c r="OSR107" s="212"/>
      <c r="OSS107" s="212"/>
      <c r="OST107" s="212"/>
      <c r="OSU107" s="212"/>
      <c r="OSV107" s="212"/>
      <c r="OSW107" s="212"/>
      <c r="OSX107" s="212"/>
      <c r="OSY107" s="212"/>
      <c r="OSZ107" s="212"/>
      <c r="OTA107" s="212"/>
      <c r="OTB107" s="212"/>
      <c r="OTC107" s="212"/>
      <c r="OTD107" s="212"/>
      <c r="OTE107" s="212"/>
      <c r="OTF107" s="212"/>
      <c r="OTG107" s="212"/>
      <c r="OTH107" s="212"/>
      <c r="OTI107" s="212"/>
      <c r="OTJ107" s="212"/>
      <c r="OTK107" s="212"/>
      <c r="OTL107" s="212"/>
      <c r="OTM107" s="212"/>
      <c r="OTN107" s="212"/>
      <c r="OTO107" s="212"/>
      <c r="OTP107" s="212"/>
      <c r="OTQ107" s="212"/>
      <c r="OTR107" s="212"/>
      <c r="OTS107" s="212"/>
      <c r="OTT107" s="212"/>
      <c r="OTU107" s="212"/>
      <c r="OTV107" s="212"/>
      <c r="OTW107" s="212"/>
      <c r="OTX107" s="212"/>
      <c r="OTY107" s="212"/>
      <c r="OTZ107" s="212"/>
      <c r="OUA107" s="212"/>
      <c r="OUB107" s="212"/>
      <c r="OUC107" s="212"/>
      <c r="OUD107" s="212"/>
      <c r="OUE107" s="212"/>
      <c r="OUF107" s="212"/>
      <c r="OUG107" s="212"/>
      <c r="OUH107" s="212"/>
      <c r="OUI107" s="212"/>
      <c r="OUJ107" s="212"/>
      <c r="OUK107" s="212"/>
      <c r="OUL107" s="212"/>
      <c r="OUM107" s="212"/>
      <c r="OUN107" s="212"/>
      <c r="OUO107" s="212"/>
      <c r="OUP107" s="212"/>
      <c r="OUQ107" s="212"/>
      <c r="OUR107" s="212"/>
      <c r="OUS107" s="212"/>
      <c r="OUT107" s="212"/>
      <c r="OUU107" s="212"/>
      <c r="OUV107" s="212"/>
      <c r="OUW107" s="212"/>
      <c r="OUX107" s="212"/>
      <c r="OUY107" s="212"/>
      <c r="OUZ107" s="212"/>
      <c r="OVA107" s="212"/>
      <c r="OVB107" s="212"/>
      <c r="OVC107" s="212"/>
      <c r="OVD107" s="212"/>
      <c r="OVE107" s="212"/>
      <c r="OVF107" s="212"/>
      <c r="OVG107" s="212"/>
      <c r="OVH107" s="212"/>
      <c r="OVI107" s="212"/>
      <c r="OVJ107" s="212"/>
      <c r="OVK107" s="212"/>
      <c r="OVL107" s="212"/>
      <c r="OVM107" s="212"/>
      <c r="OVN107" s="212"/>
      <c r="OVO107" s="212"/>
      <c r="OVP107" s="212"/>
      <c r="OVQ107" s="212"/>
      <c r="OVR107" s="212"/>
      <c r="OVS107" s="212"/>
      <c r="OVT107" s="212"/>
      <c r="OVU107" s="212"/>
      <c r="OVV107" s="212"/>
      <c r="OVW107" s="212"/>
      <c r="OVX107" s="212"/>
      <c r="OVY107" s="212"/>
      <c r="OVZ107" s="212"/>
      <c r="OWA107" s="212"/>
      <c r="OWB107" s="212"/>
      <c r="OWC107" s="212"/>
      <c r="OWD107" s="212"/>
      <c r="OWE107" s="212"/>
      <c r="OWF107" s="212"/>
      <c r="OWG107" s="212"/>
      <c r="OWH107" s="212"/>
      <c r="OWI107" s="212"/>
      <c r="OWJ107" s="212"/>
      <c r="OWK107" s="212"/>
      <c r="OWL107" s="212"/>
      <c r="OWM107" s="212"/>
      <c r="OWN107" s="212"/>
      <c r="OWO107" s="212"/>
      <c r="OWP107" s="212"/>
      <c r="OWQ107" s="212"/>
      <c r="OWR107" s="212"/>
      <c r="OWS107" s="212"/>
      <c r="OWT107" s="212"/>
      <c r="OWU107" s="212"/>
      <c r="OWV107" s="212"/>
      <c r="OWW107" s="212"/>
      <c r="OWX107" s="212"/>
      <c r="OWY107" s="212"/>
      <c r="OWZ107" s="212"/>
      <c r="OXA107" s="212"/>
      <c r="OXB107" s="212"/>
      <c r="OXC107" s="212"/>
      <c r="OXD107" s="212"/>
      <c r="OXE107" s="212"/>
      <c r="OXF107" s="212"/>
      <c r="OXG107" s="212"/>
      <c r="OXH107" s="212"/>
      <c r="OXI107" s="212"/>
      <c r="OXJ107" s="212"/>
      <c r="OXK107" s="212"/>
      <c r="OXL107" s="212"/>
      <c r="OXM107" s="212"/>
      <c r="OXN107" s="212"/>
      <c r="OXO107" s="212"/>
      <c r="OXP107" s="212"/>
      <c r="OXQ107" s="212"/>
      <c r="OXR107" s="212"/>
      <c r="OXS107" s="212"/>
      <c r="OXT107" s="212"/>
      <c r="OXU107" s="212"/>
      <c r="OXV107" s="212"/>
      <c r="OXW107" s="212"/>
      <c r="OXX107" s="212"/>
      <c r="OXY107" s="212"/>
      <c r="OXZ107" s="212"/>
      <c r="OYA107" s="212"/>
      <c r="OYB107" s="212"/>
      <c r="OYC107" s="212"/>
      <c r="OYD107" s="212"/>
      <c r="OYE107" s="212"/>
      <c r="OYF107" s="212"/>
      <c r="OYG107" s="212"/>
      <c r="OYH107" s="212"/>
      <c r="OYI107" s="212"/>
      <c r="OYJ107" s="212"/>
      <c r="OYK107" s="212"/>
      <c r="OYL107" s="212"/>
      <c r="OYM107" s="212"/>
      <c r="OYN107" s="212"/>
      <c r="OYO107" s="212"/>
      <c r="OYP107" s="212"/>
      <c r="OYQ107" s="212"/>
      <c r="OYR107" s="212"/>
      <c r="OYS107" s="212"/>
      <c r="OYT107" s="212"/>
      <c r="OYU107" s="212"/>
      <c r="OYV107" s="212"/>
      <c r="OYW107" s="212"/>
      <c r="OYX107" s="212"/>
      <c r="OYY107" s="212"/>
      <c r="OYZ107" s="212"/>
      <c r="OZA107" s="212"/>
      <c r="OZB107" s="212"/>
      <c r="OZC107" s="212"/>
      <c r="OZD107" s="212"/>
      <c r="OZE107" s="212"/>
      <c r="OZF107" s="212"/>
      <c r="OZG107" s="212"/>
      <c r="OZH107" s="212"/>
      <c r="OZI107" s="212"/>
      <c r="OZJ107" s="212"/>
      <c r="OZK107" s="212"/>
      <c r="OZL107" s="212"/>
      <c r="OZM107" s="212"/>
      <c r="OZN107" s="212"/>
      <c r="OZO107" s="212"/>
      <c r="OZP107" s="212"/>
      <c r="OZQ107" s="212"/>
      <c r="OZR107" s="212"/>
      <c r="OZS107" s="212"/>
      <c r="OZT107" s="212"/>
      <c r="OZU107" s="212"/>
      <c r="OZV107" s="212"/>
      <c r="OZW107" s="212"/>
      <c r="OZX107" s="212"/>
      <c r="OZY107" s="212"/>
      <c r="OZZ107" s="212"/>
      <c r="PAA107" s="212"/>
      <c r="PAB107" s="212"/>
      <c r="PAC107" s="212"/>
      <c r="PAD107" s="212"/>
      <c r="PAE107" s="212"/>
      <c r="PAF107" s="212"/>
      <c r="PAG107" s="212"/>
      <c r="PAH107" s="212"/>
      <c r="PAI107" s="212"/>
      <c r="PAJ107" s="212"/>
      <c r="PAK107" s="212"/>
      <c r="PAL107" s="212"/>
      <c r="PAM107" s="212"/>
      <c r="PAN107" s="212"/>
      <c r="PAO107" s="212"/>
      <c r="PAP107" s="212"/>
      <c r="PAQ107" s="212"/>
      <c r="PAR107" s="212"/>
      <c r="PAS107" s="212"/>
      <c r="PAT107" s="212"/>
      <c r="PAU107" s="212"/>
      <c r="PAV107" s="212"/>
      <c r="PAW107" s="212"/>
      <c r="PAX107" s="212"/>
      <c r="PAY107" s="212"/>
      <c r="PAZ107" s="212"/>
      <c r="PBA107" s="212"/>
      <c r="PBB107" s="212"/>
      <c r="PBC107" s="212"/>
      <c r="PBD107" s="212"/>
      <c r="PBE107" s="212"/>
      <c r="PBF107" s="212"/>
      <c r="PBG107" s="212"/>
      <c r="PBH107" s="212"/>
      <c r="PBI107" s="212"/>
      <c r="PBJ107" s="212"/>
      <c r="PBK107" s="212"/>
      <c r="PBL107" s="212"/>
      <c r="PBM107" s="212"/>
      <c r="PBN107" s="212"/>
      <c r="PBO107" s="212"/>
      <c r="PBP107" s="212"/>
      <c r="PBQ107" s="212"/>
      <c r="PBR107" s="212"/>
      <c r="PBS107" s="212"/>
      <c r="PBT107" s="212"/>
      <c r="PBU107" s="212"/>
      <c r="PBV107" s="212"/>
      <c r="PBW107" s="212"/>
      <c r="PBX107" s="212"/>
      <c r="PBY107" s="212"/>
      <c r="PBZ107" s="212"/>
      <c r="PCA107" s="212"/>
      <c r="PCB107" s="212"/>
      <c r="PCC107" s="212"/>
      <c r="PCD107" s="212"/>
      <c r="PCE107" s="212"/>
      <c r="PCF107" s="212"/>
      <c r="PCG107" s="212"/>
      <c r="PCH107" s="212"/>
      <c r="PCI107" s="212"/>
      <c r="PCJ107" s="212"/>
      <c r="PCK107" s="212"/>
      <c r="PCL107" s="212"/>
      <c r="PCM107" s="212"/>
      <c r="PCN107" s="212"/>
      <c r="PCO107" s="212"/>
      <c r="PCP107" s="212"/>
      <c r="PCQ107" s="212"/>
      <c r="PCR107" s="212"/>
      <c r="PCS107" s="212"/>
      <c r="PCT107" s="212"/>
      <c r="PCU107" s="212"/>
      <c r="PCV107" s="212"/>
      <c r="PCW107" s="212"/>
      <c r="PCX107" s="212"/>
      <c r="PCY107" s="212"/>
      <c r="PCZ107" s="212"/>
      <c r="PDA107" s="212"/>
      <c r="PDB107" s="212"/>
      <c r="PDC107" s="212"/>
      <c r="PDD107" s="212"/>
      <c r="PDE107" s="212"/>
      <c r="PDF107" s="212"/>
      <c r="PDG107" s="212"/>
      <c r="PDH107" s="212"/>
      <c r="PDI107" s="212"/>
      <c r="PDJ107" s="212"/>
      <c r="PDK107" s="212"/>
      <c r="PDL107" s="212"/>
      <c r="PDM107" s="212"/>
      <c r="PDN107" s="212"/>
      <c r="PDO107" s="212"/>
      <c r="PDP107" s="212"/>
      <c r="PDQ107" s="212"/>
      <c r="PDR107" s="212"/>
      <c r="PDS107" s="212"/>
      <c r="PDT107" s="212"/>
      <c r="PDU107" s="212"/>
      <c r="PDV107" s="212"/>
      <c r="PDW107" s="212"/>
      <c r="PDX107" s="212"/>
      <c r="PDY107" s="212"/>
      <c r="PDZ107" s="212"/>
      <c r="PEA107" s="212"/>
      <c r="PEB107" s="212"/>
      <c r="PEC107" s="212"/>
      <c r="PED107" s="212"/>
      <c r="PEE107" s="212"/>
      <c r="PEF107" s="212"/>
      <c r="PEG107" s="212"/>
      <c r="PEH107" s="212"/>
      <c r="PEI107" s="212"/>
      <c r="PEJ107" s="212"/>
      <c r="PEK107" s="212"/>
      <c r="PEL107" s="212"/>
      <c r="PEM107" s="212"/>
      <c r="PEN107" s="212"/>
      <c r="PEO107" s="212"/>
      <c r="PEP107" s="212"/>
      <c r="PEQ107" s="212"/>
      <c r="PER107" s="212"/>
      <c r="PES107" s="212"/>
      <c r="PET107" s="212"/>
      <c r="PEU107" s="212"/>
      <c r="PEV107" s="212"/>
      <c r="PEW107" s="212"/>
      <c r="PEX107" s="212"/>
      <c r="PEY107" s="212"/>
      <c r="PEZ107" s="212"/>
      <c r="PFA107" s="212"/>
      <c r="PFB107" s="212"/>
      <c r="PFC107" s="212"/>
      <c r="PFD107" s="212"/>
      <c r="PFE107" s="212"/>
      <c r="PFF107" s="212"/>
      <c r="PFG107" s="212"/>
      <c r="PFH107" s="212"/>
      <c r="PFI107" s="212"/>
      <c r="PFJ107" s="212"/>
      <c r="PFK107" s="212"/>
      <c r="PFL107" s="212"/>
      <c r="PFM107" s="212"/>
      <c r="PFN107" s="212"/>
      <c r="PFO107" s="212"/>
      <c r="PFP107" s="212"/>
      <c r="PFQ107" s="212"/>
      <c r="PFR107" s="212"/>
      <c r="PFS107" s="212"/>
      <c r="PFT107" s="212"/>
      <c r="PFU107" s="212"/>
      <c r="PFV107" s="212"/>
      <c r="PFW107" s="212"/>
      <c r="PFX107" s="212"/>
      <c r="PFY107" s="212"/>
      <c r="PFZ107" s="212"/>
      <c r="PGA107" s="212"/>
      <c r="PGB107" s="212"/>
      <c r="PGC107" s="212"/>
      <c r="PGD107" s="212"/>
      <c r="PGE107" s="212"/>
      <c r="PGF107" s="212"/>
      <c r="PGG107" s="212"/>
      <c r="PGH107" s="212"/>
      <c r="PGI107" s="212"/>
      <c r="PGJ107" s="212"/>
      <c r="PGK107" s="212"/>
      <c r="PGL107" s="212"/>
      <c r="PGM107" s="212"/>
      <c r="PGN107" s="212"/>
      <c r="PGO107" s="212"/>
      <c r="PGP107" s="212"/>
      <c r="PGQ107" s="212"/>
      <c r="PGR107" s="212"/>
      <c r="PGS107" s="212"/>
      <c r="PGT107" s="212"/>
      <c r="PGU107" s="212"/>
      <c r="PGV107" s="212"/>
      <c r="PGW107" s="212"/>
      <c r="PGX107" s="212"/>
      <c r="PGY107" s="212"/>
      <c r="PGZ107" s="212"/>
      <c r="PHA107" s="212"/>
      <c r="PHB107" s="212"/>
      <c r="PHC107" s="212"/>
      <c r="PHD107" s="212"/>
      <c r="PHE107" s="212"/>
      <c r="PHF107" s="212"/>
      <c r="PHG107" s="212"/>
      <c r="PHH107" s="212"/>
      <c r="PHI107" s="212"/>
      <c r="PHJ107" s="212"/>
      <c r="PHK107" s="212"/>
      <c r="PHL107" s="212"/>
      <c r="PHM107" s="212"/>
      <c r="PHN107" s="212"/>
      <c r="PHO107" s="212"/>
      <c r="PHP107" s="212"/>
      <c r="PHQ107" s="212"/>
      <c r="PHR107" s="212"/>
      <c r="PHS107" s="212"/>
      <c r="PHT107" s="212"/>
      <c r="PHU107" s="212"/>
      <c r="PHV107" s="212"/>
      <c r="PHW107" s="212"/>
      <c r="PHX107" s="212"/>
      <c r="PHY107" s="212"/>
      <c r="PHZ107" s="212"/>
      <c r="PIA107" s="212"/>
      <c r="PIB107" s="212"/>
      <c r="PIC107" s="212"/>
      <c r="PID107" s="212"/>
      <c r="PIE107" s="212"/>
      <c r="PIF107" s="212"/>
      <c r="PIG107" s="212"/>
      <c r="PIH107" s="212"/>
      <c r="PII107" s="212"/>
      <c r="PIJ107" s="212"/>
      <c r="PIK107" s="212"/>
      <c r="PIL107" s="212"/>
      <c r="PIM107" s="212"/>
      <c r="PIN107" s="212"/>
      <c r="PIO107" s="212"/>
      <c r="PIP107" s="212"/>
      <c r="PIQ107" s="212"/>
      <c r="PIR107" s="212"/>
      <c r="PIS107" s="212"/>
      <c r="PIT107" s="212"/>
      <c r="PIU107" s="212"/>
      <c r="PIV107" s="212"/>
      <c r="PIW107" s="212"/>
      <c r="PIX107" s="212"/>
      <c r="PIY107" s="212"/>
      <c r="PIZ107" s="212"/>
      <c r="PJA107" s="212"/>
      <c r="PJB107" s="212"/>
      <c r="PJC107" s="212"/>
      <c r="PJD107" s="212"/>
      <c r="PJE107" s="212"/>
      <c r="PJF107" s="212"/>
      <c r="PJG107" s="212"/>
      <c r="PJH107" s="212"/>
      <c r="PJI107" s="212"/>
      <c r="PJJ107" s="212"/>
      <c r="PJK107" s="212"/>
      <c r="PJL107" s="212"/>
      <c r="PJM107" s="212"/>
      <c r="PJN107" s="212"/>
      <c r="PJO107" s="212"/>
      <c r="PJP107" s="212"/>
      <c r="PJQ107" s="212"/>
      <c r="PJR107" s="212"/>
      <c r="PJS107" s="212"/>
      <c r="PJT107" s="212"/>
      <c r="PJU107" s="212"/>
      <c r="PJV107" s="212"/>
      <c r="PJW107" s="212"/>
      <c r="PJX107" s="212"/>
      <c r="PJY107" s="212"/>
      <c r="PJZ107" s="212"/>
      <c r="PKA107" s="212"/>
      <c r="PKB107" s="212"/>
      <c r="PKC107" s="212"/>
      <c r="PKD107" s="212"/>
      <c r="PKE107" s="212"/>
      <c r="PKF107" s="212"/>
      <c r="PKG107" s="212"/>
      <c r="PKH107" s="212"/>
      <c r="PKI107" s="212"/>
      <c r="PKJ107" s="212"/>
      <c r="PKK107" s="212"/>
      <c r="PKL107" s="212"/>
      <c r="PKM107" s="212"/>
      <c r="PKN107" s="212"/>
      <c r="PKO107" s="212"/>
      <c r="PKP107" s="212"/>
      <c r="PKQ107" s="212"/>
      <c r="PKR107" s="212"/>
      <c r="PKS107" s="212"/>
      <c r="PKT107" s="212"/>
      <c r="PKU107" s="212"/>
      <c r="PKV107" s="212"/>
      <c r="PKW107" s="212"/>
      <c r="PKX107" s="212"/>
      <c r="PKY107" s="212"/>
      <c r="PKZ107" s="212"/>
      <c r="PLA107" s="212"/>
      <c r="PLB107" s="212"/>
      <c r="PLC107" s="212"/>
      <c r="PLD107" s="212"/>
      <c r="PLE107" s="212"/>
      <c r="PLF107" s="212"/>
      <c r="PLG107" s="212"/>
      <c r="PLH107" s="212"/>
      <c r="PLI107" s="212"/>
      <c r="PLJ107" s="212"/>
      <c r="PLK107" s="212"/>
      <c r="PLL107" s="212"/>
      <c r="PLM107" s="212"/>
      <c r="PLN107" s="212"/>
      <c r="PLO107" s="212"/>
      <c r="PLP107" s="212"/>
      <c r="PLQ107" s="212"/>
      <c r="PLR107" s="212"/>
      <c r="PLS107" s="212"/>
      <c r="PLT107" s="212"/>
      <c r="PLU107" s="212"/>
      <c r="PLV107" s="212"/>
      <c r="PLW107" s="212"/>
      <c r="PLX107" s="212"/>
      <c r="PLY107" s="212"/>
      <c r="PLZ107" s="212"/>
      <c r="PMA107" s="212"/>
      <c r="PMB107" s="212"/>
      <c r="PMC107" s="212"/>
      <c r="PMD107" s="212"/>
      <c r="PME107" s="212"/>
      <c r="PMF107" s="212"/>
      <c r="PMG107" s="212"/>
      <c r="PMH107" s="212"/>
      <c r="PMI107" s="212"/>
      <c r="PMJ107" s="212"/>
      <c r="PMK107" s="212"/>
      <c r="PML107" s="212"/>
      <c r="PMM107" s="212"/>
      <c r="PMN107" s="212"/>
      <c r="PMO107" s="212"/>
      <c r="PMP107" s="212"/>
      <c r="PMQ107" s="212"/>
      <c r="PMR107" s="212"/>
      <c r="PMS107" s="212"/>
      <c r="PMT107" s="212"/>
      <c r="PMU107" s="212"/>
      <c r="PMV107" s="212"/>
      <c r="PMW107" s="212"/>
      <c r="PMX107" s="212"/>
      <c r="PMY107" s="212"/>
      <c r="PMZ107" s="212"/>
      <c r="PNA107" s="212"/>
      <c r="PNB107" s="212"/>
      <c r="PNC107" s="212"/>
      <c r="PND107" s="212"/>
      <c r="PNE107" s="212"/>
      <c r="PNF107" s="212"/>
      <c r="PNG107" s="212"/>
      <c r="PNH107" s="212"/>
      <c r="PNI107" s="212"/>
      <c r="PNJ107" s="212"/>
      <c r="PNK107" s="212"/>
      <c r="PNL107" s="212"/>
      <c r="PNM107" s="212"/>
      <c r="PNN107" s="212"/>
      <c r="PNO107" s="212"/>
      <c r="PNP107" s="212"/>
      <c r="PNQ107" s="212"/>
      <c r="PNR107" s="212"/>
      <c r="PNS107" s="212"/>
      <c r="PNT107" s="212"/>
      <c r="PNU107" s="212"/>
      <c r="PNV107" s="212"/>
      <c r="PNW107" s="212"/>
      <c r="PNX107" s="212"/>
      <c r="PNY107" s="212"/>
      <c r="PNZ107" s="212"/>
      <c r="POA107" s="212"/>
      <c r="POB107" s="212"/>
      <c r="POC107" s="212"/>
      <c r="POD107" s="212"/>
      <c r="POE107" s="212"/>
      <c r="POF107" s="212"/>
      <c r="POG107" s="212"/>
      <c r="POH107" s="212"/>
      <c r="POI107" s="212"/>
      <c r="POJ107" s="212"/>
      <c r="POK107" s="212"/>
      <c r="POL107" s="212"/>
      <c r="POM107" s="212"/>
      <c r="PON107" s="212"/>
      <c r="POO107" s="212"/>
      <c r="POP107" s="212"/>
      <c r="POQ107" s="212"/>
      <c r="POR107" s="212"/>
      <c r="POS107" s="212"/>
      <c r="POT107" s="212"/>
      <c r="POU107" s="212"/>
      <c r="POV107" s="212"/>
      <c r="POW107" s="212"/>
      <c r="POX107" s="212"/>
      <c r="POY107" s="212"/>
      <c r="POZ107" s="212"/>
      <c r="PPA107" s="212"/>
      <c r="PPB107" s="212"/>
      <c r="PPC107" s="212"/>
      <c r="PPD107" s="212"/>
      <c r="PPE107" s="212"/>
      <c r="PPF107" s="212"/>
      <c r="PPG107" s="212"/>
      <c r="PPH107" s="212"/>
      <c r="PPI107" s="212"/>
      <c r="PPJ107" s="212"/>
      <c r="PPK107" s="212"/>
      <c r="PPL107" s="212"/>
      <c r="PPM107" s="212"/>
      <c r="PPN107" s="212"/>
      <c r="PPO107" s="212"/>
      <c r="PPP107" s="212"/>
      <c r="PPQ107" s="212"/>
      <c r="PPR107" s="212"/>
      <c r="PPS107" s="212"/>
      <c r="PPT107" s="212"/>
      <c r="PPU107" s="212"/>
      <c r="PPV107" s="212"/>
      <c r="PPW107" s="212"/>
      <c r="PPX107" s="212"/>
      <c r="PPY107" s="212"/>
      <c r="PPZ107" s="212"/>
      <c r="PQA107" s="212"/>
      <c r="PQB107" s="212"/>
      <c r="PQC107" s="212"/>
      <c r="PQD107" s="212"/>
      <c r="PQE107" s="212"/>
      <c r="PQF107" s="212"/>
      <c r="PQG107" s="212"/>
      <c r="PQH107" s="212"/>
      <c r="PQI107" s="212"/>
      <c r="PQJ107" s="212"/>
      <c r="PQK107" s="212"/>
      <c r="PQL107" s="212"/>
      <c r="PQM107" s="212"/>
      <c r="PQN107" s="212"/>
      <c r="PQO107" s="212"/>
      <c r="PQP107" s="212"/>
      <c r="PQQ107" s="212"/>
      <c r="PQR107" s="212"/>
      <c r="PQS107" s="212"/>
      <c r="PQT107" s="212"/>
      <c r="PQU107" s="212"/>
      <c r="PQV107" s="212"/>
      <c r="PQW107" s="212"/>
      <c r="PQX107" s="212"/>
      <c r="PQY107" s="212"/>
      <c r="PQZ107" s="212"/>
      <c r="PRA107" s="212"/>
      <c r="PRB107" s="212"/>
      <c r="PRC107" s="212"/>
      <c r="PRD107" s="212"/>
      <c r="PRE107" s="212"/>
      <c r="PRF107" s="212"/>
      <c r="PRG107" s="212"/>
      <c r="PRH107" s="212"/>
      <c r="PRI107" s="212"/>
      <c r="PRJ107" s="212"/>
      <c r="PRK107" s="212"/>
      <c r="PRL107" s="212"/>
      <c r="PRM107" s="212"/>
      <c r="PRN107" s="212"/>
      <c r="PRO107" s="212"/>
      <c r="PRP107" s="212"/>
      <c r="PRQ107" s="212"/>
      <c r="PRR107" s="212"/>
      <c r="PRS107" s="212"/>
      <c r="PRT107" s="212"/>
      <c r="PRU107" s="212"/>
      <c r="PRV107" s="212"/>
      <c r="PRW107" s="212"/>
      <c r="PRX107" s="212"/>
      <c r="PRY107" s="212"/>
      <c r="PRZ107" s="212"/>
      <c r="PSA107" s="212"/>
      <c r="PSB107" s="212"/>
      <c r="PSC107" s="212"/>
      <c r="PSD107" s="212"/>
      <c r="PSE107" s="212"/>
      <c r="PSF107" s="212"/>
      <c r="PSG107" s="212"/>
      <c r="PSH107" s="212"/>
      <c r="PSI107" s="212"/>
      <c r="PSJ107" s="212"/>
      <c r="PSK107" s="212"/>
      <c r="PSL107" s="212"/>
      <c r="PSM107" s="212"/>
      <c r="PSN107" s="212"/>
      <c r="PSO107" s="212"/>
      <c r="PSP107" s="212"/>
      <c r="PSQ107" s="212"/>
      <c r="PSR107" s="212"/>
      <c r="PSS107" s="212"/>
      <c r="PST107" s="212"/>
      <c r="PSU107" s="212"/>
      <c r="PSV107" s="212"/>
      <c r="PSW107" s="212"/>
      <c r="PSX107" s="212"/>
      <c r="PSY107" s="212"/>
      <c r="PSZ107" s="212"/>
      <c r="PTA107" s="212"/>
      <c r="PTB107" s="212"/>
      <c r="PTC107" s="212"/>
      <c r="PTD107" s="212"/>
      <c r="PTE107" s="212"/>
      <c r="PTF107" s="212"/>
      <c r="PTG107" s="212"/>
      <c r="PTH107" s="212"/>
      <c r="PTI107" s="212"/>
      <c r="PTJ107" s="212"/>
      <c r="PTK107" s="212"/>
      <c r="PTL107" s="212"/>
      <c r="PTM107" s="212"/>
      <c r="PTN107" s="212"/>
      <c r="PTO107" s="212"/>
      <c r="PTP107" s="212"/>
      <c r="PTQ107" s="212"/>
      <c r="PTR107" s="212"/>
      <c r="PTS107" s="212"/>
      <c r="PTT107" s="212"/>
      <c r="PTU107" s="212"/>
      <c r="PTV107" s="212"/>
      <c r="PTW107" s="212"/>
      <c r="PTX107" s="212"/>
      <c r="PTY107" s="212"/>
      <c r="PTZ107" s="212"/>
      <c r="PUA107" s="212"/>
      <c r="PUB107" s="212"/>
      <c r="PUC107" s="212"/>
      <c r="PUD107" s="212"/>
      <c r="PUE107" s="212"/>
      <c r="PUF107" s="212"/>
      <c r="PUG107" s="212"/>
      <c r="PUH107" s="212"/>
      <c r="PUI107" s="212"/>
      <c r="PUJ107" s="212"/>
      <c r="PUK107" s="212"/>
      <c r="PUL107" s="212"/>
      <c r="PUM107" s="212"/>
      <c r="PUN107" s="212"/>
      <c r="PUO107" s="212"/>
      <c r="PUP107" s="212"/>
      <c r="PUQ107" s="212"/>
      <c r="PUR107" s="212"/>
      <c r="PUS107" s="212"/>
      <c r="PUT107" s="212"/>
      <c r="PUU107" s="212"/>
      <c r="PUV107" s="212"/>
      <c r="PUW107" s="212"/>
      <c r="PUX107" s="212"/>
      <c r="PUY107" s="212"/>
      <c r="PUZ107" s="212"/>
      <c r="PVA107" s="212"/>
      <c r="PVB107" s="212"/>
      <c r="PVC107" s="212"/>
      <c r="PVD107" s="212"/>
      <c r="PVE107" s="212"/>
      <c r="PVF107" s="212"/>
      <c r="PVG107" s="212"/>
      <c r="PVH107" s="212"/>
      <c r="PVI107" s="212"/>
      <c r="PVJ107" s="212"/>
      <c r="PVK107" s="212"/>
      <c r="PVL107" s="212"/>
      <c r="PVM107" s="212"/>
      <c r="PVN107" s="212"/>
      <c r="PVO107" s="212"/>
      <c r="PVP107" s="212"/>
      <c r="PVQ107" s="212"/>
      <c r="PVR107" s="212"/>
      <c r="PVS107" s="212"/>
      <c r="PVT107" s="212"/>
      <c r="PVU107" s="212"/>
      <c r="PVV107" s="212"/>
      <c r="PVW107" s="212"/>
      <c r="PVX107" s="212"/>
      <c r="PVY107" s="212"/>
      <c r="PVZ107" s="212"/>
      <c r="PWA107" s="212"/>
      <c r="PWB107" s="212"/>
      <c r="PWC107" s="212"/>
      <c r="PWD107" s="212"/>
      <c r="PWE107" s="212"/>
      <c r="PWF107" s="212"/>
      <c r="PWG107" s="212"/>
      <c r="PWH107" s="212"/>
      <c r="PWI107" s="212"/>
      <c r="PWJ107" s="212"/>
      <c r="PWK107" s="212"/>
      <c r="PWL107" s="212"/>
      <c r="PWM107" s="212"/>
      <c r="PWN107" s="212"/>
      <c r="PWO107" s="212"/>
      <c r="PWP107" s="212"/>
      <c r="PWQ107" s="212"/>
      <c r="PWR107" s="212"/>
      <c r="PWS107" s="212"/>
      <c r="PWT107" s="212"/>
      <c r="PWU107" s="212"/>
      <c r="PWV107" s="212"/>
      <c r="PWW107" s="212"/>
      <c r="PWX107" s="212"/>
      <c r="PWY107" s="212"/>
      <c r="PWZ107" s="212"/>
      <c r="PXA107" s="212"/>
      <c r="PXB107" s="212"/>
      <c r="PXC107" s="212"/>
      <c r="PXD107" s="212"/>
      <c r="PXE107" s="212"/>
      <c r="PXF107" s="212"/>
      <c r="PXG107" s="212"/>
      <c r="PXH107" s="212"/>
      <c r="PXI107" s="212"/>
      <c r="PXJ107" s="212"/>
      <c r="PXK107" s="212"/>
      <c r="PXL107" s="212"/>
      <c r="PXM107" s="212"/>
      <c r="PXN107" s="212"/>
      <c r="PXO107" s="212"/>
      <c r="PXP107" s="212"/>
      <c r="PXQ107" s="212"/>
      <c r="PXR107" s="212"/>
      <c r="PXS107" s="212"/>
      <c r="PXT107" s="212"/>
      <c r="PXU107" s="212"/>
      <c r="PXV107" s="212"/>
      <c r="PXW107" s="212"/>
      <c r="PXX107" s="212"/>
      <c r="PXY107" s="212"/>
      <c r="PXZ107" s="212"/>
      <c r="PYA107" s="212"/>
      <c r="PYB107" s="212"/>
      <c r="PYC107" s="212"/>
      <c r="PYD107" s="212"/>
      <c r="PYE107" s="212"/>
      <c r="PYF107" s="212"/>
      <c r="PYG107" s="212"/>
      <c r="PYH107" s="212"/>
      <c r="PYI107" s="212"/>
      <c r="PYJ107" s="212"/>
      <c r="PYK107" s="212"/>
      <c r="PYL107" s="212"/>
      <c r="PYM107" s="212"/>
      <c r="PYN107" s="212"/>
      <c r="PYO107" s="212"/>
      <c r="PYP107" s="212"/>
      <c r="PYQ107" s="212"/>
      <c r="PYR107" s="212"/>
      <c r="PYS107" s="212"/>
      <c r="PYT107" s="212"/>
      <c r="PYU107" s="212"/>
      <c r="PYV107" s="212"/>
      <c r="PYW107" s="212"/>
      <c r="PYX107" s="212"/>
      <c r="PYY107" s="212"/>
      <c r="PYZ107" s="212"/>
      <c r="PZA107" s="212"/>
      <c r="PZB107" s="212"/>
      <c r="PZC107" s="212"/>
      <c r="PZD107" s="212"/>
      <c r="PZE107" s="212"/>
      <c r="PZF107" s="212"/>
      <c r="PZG107" s="212"/>
      <c r="PZH107" s="212"/>
      <c r="PZI107" s="212"/>
      <c r="PZJ107" s="212"/>
      <c r="PZK107" s="212"/>
      <c r="PZL107" s="212"/>
      <c r="PZM107" s="212"/>
      <c r="PZN107" s="212"/>
      <c r="PZO107" s="212"/>
      <c r="PZP107" s="212"/>
      <c r="PZQ107" s="212"/>
      <c r="PZR107" s="212"/>
      <c r="PZS107" s="212"/>
      <c r="PZT107" s="212"/>
      <c r="PZU107" s="212"/>
      <c r="PZV107" s="212"/>
      <c r="PZW107" s="212"/>
      <c r="PZX107" s="212"/>
      <c r="PZY107" s="212"/>
      <c r="PZZ107" s="212"/>
      <c r="QAA107" s="212"/>
      <c r="QAB107" s="212"/>
      <c r="QAC107" s="212"/>
      <c r="QAD107" s="212"/>
      <c r="QAE107" s="212"/>
      <c r="QAF107" s="212"/>
      <c r="QAG107" s="212"/>
      <c r="QAH107" s="212"/>
      <c r="QAI107" s="212"/>
      <c r="QAJ107" s="212"/>
      <c r="QAK107" s="212"/>
      <c r="QAL107" s="212"/>
      <c r="QAM107" s="212"/>
      <c r="QAN107" s="212"/>
      <c r="QAO107" s="212"/>
      <c r="QAP107" s="212"/>
      <c r="QAQ107" s="212"/>
      <c r="QAR107" s="212"/>
      <c r="QAS107" s="212"/>
      <c r="QAT107" s="212"/>
      <c r="QAU107" s="212"/>
      <c r="QAV107" s="212"/>
      <c r="QAW107" s="212"/>
      <c r="QAX107" s="212"/>
      <c r="QAY107" s="212"/>
      <c r="QAZ107" s="212"/>
      <c r="QBA107" s="212"/>
      <c r="QBB107" s="212"/>
      <c r="QBC107" s="212"/>
      <c r="QBD107" s="212"/>
      <c r="QBE107" s="212"/>
      <c r="QBF107" s="212"/>
      <c r="QBG107" s="212"/>
      <c r="QBH107" s="212"/>
      <c r="QBI107" s="212"/>
      <c r="QBJ107" s="212"/>
      <c r="QBK107" s="212"/>
      <c r="QBL107" s="212"/>
      <c r="QBM107" s="212"/>
      <c r="QBN107" s="212"/>
      <c r="QBO107" s="212"/>
      <c r="QBP107" s="212"/>
      <c r="QBQ107" s="212"/>
      <c r="QBR107" s="212"/>
      <c r="QBS107" s="212"/>
      <c r="QBT107" s="212"/>
      <c r="QBU107" s="212"/>
      <c r="QBV107" s="212"/>
      <c r="QBW107" s="212"/>
      <c r="QBX107" s="212"/>
      <c r="QBY107" s="212"/>
      <c r="QBZ107" s="212"/>
      <c r="QCA107" s="212"/>
      <c r="QCB107" s="212"/>
      <c r="QCC107" s="212"/>
      <c r="QCD107" s="212"/>
      <c r="QCE107" s="212"/>
      <c r="QCF107" s="212"/>
      <c r="QCG107" s="212"/>
      <c r="QCH107" s="212"/>
      <c r="QCI107" s="212"/>
      <c r="QCJ107" s="212"/>
      <c r="QCK107" s="212"/>
      <c r="QCL107" s="212"/>
      <c r="QCM107" s="212"/>
      <c r="QCN107" s="212"/>
      <c r="QCO107" s="212"/>
      <c r="QCP107" s="212"/>
      <c r="QCQ107" s="212"/>
      <c r="QCR107" s="212"/>
      <c r="QCS107" s="212"/>
      <c r="QCT107" s="212"/>
      <c r="QCU107" s="212"/>
      <c r="QCV107" s="212"/>
      <c r="QCW107" s="212"/>
      <c r="QCX107" s="212"/>
      <c r="QCY107" s="212"/>
      <c r="QCZ107" s="212"/>
      <c r="QDA107" s="212"/>
      <c r="QDB107" s="212"/>
      <c r="QDC107" s="212"/>
      <c r="QDD107" s="212"/>
      <c r="QDE107" s="212"/>
      <c r="QDF107" s="212"/>
      <c r="QDG107" s="212"/>
      <c r="QDH107" s="212"/>
      <c r="QDI107" s="212"/>
      <c r="QDJ107" s="212"/>
      <c r="QDK107" s="212"/>
      <c r="QDL107" s="212"/>
      <c r="QDM107" s="212"/>
      <c r="QDN107" s="212"/>
      <c r="QDO107" s="212"/>
      <c r="QDP107" s="212"/>
      <c r="QDQ107" s="212"/>
      <c r="QDR107" s="212"/>
      <c r="QDS107" s="212"/>
      <c r="QDT107" s="212"/>
      <c r="QDU107" s="212"/>
      <c r="QDV107" s="212"/>
      <c r="QDW107" s="212"/>
      <c r="QDX107" s="212"/>
      <c r="QDY107" s="212"/>
      <c r="QDZ107" s="212"/>
      <c r="QEA107" s="212"/>
      <c r="QEB107" s="212"/>
      <c r="QEC107" s="212"/>
      <c r="QED107" s="212"/>
      <c r="QEE107" s="212"/>
      <c r="QEF107" s="212"/>
      <c r="QEG107" s="212"/>
      <c r="QEH107" s="212"/>
      <c r="QEI107" s="212"/>
      <c r="QEJ107" s="212"/>
      <c r="QEK107" s="212"/>
      <c r="QEL107" s="212"/>
      <c r="QEM107" s="212"/>
      <c r="QEN107" s="212"/>
      <c r="QEO107" s="212"/>
      <c r="QEP107" s="212"/>
      <c r="QEQ107" s="212"/>
      <c r="QER107" s="212"/>
      <c r="QES107" s="212"/>
      <c r="QET107" s="212"/>
      <c r="QEU107" s="212"/>
      <c r="QEV107" s="212"/>
      <c r="QEW107" s="212"/>
      <c r="QEX107" s="212"/>
      <c r="QEY107" s="212"/>
      <c r="QEZ107" s="212"/>
      <c r="QFA107" s="212"/>
      <c r="QFB107" s="212"/>
      <c r="QFC107" s="212"/>
      <c r="QFD107" s="212"/>
      <c r="QFE107" s="212"/>
      <c r="QFF107" s="212"/>
      <c r="QFG107" s="212"/>
      <c r="QFH107" s="212"/>
      <c r="QFI107" s="212"/>
      <c r="QFJ107" s="212"/>
      <c r="QFK107" s="212"/>
      <c r="QFL107" s="212"/>
      <c r="QFM107" s="212"/>
      <c r="QFN107" s="212"/>
      <c r="QFO107" s="212"/>
      <c r="QFP107" s="212"/>
      <c r="QFQ107" s="212"/>
      <c r="QFR107" s="212"/>
      <c r="QFS107" s="212"/>
      <c r="QFT107" s="212"/>
      <c r="QFU107" s="212"/>
      <c r="QFV107" s="212"/>
      <c r="QFW107" s="212"/>
      <c r="QFX107" s="212"/>
      <c r="QFY107" s="212"/>
      <c r="QFZ107" s="212"/>
      <c r="QGA107" s="212"/>
      <c r="QGB107" s="212"/>
      <c r="QGC107" s="212"/>
      <c r="QGD107" s="212"/>
      <c r="QGE107" s="212"/>
      <c r="QGF107" s="212"/>
      <c r="QGG107" s="212"/>
      <c r="QGH107" s="212"/>
      <c r="QGI107" s="212"/>
      <c r="QGJ107" s="212"/>
      <c r="QGK107" s="212"/>
      <c r="QGL107" s="212"/>
      <c r="QGM107" s="212"/>
      <c r="QGN107" s="212"/>
      <c r="QGO107" s="212"/>
      <c r="QGP107" s="212"/>
      <c r="QGQ107" s="212"/>
      <c r="QGR107" s="212"/>
      <c r="QGS107" s="212"/>
      <c r="QGT107" s="212"/>
      <c r="QGU107" s="212"/>
      <c r="QGV107" s="212"/>
      <c r="QGW107" s="212"/>
      <c r="QGX107" s="212"/>
      <c r="QGY107" s="212"/>
      <c r="QGZ107" s="212"/>
      <c r="QHA107" s="212"/>
      <c r="QHB107" s="212"/>
      <c r="QHC107" s="212"/>
      <c r="QHD107" s="212"/>
      <c r="QHE107" s="212"/>
      <c r="QHF107" s="212"/>
      <c r="QHG107" s="212"/>
      <c r="QHH107" s="212"/>
      <c r="QHI107" s="212"/>
      <c r="QHJ107" s="212"/>
      <c r="QHK107" s="212"/>
      <c r="QHL107" s="212"/>
      <c r="QHM107" s="212"/>
      <c r="QHN107" s="212"/>
      <c r="QHO107" s="212"/>
      <c r="QHP107" s="212"/>
      <c r="QHQ107" s="212"/>
      <c r="QHR107" s="212"/>
      <c r="QHS107" s="212"/>
      <c r="QHT107" s="212"/>
      <c r="QHU107" s="212"/>
      <c r="QHV107" s="212"/>
      <c r="QHW107" s="212"/>
      <c r="QHX107" s="212"/>
      <c r="QHY107" s="212"/>
      <c r="QHZ107" s="212"/>
      <c r="QIA107" s="212"/>
      <c r="QIB107" s="212"/>
      <c r="QIC107" s="212"/>
      <c r="QID107" s="212"/>
      <c r="QIE107" s="212"/>
      <c r="QIF107" s="212"/>
      <c r="QIG107" s="212"/>
      <c r="QIH107" s="212"/>
      <c r="QII107" s="212"/>
      <c r="QIJ107" s="212"/>
      <c r="QIK107" s="212"/>
      <c r="QIL107" s="212"/>
      <c r="QIM107" s="212"/>
      <c r="QIN107" s="212"/>
      <c r="QIO107" s="212"/>
      <c r="QIP107" s="212"/>
      <c r="QIQ107" s="212"/>
      <c r="QIR107" s="212"/>
      <c r="QIS107" s="212"/>
      <c r="QIT107" s="212"/>
      <c r="QIU107" s="212"/>
      <c r="QIV107" s="212"/>
      <c r="QIW107" s="212"/>
      <c r="QIX107" s="212"/>
      <c r="QIY107" s="212"/>
      <c r="QIZ107" s="212"/>
      <c r="QJA107" s="212"/>
      <c r="QJB107" s="212"/>
      <c r="QJC107" s="212"/>
      <c r="QJD107" s="212"/>
      <c r="QJE107" s="212"/>
      <c r="QJF107" s="212"/>
      <c r="QJG107" s="212"/>
      <c r="QJH107" s="212"/>
      <c r="QJI107" s="212"/>
      <c r="QJJ107" s="212"/>
      <c r="QJK107" s="212"/>
      <c r="QJL107" s="212"/>
      <c r="QJM107" s="212"/>
      <c r="QJN107" s="212"/>
      <c r="QJO107" s="212"/>
      <c r="QJP107" s="212"/>
      <c r="QJQ107" s="212"/>
      <c r="QJR107" s="212"/>
      <c r="QJS107" s="212"/>
      <c r="QJT107" s="212"/>
      <c r="QJU107" s="212"/>
      <c r="QJV107" s="212"/>
      <c r="QJW107" s="212"/>
      <c r="QJX107" s="212"/>
      <c r="QJY107" s="212"/>
      <c r="QJZ107" s="212"/>
      <c r="QKA107" s="212"/>
      <c r="QKB107" s="212"/>
      <c r="QKC107" s="212"/>
      <c r="QKD107" s="212"/>
      <c r="QKE107" s="212"/>
      <c r="QKF107" s="212"/>
      <c r="QKG107" s="212"/>
      <c r="QKH107" s="212"/>
      <c r="QKI107" s="212"/>
      <c r="QKJ107" s="212"/>
      <c r="QKK107" s="212"/>
      <c r="QKL107" s="212"/>
      <c r="QKM107" s="212"/>
      <c r="QKN107" s="212"/>
      <c r="QKO107" s="212"/>
      <c r="QKP107" s="212"/>
      <c r="QKQ107" s="212"/>
      <c r="QKR107" s="212"/>
      <c r="QKS107" s="212"/>
      <c r="QKT107" s="212"/>
      <c r="QKU107" s="212"/>
      <c r="QKV107" s="212"/>
      <c r="QKW107" s="212"/>
      <c r="QKX107" s="212"/>
      <c r="QKY107" s="212"/>
      <c r="QKZ107" s="212"/>
      <c r="QLA107" s="212"/>
      <c r="QLB107" s="212"/>
      <c r="QLC107" s="212"/>
      <c r="QLD107" s="212"/>
      <c r="QLE107" s="212"/>
      <c r="QLF107" s="212"/>
      <c r="QLG107" s="212"/>
      <c r="QLH107" s="212"/>
      <c r="QLI107" s="212"/>
      <c r="QLJ107" s="212"/>
      <c r="QLK107" s="212"/>
      <c r="QLL107" s="212"/>
      <c r="QLM107" s="212"/>
      <c r="QLN107" s="212"/>
      <c r="QLO107" s="212"/>
      <c r="QLP107" s="212"/>
      <c r="QLQ107" s="212"/>
      <c r="QLR107" s="212"/>
      <c r="QLS107" s="212"/>
      <c r="QLT107" s="212"/>
      <c r="QLU107" s="212"/>
      <c r="QLV107" s="212"/>
      <c r="QLW107" s="212"/>
      <c r="QLX107" s="212"/>
      <c r="QLY107" s="212"/>
      <c r="QLZ107" s="212"/>
      <c r="QMA107" s="212"/>
      <c r="QMB107" s="212"/>
      <c r="QMC107" s="212"/>
      <c r="QMD107" s="212"/>
      <c r="QME107" s="212"/>
      <c r="QMF107" s="212"/>
      <c r="QMG107" s="212"/>
      <c r="QMH107" s="212"/>
      <c r="QMI107" s="212"/>
      <c r="QMJ107" s="212"/>
      <c r="QMK107" s="212"/>
      <c r="QML107" s="212"/>
      <c r="QMM107" s="212"/>
      <c r="QMN107" s="212"/>
      <c r="QMO107" s="212"/>
      <c r="QMP107" s="212"/>
      <c r="QMQ107" s="212"/>
      <c r="QMR107" s="212"/>
      <c r="QMS107" s="212"/>
      <c r="QMT107" s="212"/>
      <c r="QMU107" s="212"/>
      <c r="QMV107" s="212"/>
      <c r="QMW107" s="212"/>
      <c r="QMX107" s="212"/>
      <c r="QMY107" s="212"/>
      <c r="QMZ107" s="212"/>
      <c r="QNA107" s="212"/>
      <c r="QNB107" s="212"/>
      <c r="QNC107" s="212"/>
      <c r="QND107" s="212"/>
      <c r="QNE107" s="212"/>
      <c r="QNF107" s="212"/>
      <c r="QNG107" s="212"/>
      <c r="QNH107" s="212"/>
      <c r="QNI107" s="212"/>
      <c r="QNJ107" s="212"/>
      <c r="QNK107" s="212"/>
      <c r="QNL107" s="212"/>
      <c r="QNM107" s="212"/>
      <c r="QNN107" s="212"/>
      <c r="QNO107" s="212"/>
      <c r="QNP107" s="212"/>
      <c r="QNQ107" s="212"/>
      <c r="QNR107" s="212"/>
      <c r="QNS107" s="212"/>
      <c r="QNT107" s="212"/>
      <c r="QNU107" s="212"/>
      <c r="QNV107" s="212"/>
      <c r="QNW107" s="212"/>
      <c r="QNX107" s="212"/>
      <c r="QNY107" s="212"/>
      <c r="QNZ107" s="212"/>
      <c r="QOA107" s="212"/>
      <c r="QOB107" s="212"/>
      <c r="QOC107" s="212"/>
      <c r="QOD107" s="212"/>
      <c r="QOE107" s="212"/>
      <c r="QOF107" s="212"/>
      <c r="QOG107" s="212"/>
      <c r="QOH107" s="212"/>
      <c r="QOI107" s="212"/>
      <c r="QOJ107" s="212"/>
      <c r="QOK107" s="212"/>
      <c r="QOL107" s="212"/>
      <c r="QOM107" s="212"/>
      <c r="QON107" s="212"/>
      <c r="QOO107" s="212"/>
      <c r="QOP107" s="212"/>
      <c r="QOQ107" s="212"/>
      <c r="QOR107" s="212"/>
      <c r="QOS107" s="212"/>
      <c r="QOT107" s="212"/>
      <c r="QOU107" s="212"/>
      <c r="QOV107" s="212"/>
      <c r="QOW107" s="212"/>
      <c r="QOX107" s="212"/>
      <c r="QOY107" s="212"/>
      <c r="QOZ107" s="212"/>
      <c r="QPA107" s="212"/>
      <c r="QPB107" s="212"/>
      <c r="QPC107" s="212"/>
      <c r="QPD107" s="212"/>
      <c r="QPE107" s="212"/>
      <c r="QPF107" s="212"/>
      <c r="QPG107" s="212"/>
      <c r="QPH107" s="212"/>
      <c r="QPI107" s="212"/>
      <c r="QPJ107" s="212"/>
      <c r="QPK107" s="212"/>
      <c r="QPL107" s="212"/>
      <c r="QPM107" s="212"/>
      <c r="QPN107" s="212"/>
      <c r="QPO107" s="212"/>
      <c r="QPP107" s="212"/>
      <c r="QPQ107" s="212"/>
      <c r="QPR107" s="212"/>
      <c r="QPS107" s="212"/>
      <c r="QPT107" s="212"/>
      <c r="QPU107" s="212"/>
      <c r="QPV107" s="212"/>
      <c r="QPW107" s="212"/>
      <c r="QPX107" s="212"/>
      <c r="QPY107" s="212"/>
      <c r="QPZ107" s="212"/>
      <c r="QQA107" s="212"/>
      <c r="QQB107" s="212"/>
      <c r="QQC107" s="212"/>
      <c r="QQD107" s="212"/>
      <c r="QQE107" s="212"/>
      <c r="QQF107" s="212"/>
      <c r="QQG107" s="212"/>
      <c r="QQH107" s="212"/>
      <c r="QQI107" s="212"/>
      <c r="QQJ107" s="212"/>
      <c r="QQK107" s="212"/>
      <c r="QQL107" s="212"/>
      <c r="QQM107" s="212"/>
      <c r="QQN107" s="212"/>
      <c r="QQO107" s="212"/>
      <c r="QQP107" s="212"/>
      <c r="QQQ107" s="212"/>
      <c r="QQR107" s="212"/>
      <c r="QQS107" s="212"/>
      <c r="QQT107" s="212"/>
      <c r="QQU107" s="212"/>
      <c r="QQV107" s="212"/>
      <c r="QQW107" s="212"/>
      <c r="QQX107" s="212"/>
      <c r="QQY107" s="212"/>
      <c r="QQZ107" s="212"/>
      <c r="QRA107" s="212"/>
      <c r="QRB107" s="212"/>
      <c r="QRC107" s="212"/>
      <c r="QRD107" s="212"/>
      <c r="QRE107" s="212"/>
      <c r="QRF107" s="212"/>
      <c r="QRG107" s="212"/>
      <c r="QRH107" s="212"/>
      <c r="QRI107" s="212"/>
      <c r="QRJ107" s="212"/>
      <c r="QRK107" s="212"/>
      <c r="QRL107" s="212"/>
      <c r="QRM107" s="212"/>
      <c r="QRN107" s="212"/>
      <c r="QRO107" s="212"/>
      <c r="QRP107" s="212"/>
      <c r="QRQ107" s="212"/>
      <c r="QRR107" s="212"/>
      <c r="QRS107" s="212"/>
      <c r="QRT107" s="212"/>
      <c r="QRU107" s="212"/>
      <c r="QRV107" s="212"/>
      <c r="QRW107" s="212"/>
      <c r="QRX107" s="212"/>
      <c r="QRY107" s="212"/>
      <c r="QRZ107" s="212"/>
      <c r="QSA107" s="212"/>
      <c r="QSB107" s="212"/>
      <c r="QSC107" s="212"/>
      <c r="QSD107" s="212"/>
      <c r="QSE107" s="212"/>
      <c r="QSF107" s="212"/>
      <c r="QSG107" s="212"/>
      <c r="QSH107" s="212"/>
      <c r="QSI107" s="212"/>
      <c r="QSJ107" s="212"/>
      <c r="QSK107" s="212"/>
      <c r="QSL107" s="212"/>
      <c r="QSM107" s="212"/>
      <c r="QSN107" s="212"/>
      <c r="QSO107" s="212"/>
      <c r="QSP107" s="212"/>
      <c r="QSQ107" s="212"/>
      <c r="QSR107" s="212"/>
      <c r="QSS107" s="212"/>
      <c r="QST107" s="212"/>
      <c r="QSU107" s="212"/>
      <c r="QSV107" s="212"/>
      <c r="QSW107" s="212"/>
      <c r="QSX107" s="212"/>
      <c r="QSY107" s="212"/>
      <c r="QSZ107" s="212"/>
      <c r="QTA107" s="212"/>
      <c r="QTB107" s="212"/>
      <c r="QTC107" s="212"/>
      <c r="QTD107" s="212"/>
      <c r="QTE107" s="212"/>
      <c r="QTF107" s="212"/>
      <c r="QTG107" s="212"/>
      <c r="QTH107" s="212"/>
      <c r="QTI107" s="212"/>
      <c r="QTJ107" s="212"/>
      <c r="QTK107" s="212"/>
      <c r="QTL107" s="212"/>
      <c r="QTM107" s="212"/>
      <c r="QTN107" s="212"/>
      <c r="QTO107" s="212"/>
      <c r="QTP107" s="212"/>
      <c r="QTQ107" s="212"/>
      <c r="QTR107" s="212"/>
      <c r="QTS107" s="212"/>
      <c r="QTT107" s="212"/>
      <c r="QTU107" s="212"/>
      <c r="QTV107" s="212"/>
      <c r="QTW107" s="212"/>
      <c r="QTX107" s="212"/>
      <c r="QTY107" s="212"/>
      <c r="QTZ107" s="212"/>
      <c r="QUA107" s="212"/>
      <c r="QUB107" s="212"/>
      <c r="QUC107" s="212"/>
      <c r="QUD107" s="212"/>
      <c r="QUE107" s="212"/>
      <c r="QUF107" s="212"/>
      <c r="QUG107" s="212"/>
      <c r="QUH107" s="212"/>
      <c r="QUI107" s="212"/>
      <c r="QUJ107" s="212"/>
      <c r="QUK107" s="212"/>
      <c r="QUL107" s="212"/>
      <c r="QUM107" s="212"/>
      <c r="QUN107" s="212"/>
      <c r="QUO107" s="212"/>
      <c r="QUP107" s="212"/>
      <c r="QUQ107" s="212"/>
      <c r="QUR107" s="212"/>
      <c r="QUS107" s="212"/>
      <c r="QUT107" s="212"/>
      <c r="QUU107" s="212"/>
      <c r="QUV107" s="212"/>
      <c r="QUW107" s="212"/>
      <c r="QUX107" s="212"/>
      <c r="QUY107" s="212"/>
      <c r="QUZ107" s="212"/>
      <c r="QVA107" s="212"/>
      <c r="QVB107" s="212"/>
      <c r="QVC107" s="212"/>
      <c r="QVD107" s="212"/>
      <c r="QVE107" s="212"/>
      <c r="QVF107" s="212"/>
      <c r="QVG107" s="212"/>
      <c r="QVH107" s="212"/>
      <c r="QVI107" s="212"/>
      <c r="QVJ107" s="212"/>
      <c r="QVK107" s="212"/>
      <c r="QVL107" s="212"/>
      <c r="QVM107" s="212"/>
      <c r="QVN107" s="212"/>
      <c r="QVO107" s="212"/>
      <c r="QVP107" s="212"/>
      <c r="QVQ107" s="212"/>
      <c r="QVR107" s="212"/>
      <c r="QVS107" s="212"/>
      <c r="QVT107" s="212"/>
      <c r="QVU107" s="212"/>
      <c r="QVV107" s="212"/>
      <c r="QVW107" s="212"/>
      <c r="QVX107" s="212"/>
      <c r="QVY107" s="212"/>
      <c r="QVZ107" s="212"/>
      <c r="QWA107" s="212"/>
      <c r="QWB107" s="212"/>
      <c r="QWC107" s="212"/>
      <c r="QWD107" s="212"/>
      <c r="QWE107" s="212"/>
      <c r="QWF107" s="212"/>
      <c r="QWG107" s="212"/>
      <c r="QWH107" s="212"/>
      <c r="QWI107" s="212"/>
      <c r="QWJ107" s="212"/>
      <c r="QWK107" s="212"/>
      <c r="QWL107" s="212"/>
      <c r="QWM107" s="212"/>
      <c r="QWN107" s="212"/>
      <c r="QWO107" s="212"/>
      <c r="QWP107" s="212"/>
      <c r="QWQ107" s="212"/>
      <c r="QWR107" s="212"/>
      <c r="QWS107" s="212"/>
      <c r="QWT107" s="212"/>
      <c r="QWU107" s="212"/>
      <c r="QWV107" s="212"/>
      <c r="QWW107" s="212"/>
      <c r="QWX107" s="212"/>
      <c r="QWY107" s="212"/>
      <c r="QWZ107" s="212"/>
      <c r="QXA107" s="212"/>
      <c r="QXB107" s="212"/>
      <c r="QXC107" s="212"/>
      <c r="QXD107" s="212"/>
      <c r="QXE107" s="212"/>
      <c r="QXF107" s="212"/>
      <c r="QXG107" s="212"/>
      <c r="QXH107" s="212"/>
      <c r="QXI107" s="212"/>
      <c r="QXJ107" s="212"/>
      <c r="QXK107" s="212"/>
      <c r="QXL107" s="212"/>
      <c r="QXM107" s="212"/>
      <c r="QXN107" s="212"/>
      <c r="QXO107" s="212"/>
      <c r="QXP107" s="212"/>
      <c r="QXQ107" s="212"/>
      <c r="QXR107" s="212"/>
      <c r="QXS107" s="212"/>
      <c r="QXT107" s="212"/>
      <c r="QXU107" s="212"/>
      <c r="QXV107" s="212"/>
      <c r="QXW107" s="212"/>
      <c r="QXX107" s="212"/>
      <c r="QXY107" s="212"/>
      <c r="QXZ107" s="212"/>
      <c r="QYA107" s="212"/>
      <c r="QYB107" s="212"/>
      <c r="QYC107" s="212"/>
      <c r="QYD107" s="212"/>
      <c r="QYE107" s="212"/>
      <c r="QYF107" s="212"/>
      <c r="QYG107" s="212"/>
      <c r="QYH107" s="212"/>
      <c r="QYI107" s="212"/>
      <c r="QYJ107" s="212"/>
      <c r="QYK107" s="212"/>
      <c r="QYL107" s="212"/>
      <c r="QYM107" s="212"/>
      <c r="QYN107" s="212"/>
      <c r="QYO107" s="212"/>
      <c r="QYP107" s="212"/>
      <c r="QYQ107" s="212"/>
      <c r="QYR107" s="212"/>
      <c r="QYS107" s="212"/>
      <c r="QYT107" s="212"/>
      <c r="QYU107" s="212"/>
      <c r="QYV107" s="212"/>
      <c r="QYW107" s="212"/>
      <c r="QYX107" s="212"/>
      <c r="QYY107" s="212"/>
      <c r="QYZ107" s="212"/>
      <c r="QZA107" s="212"/>
      <c r="QZB107" s="212"/>
      <c r="QZC107" s="212"/>
      <c r="QZD107" s="212"/>
      <c r="QZE107" s="212"/>
      <c r="QZF107" s="212"/>
      <c r="QZG107" s="212"/>
      <c r="QZH107" s="212"/>
      <c r="QZI107" s="212"/>
      <c r="QZJ107" s="212"/>
      <c r="QZK107" s="212"/>
      <c r="QZL107" s="212"/>
      <c r="QZM107" s="212"/>
      <c r="QZN107" s="212"/>
      <c r="QZO107" s="212"/>
      <c r="QZP107" s="212"/>
      <c r="QZQ107" s="212"/>
      <c r="QZR107" s="212"/>
      <c r="QZS107" s="212"/>
      <c r="QZT107" s="212"/>
      <c r="QZU107" s="212"/>
      <c r="QZV107" s="212"/>
      <c r="QZW107" s="212"/>
      <c r="QZX107" s="212"/>
      <c r="QZY107" s="212"/>
      <c r="QZZ107" s="212"/>
      <c r="RAA107" s="212"/>
      <c r="RAB107" s="212"/>
      <c r="RAC107" s="212"/>
      <c r="RAD107" s="212"/>
      <c r="RAE107" s="212"/>
      <c r="RAF107" s="212"/>
      <c r="RAG107" s="212"/>
      <c r="RAH107" s="212"/>
      <c r="RAI107" s="212"/>
      <c r="RAJ107" s="212"/>
      <c r="RAK107" s="212"/>
      <c r="RAL107" s="212"/>
      <c r="RAM107" s="212"/>
      <c r="RAN107" s="212"/>
      <c r="RAO107" s="212"/>
      <c r="RAP107" s="212"/>
      <c r="RAQ107" s="212"/>
      <c r="RAR107" s="212"/>
      <c r="RAS107" s="212"/>
      <c r="RAT107" s="212"/>
      <c r="RAU107" s="212"/>
      <c r="RAV107" s="212"/>
      <c r="RAW107" s="212"/>
      <c r="RAX107" s="212"/>
      <c r="RAY107" s="212"/>
      <c r="RAZ107" s="212"/>
      <c r="RBA107" s="212"/>
      <c r="RBB107" s="212"/>
      <c r="RBC107" s="212"/>
      <c r="RBD107" s="212"/>
      <c r="RBE107" s="212"/>
      <c r="RBF107" s="212"/>
      <c r="RBG107" s="212"/>
      <c r="RBH107" s="212"/>
      <c r="RBI107" s="212"/>
      <c r="RBJ107" s="212"/>
      <c r="RBK107" s="212"/>
      <c r="RBL107" s="212"/>
      <c r="RBM107" s="212"/>
      <c r="RBN107" s="212"/>
      <c r="RBO107" s="212"/>
      <c r="RBP107" s="212"/>
      <c r="RBQ107" s="212"/>
      <c r="RBR107" s="212"/>
      <c r="RBS107" s="212"/>
      <c r="RBT107" s="212"/>
      <c r="RBU107" s="212"/>
      <c r="RBV107" s="212"/>
      <c r="RBW107" s="212"/>
      <c r="RBX107" s="212"/>
      <c r="RBY107" s="212"/>
      <c r="RBZ107" s="212"/>
      <c r="RCA107" s="212"/>
      <c r="RCB107" s="212"/>
      <c r="RCC107" s="212"/>
      <c r="RCD107" s="212"/>
      <c r="RCE107" s="212"/>
      <c r="RCF107" s="212"/>
      <c r="RCG107" s="212"/>
      <c r="RCH107" s="212"/>
      <c r="RCI107" s="212"/>
      <c r="RCJ107" s="212"/>
      <c r="RCK107" s="212"/>
      <c r="RCL107" s="212"/>
      <c r="RCM107" s="212"/>
      <c r="RCN107" s="212"/>
      <c r="RCO107" s="212"/>
      <c r="RCP107" s="212"/>
      <c r="RCQ107" s="212"/>
      <c r="RCR107" s="212"/>
      <c r="RCS107" s="212"/>
      <c r="RCT107" s="212"/>
      <c r="RCU107" s="212"/>
      <c r="RCV107" s="212"/>
      <c r="RCW107" s="212"/>
      <c r="RCX107" s="212"/>
      <c r="RCY107" s="212"/>
      <c r="RCZ107" s="212"/>
      <c r="RDA107" s="212"/>
      <c r="RDB107" s="212"/>
      <c r="RDC107" s="212"/>
      <c r="RDD107" s="212"/>
      <c r="RDE107" s="212"/>
      <c r="RDF107" s="212"/>
      <c r="RDG107" s="212"/>
      <c r="RDH107" s="212"/>
      <c r="RDI107" s="212"/>
      <c r="RDJ107" s="212"/>
      <c r="RDK107" s="212"/>
      <c r="RDL107" s="212"/>
      <c r="RDM107" s="212"/>
      <c r="RDN107" s="212"/>
      <c r="RDO107" s="212"/>
      <c r="RDP107" s="212"/>
      <c r="RDQ107" s="212"/>
      <c r="RDR107" s="212"/>
      <c r="RDS107" s="212"/>
      <c r="RDT107" s="212"/>
      <c r="RDU107" s="212"/>
      <c r="RDV107" s="212"/>
      <c r="RDW107" s="212"/>
      <c r="RDX107" s="212"/>
      <c r="RDY107" s="212"/>
      <c r="RDZ107" s="212"/>
      <c r="REA107" s="212"/>
      <c r="REB107" s="212"/>
      <c r="REC107" s="212"/>
      <c r="RED107" s="212"/>
      <c r="REE107" s="212"/>
      <c r="REF107" s="212"/>
      <c r="REG107" s="212"/>
      <c r="REH107" s="212"/>
      <c r="REI107" s="212"/>
      <c r="REJ107" s="212"/>
      <c r="REK107" s="212"/>
      <c r="REL107" s="212"/>
      <c r="REM107" s="212"/>
      <c r="REN107" s="212"/>
      <c r="REO107" s="212"/>
      <c r="REP107" s="212"/>
      <c r="REQ107" s="212"/>
      <c r="RER107" s="212"/>
      <c r="RES107" s="212"/>
      <c r="RET107" s="212"/>
      <c r="REU107" s="212"/>
      <c r="REV107" s="212"/>
      <c r="REW107" s="212"/>
      <c r="REX107" s="212"/>
      <c r="REY107" s="212"/>
      <c r="REZ107" s="212"/>
      <c r="RFA107" s="212"/>
      <c r="RFB107" s="212"/>
      <c r="RFC107" s="212"/>
      <c r="RFD107" s="212"/>
      <c r="RFE107" s="212"/>
      <c r="RFF107" s="212"/>
      <c r="RFG107" s="212"/>
      <c r="RFH107" s="212"/>
      <c r="RFI107" s="212"/>
      <c r="RFJ107" s="212"/>
      <c r="RFK107" s="212"/>
      <c r="RFL107" s="212"/>
      <c r="RFM107" s="212"/>
      <c r="RFN107" s="212"/>
      <c r="RFO107" s="212"/>
      <c r="RFP107" s="212"/>
      <c r="RFQ107" s="212"/>
      <c r="RFR107" s="212"/>
      <c r="RFS107" s="212"/>
      <c r="RFT107" s="212"/>
      <c r="RFU107" s="212"/>
      <c r="RFV107" s="212"/>
      <c r="RFW107" s="212"/>
      <c r="RFX107" s="212"/>
      <c r="RFY107" s="212"/>
      <c r="RFZ107" s="212"/>
      <c r="RGA107" s="212"/>
      <c r="RGB107" s="212"/>
      <c r="RGC107" s="212"/>
      <c r="RGD107" s="212"/>
      <c r="RGE107" s="212"/>
      <c r="RGF107" s="212"/>
      <c r="RGG107" s="212"/>
      <c r="RGH107" s="212"/>
      <c r="RGI107" s="212"/>
      <c r="RGJ107" s="212"/>
      <c r="RGK107" s="212"/>
      <c r="RGL107" s="212"/>
      <c r="RGM107" s="212"/>
      <c r="RGN107" s="212"/>
      <c r="RGO107" s="212"/>
      <c r="RGP107" s="212"/>
      <c r="RGQ107" s="212"/>
      <c r="RGR107" s="212"/>
      <c r="RGS107" s="212"/>
      <c r="RGT107" s="212"/>
      <c r="RGU107" s="212"/>
      <c r="RGV107" s="212"/>
      <c r="RGW107" s="212"/>
      <c r="RGX107" s="212"/>
      <c r="RGY107" s="212"/>
      <c r="RGZ107" s="212"/>
      <c r="RHA107" s="212"/>
      <c r="RHB107" s="212"/>
      <c r="RHC107" s="212"/>
      <c r="RHD107" s="212"/>
      <c r="RHE107" s="212"/>
      <c r="RHF107" s="212"/>
      <c r="RHG107" s="212"/>
      <c r="RHH107" s="212"/>
      <c r="RHI107" s="212"/>
      <c r="RHJ107" s="212"/>
      <c r="RHK107" s="212"/>
      <c r="RHL107" s="212"/>
      <c r="RHM107" s="212"/>
      <c r="RHN107" s="212"/>
      <c r="RHO107" s="212"/>
      <c r="RHP107" s="212"/>
      <c r="RHQ107" s="212"/>
      <c r="RHR107" s="212"/>
      <c r="RHS107" s="212"/>
      <c r="RHT107" s="212"/>
      <c r="RHU107" s="212"/>
      <c r="RHV107" s="212"/>
      <c r="RHW107" s="212"/>
      <c r="RHX107" s="212"/>
      <c r="RHY107" s="212"/>
      <c r="RHZ107" s="212"/>
      <c r="RIA107" s="212"/>
      <c r="RIB107" s="212"/>
      <c r="RIC107" s="212"/>
      <c r="RID107" s="212"/>
      <c r="RIE107" s="212"/>
      <c r="RIF107" s="212"/>
      <c r="RIG107" s="212"/>
      <c r="RIH107" s="212"/>
      <c r="RII107" s="212"/>
      <c r="RIJ107" s="212"/>
      <c r="RIK107" s="212"/>
      <c r="RIL107" s="212"/>
      <c r="RIM107" s="212"/>
      <c r="RIN107" s="212"/>
      <c r="RIO107" s="212"/>
      <c r="RIP107" s="212"/>
      <c r="RIQ107" s="212"/>
      <c r="RIR107" s="212"/>
      <c r="RIS107" s="212"/>
      <c r="RIT107" s="212"/>
      <c r="RIU107" s="212"/>
      <c r="RIV107" s="212"/>
      <c r="RIW107" s="212"/>
      <c r="RIX107" s="212"/>
      <c r="RIY107" s="212"/>
      <c r="RIZ107" s="212"/>
      <c r="RJA107" s="212"/>
      <c r="RJB107" s="212"/>
      <c r="RJC107" s="212"/>
      <c r="RJD107" s="212"/>
      <c r="RJE107" s="212"/>
      <c r="RJF107" s="212"/>
      <c r="RJG107" s="212"/>
      <c r="RJH107" s="212"/>
      <c r="RJI107" s="212"/>
      <c r="RJJ107" s="212"/>
      <c r="RJK107" s="212"/>
      <c r="RJL107" s="212"/>
      <c r="RJM107" s="212"/>
      <c r="RJN107" s="212"/>
      <c r="RJO107" s="212"/>
      <c r="RJP107" s="212"/>
      <c r="RJQ107" s="212"/>
      <c r="RJR107" s="212"/>
      <c r="RJS107" s="212"/>
      <c r="RJT107" s="212"/>
      <c r="RJU107" s="212"/>
      <c r="RJV107" s="212"/>
      <c r="RJW107" s="212"/>
      <c r="RJX107" s="212"/>
      <c r="RJY107" s="212"/>
      <c r="RJZ107" s="212"/>
      <c r="RKA107" s="212"/>
      <c r="RKB107" s="212"/>
      <c r="RKC107" s="212"/>
      <c r="RKD107" s="212"/>
      <c r="RKE107" s="212"/>
      <c r="RKF107" s="212"/>
      <c r="RKG107" s="212"/>
      <c r="RKH107" s="212"/>
      <c r="RKI107" s="212"/>
      <c r="RKJ107" s="212"/>
      <c r="RKK107" s="212"/>
      <c r="RKL107" s="212"/>
      <c r="RKM107" s="212"/>
      <c r="RKN107" s="212"/>
      <c r="RKO107" s="212"/>
      <c r="RKP107" s="212"/>
      <c r="RKQ107" s="212"/>
      <c r="RKR107" s="212"/>
      <c r="RKS107" s="212"/>
      <c r="RKT107" s="212"/>
      <c r="RKU107" s="212"/>
      <c r="RKV107" s="212"/>
      <c r="RKW107" s="212"/>
      <c r="RKX107" s="212"/>
      <c r="RKY107" s="212"/>
      <c r="RKZ107" s="212"/>
      <c r="RLA107" s="212"/>
      <c r="RLB107" s="212"/>
      <c r="RLC107" s="212"/>
      <c r="RLD107" s="212"/>
      <c r="RLE107" s="212"/>
      <c r="RLF107" s="212"/>
      <c r="RLG107" s="212"/>
      <c r="RLH107" s="212"/>
      <c r="RLI107" s="212"/>
      <c r="RLJ107" s="212"/>
      <c r="RLK107" s="212"/>
      <c r="RLL107" s="212"/>
      <c r="RLM107" s="212"/>
      <c r="RLN107" s="212"/>
      <c r="RLO107" s="212"/>
      <c r="RLP107" s="212"/>
      <c r="RLQ107" s="212"/>
      <c r="RLR107" s="212"/>
      <c r="RLS107" s="212"/>
      <c r="RLT107" s="212"/>
      <c r="RLU107" s="212"/>
      <c r="RLV107" s="212"/>
      <c r="RLW107" s="212"/>
      <c r="RLX107" s="212"/>
      <c r="RLY107" s="212"/>
      <c r="RLZ107" s="212"/>
      <c r="RMA107" s="212"/>
      <c r="RMB107" s="212"/>
      <c r="RMC107" s="212"/>
      <c r="RMD107" s="212"/>
      <c r="RME107" s="212"/>
      <c r="RMF107" s="212"/>
      <c r="RMG107" s="212"/>
      <c r="RMH107" s="212"/>
      <c r="RMI107" s="212"/>
      <c r="RMJ107" s="212"/>
      <c r="RMK107" s="212"/>
      <c r="RML107" s="212"/>
      <c r="RMM107" s="212"/>
      <c r="RMN107" s="212"/>
      <c r="RMO107" s="212"/>
      <c r="RMP107" s="212"/>
      <c r="RMQ107" s="212"/>
      <c r="RMR107" s="212"/>
      <c r="RMS107" s="212"/>
      <c r="RMT107" s="212"/>
      <c r="RMU107" s="212"/>
      <c r="RMV107" s="212"/>
      <c r="RMW107" s="212"/>
      <c r="RMX107" s="212"/>
      <c r="RMY107" s="212"/>
      <c r="RMZ107" s="212"/>
      <c r="RNA107" s="212"/>
      <c r="RNB107" s="212"/>
      <c r="RNC107" s="212"/>
      <c r="RND107" s="212"/>
      <c r="RNE107" s="212"/>
      <c r="RNF107" s="212"/>
      <c r="RNG107" s="212"/>
      <c r="RNH107" s="212"/>
      <c r="RNI107" s="212"/>
      <c r="RNJ107" s="212"/>
      <c r="RNK107" s="212"/>
      <c r="RNL107" s="212"/>
      <c r="RNM107" s="212"/>
      <c r="RNN107" s="212"/>
      <c r="RNO107" s="212"/>
      <c r="RNP107" s="212"/>
      <c r="RNQ107" s="212"/>
      <c r="RNR107" s="212"/>
      <c r="RNS107" s="212"/>
      <c r="RNT107" s="212"/>
      <c r="RNU107" s="212"/>
      <c r="RNV107" s="212"/>
      <c r="RNW107" s="212"/>
      <c r="RNX107" s="212"/>
      <c r="RNY107" s="212"/>
      <c r="RNZ107" s="212"/>
      <c r="ROA107" s="212"/>
      <c r="ROB107" s="212"/>
      <c r="ROC107" s="212"/>
      <c r="ROD107" s="212"/>
      <c r="ROE107" s="212"/>
      <c r="ROF107" s="212"/>
      <c r="ROG107" s="212"/>
      <c r="ROH107" s="212"/>
      <c r="ROI107" s="212"/>
      <c r="ROJ107" s="212"/>
      <c r="ROK107" s="212"/>
      <c r="ROL107" s="212"/>
      <c r="ROM107" s="212"/>
      <c r="RON107" s="212"/>
      <c r="ROO107" s="212"/>
      <c r="ROP107" s="212"/>
      <c r="ROQ107" s="212"/>
      <c r="ROR107" s="212"/>
      <c r="ROS107" s="212"/>
      <c r="ROT107" s="212"/>
      <c r="ROU107" s="212"/>
      <c r="ROV107" s="212"/>
      <c r="ROW107" s="212"/>
      <c r="ROX107" s="212"/>
      <c r="ROY107" s="212"/>
      <c r="ROZ107" s="212"/>
      <c r="RPA107" s="212"/>
      <c r="RPB107" s="212"/>
      <c r="RPC107" s="212"/>
      <c r="RPD107" s="212"/>
      <c r="RPE107" s="212"/>
      <c r="RPF107" s="212"/>
      <c r="RPG107" s="212"/>
      <c r="RPH107" s="212"/>
      <c r="RPI107" s="212"/>
      <c r="RPJ107" s="212"/>
      <c r="RPK107" s="212"/>
      <c r="RPL107" s="212"/>
      <c r="RPM107" s="212"/>
      <c r="RPN107" s="212"/>
      <c r="RPO107" s="212"/>
      <c r="RPP107" s="212"/>
      <c r="RPQ107" s="212"/>
      <c r="RPR107" s="212"/>
      <c r="RPS107" s="212"/>
      <c r="RPT107" s="212"/>
      <c r="RPU107" s="212"/>
      <c r="RPV107" s="212"/>
      <c r="RPW107" s="212"/>
      <c r="RPX107" s="212"/>
      <c r="RPY107" s="212"/>
      <c r="RPZ107" s="212"/>
      <c r="RQA107" s="212"/>
      <c r="RQB107" s="212"/>
      <c r="RQC107" s="212"/>
      <c r="RQD107" s="212"/>
      <c r="RQE107" s="212"/>
      <c r="RQF107" s="212"/>
      <c r="RQG107" s="212"/>
      <c r="RQH107" s="212"/>
      <c r="RQI107" s="212"/>
      <c r="RQJ107" s="212"/>
      <c r="RQK107" s="212"/>
      <c r="RQL107" s="212"/>
      <c r="RQM107" s="212"/>
      <c r="RQN107" s="212"/>
      <c r="RQO107" s="212"/>
      <c r="RQP107" s="212"/>
      <c r="RQQ107" s="212"/>
      <c r="RQR107" s="212"/>
      <c r="RQS107" s="212"/>
      <c r="RQT107" s="212"/>
      <c r="RQU107" s="212"/>
      <c r="RQV107" s="212"/>
      <c r="RQW107" s="212"/>
      <c r="RQX107" s="212"/>
      <c r="RQY107" s="212"/>
      <c r="RQZ107" s="212"/>
      <c r="RRA107" s="212"/>
      <c r="RRB107" s="212"/>
      <c r="RRC107" s="212"/>
      <c r="RRD107" s="212"/>
      <c r="RRE107" s="212"/>
      <c r="RRF107" s="212"/>
      <c r="RRG107" s="212"/>
      <c r="RRH107" s="212"/>
      <c r="RRI107" s="212"/>
      <c r="RRJ107" s="212"/>
      <c r="RRK107" s="212"/>
      <c r="RRL107" s="212"/>
      <c r="RRM107" s="212"/>
      <c r="RRN107" s="212"/>
      <c r="RRO107" s="212"/>
      <c r="RRP107" s="212"/>
      <c r="RRQ107" s="212"/>
      <c r="RRR107" s="212"/>
      <c r="RRS107" s="212"/>
      <c r="RRT107" s="212"/>
      <c r="RRU107" s="212"/>
      <c r="RRV107" s="212"/>
      <c r="RRW107" s="212"/>
      <c r="RRX107" s="212"/>
      <c r="RRY107" s="212"/>
      <c r="RRZ107" s="212"/>
      <c r="RSA107" s="212"/>
      <c r="RSB107" s="212"/>
      <c r="RSC107" s="212"/>
      <c r="RSD107" s="212"/>
      <c r="RSE107" s="212"/>
      <c r="RSF107" s="212"/>
      <c r="RSG107" s="212"/>
      <c r="RSH107" s="212"/>
      <c r="RSI107" s="212"/>
      <c r="RSJ107" s="212"/>
      <c r="RSK107" s="212"/>
      <c r="RSL107" s="212"/>
      <c r="RSM107" s="212"/>
      <c r="RSN107" s="212"/>
      <c r="RSO107" s="212"/>
      <c r="RSP107" s="212"/>
      <c r="RSQ107" s="212"/>
      <c r="RSR107" s="212"/>
      <c r="RSS107" s="212"/>
      <c r="RST107" s="212"/>
      <c r="RSU107" s="212"/>
      <c r="RSV107" s="212"/>
      <c r="RSW107" s="212"/>
      <c r="RSX107" s="212"/>
      <c r="RSY107" s="212"/>
      <c r="RSZ107" s="212"/>
      <c r="RTA107" s="212"/>
      <c r="RTB107" s="212"/>
      <c r="RTC107" s="212"/>
      <c r="RTD107" s="212"/>
      <c r="RTE107" s="212"/>
      <c r="RTF107" s="212"/>
      <c r="RTG107" s="212"/>
      <c r="RTH107" s="212"/>
      <c r="RTI107" s="212"/>
      <c r="RTJ107" s="212"/>
      <c r="RTK107" s="212"/>
      <c r="RTL107" s="212"/>
      <c r="RTM107" s="212"/>
      <c r="RTN107" s="212"/>
      <c r="RTO107" s="212"/>
      <c r="RTP107" s="212"/>
      <c r="RTQ107" s="212"/>
      <c r="RTR107" s="212"/>
      <c r="RTS107" s="212"/>
      <c r="RTT107" s="212"/>
      <c r="RTU107" s="212"/>
      <c r="RTV107" s="212"/>
      <c r="RTW107" s="212"/>
      <c r="RTX107" s="212"/>
      <c r="RTY107" s="212"/>
      <c r="RTZ107" s="212"/>
      <c r="RUA107" s="212"/>
      <c r="RUB107" s="212"/>
      <c r="RUC107" s="212"/>
      <c r="RUD107" s="212"/>
      <c r="RUE107" s="212"/>
      <c r="RUF107" s="212"/>
      <c r="RUG107" s="212"/>
      <c r="RUH107" s="212"/>
      <c r="RUI107" s="212"/>
      <c r="RUJ107" s="212"/>
      <c r="RUK107" s="212"/>
      <c r="RUL107" s="212"/>
      <c r="RUM107" s="212"/>
      <c r="RUN107" s="212"/>
      <c r="RUO107" s="212"/>
      <c r="RUP107" s="212"/>
      <c r="RUQ107" s="212"/>
      <c r="RUR107" s="212"/>
      <c r="RUS107" s="212"/>
      <c r="RUT107" s="212"/>
      <c r="RUU107" s="212"/>
      <c r="RUV107" s="212"/>
      <c r="RUW107" s="212"/>
      <c r="RUX107" s="212"/>
      <c r="RUY107" s="212"/>
      <c r="RUZ107" s="212"/>
      <c r="RVA107" s="212"/>
      <c r="RVB107" s="212"/>
      <c r="RVC107" s="212"/>
      <c r="RVD107" s="212"/>
      <c r="RVE107" s="212"/>
      <c r="RVF107" s="212"/>
      <c r="RVG107" s="212"/>
      <c r="RVH107" s="212"/>
      <c r="RVI107" s="212"/>
      <c r="RVJ107" s="212"/>
      <c r="RVK107" s="212"/>
      <c r="RVL107" s="212"/>
      <c r="RVM107" s="212"/>
      <c r="RVN107" s="212"/>
      <c r="RVO107" s="212"/>
      <c r="RVP107" s="212"/>
      <c r="RVQ107" s="212"/>
      <c r="RVR107" s="212"/>
      <c r="RVS107" s="212"/>
      <c r="RVT107" s="212"/>
      <c r="RVU107" s="212"/>
      <c r="RVV107" s="212"/>
      <c r="RVW107" s="212"/>
      <c r="RVX107" s="212"/>
      <c r="RVY107" s="212"/>
      <c r="RVZ107" s="212"/>
      <c r="RWA107" s="212"/>
      <c r="RWB107" s="212"/>
      <c r="RWC107" s="212"/>
      <c r="RWD107" s="212"/>
      <c r="RWE107" s="212"/>
      <c r="RWF107" s="212"/>
      <c r="RWG107" s="212"/>
      <c r="RWH107" s="212"/>
      <c r="RWI107" s="212"/>
      <c r="RWJ107" s="212"/>
      <c r="RWK107" s="212"/>
      <c r="RWL107" s="212"/>
      <c r="RWM107" s="212"/>
      <c r="RWN107" s="212"/>
      <c r="RWO107" s="212"/>
      <c r="RWP107" s="212"/>
      <c r="RWQ107" s="212"/>
      <c r="RWR107" s="212"/>
      <c r="RWS107" s="212"/>
      <c r="RWT107" s="212"/>
      <c r="RWU107" s="212"/>
      <c r="RWV107" s="212"/>
      <c r="RWW107" s="212"/>
      <c r="RWX107" s="212"/>
      <c r="RWY107" s="212"/>
      <c r="RWZ107" s="212"/>
      <c r="RXA107" s="212"/>
      <c r="RXB107" s="212"/>
      <c r="RXC107" s="212"/>
      <c r="RXD107" s="212"/>
      <c r="RXE107" s="212"/>
      <c r="RXF107" s="212"/>
      <c r="RXG107" s="212"/>
      <c r="RXH107" s="212"/>
      <c r="RXI107" s="212"/>
      <c r="RXJ107" s="212"/>
      <c r="RXK107" s="212"/>
      <c r="RXL107" s="212"/>
      <c r="RXM107" s="212"/>
      <c r="RXN107" s="212"/>
      <c r="RXO107" s="212"/>
      <c r="RXP107" s="212"/>
      <c r="RXQ107" s="212"/>
      <c r="RXR107" s="212"/>
      <c r="RXS107" s="212"/>
      <c r="RXT107" s="212"/>
      <c r="RXU107" s="212"/>
      <c r="RXV107" s="212"/>
      <c r="RXW107" s="212"/>
      <c r="RXX107" s="212"/>
      <c r="RXY107" s="212"/>
      <c r="RXZ107" s="212"/>
      <c r="RYA107" s="212"/>
      <c r="RYB107" s="212"/>
      <c r="RYC107" s="212"/>
      <c r="RYD107" s="212"/>
      <c r="RYE107" s="212"/>
      <c r="RYF107" s="212"/>
      <c r="RYG107" s="212"/>
      <c r="RYH107" s="212"/>
      <c r="RYI107" s="212"/>
      <c r="RYJ107" s="212"/>
      <c r="RYK107" s="212"/>
      <c r="RYL107" s="212"/>
      <c r="RYM107" s="212"/>
      <c r="RYN107" s="212"/>
      <c r="RYO107" s="212"/>
      <c r="RYP107" s="212"/>
      <c r="RYQ107" s="212"/>
      <c r="RYR107" s="212"/>
      <c r="RYS107" s="212"/>
      <c r="RYT107" s="212"/>
      <c r="RYU107" s="212"/>
      <c r="RYV107" s="212"/>
      <c r="RYW107" s="212"/>
      <c r="RYX107" s="212"/>
      <c r="RYY107" s="212"/>
      <c r="RYZ107" s="212"/>
      <c r="RZA107" s="212"/>
      <c r="RZB107" s="212"/>
      <c r="RZC107" s="212"/>
      <c r="RZD107" s="212"/>
      <c r="RZE107" s="212"/>
      <c r="RZF107" s="212"/>
      <c r="RZG107" s="212"/>
      <c r="RZH107" s="212"/>
      <c r="RZI107" s="212"/>
      <c r="RZJ107" s="212"/>
      <c r="RZK107" s="212"/>
      <c r="RZL107" s="212"/>
      <c r="RZM107" s="212"/>
      <c r="RZN107" s="212"/>
      <c r="RZO107" s="212"/>
      <c r="RZP107" s="212"/>
      <c r="RZQ107" s="212"/>
      <c r="RZR107" s="212"/>
      <c r="RZS107" s="212"/>
      <c r="RZT107" s="212"/>
      <c r="RZU107" s="212"/>
      <c r="RZV107" s="212"/>
      <c r="RZW107" s="212"/>
      <c r="RZX107" s="212"/>
      <c r="RZY107" s="212"/>
      <c r="RZZ107" s="212"/>
      <c r="SAA107" s="212"/>
      <c r="SAB107" s="212"/>
      <c r="SAC107" s="212"/>
      <c r="SAD107" s="212"/>
      <c r="SAE107" s="212"/>
      <c r="SAF107" s="212"/>
      <c r="SAG107" s="212"/>
      <c r="SAH107" s="212"/>
      <c r="SAI107" s="212"/>
      <c r="SAJ107" s="212"/>
      <c r="SAK107" s="212"/>
      <c r="SAL107" s="212"/>
      <c r="SAM107" s="212"/>
      <c r="SAN107" s="212"/>
      <c r="SAO107" s="212"/>
      <c r="SAP107" s="212"/>
      <c r="SAQ107" s="212"/>
      <c r="SAR107" s="212"/>
      <c r="SAS107" s="212"/>
      <c r="SAT107" s="212"/>
      <c r="SAU107" s="212"/>
      <c r="SAV107" s="212"/>
      <c r="SAW107" s="212"/>
      <c r="SAX107" s="212"/>
      <c r="SAY107" s="212"/>
      <c r="SAZ107" s="212"/>
      <c r="SBA107" s="212"/>
      <c r="SBB107" s="212"/>
      <c r="SBC107" s="212"/>
      <c r="SBD107" s="212"/>
      <c r="SBE107" s="212"/>
      <c r="SBF107" s="212"/>
      <c r="SBG107" s="212"/>
      <c r="SBH107" s="212"/>
      <c r="SBI107" s="212"/>
      <c r="SBJ107" s="212"/>
      <c r="SBK107" s="212"/>
      <c r="SBL107" s="212"/>
      <c r="SBM107" s="212"/>
      <c r="SBN107" s="212"/>
      <c r="SBO107" s="212"/>
      <c r="SBP107" s="212"/>
      <c r="SBQ107" s="212"/>
      <c r="SBR107" s="212"/>
      <c r="SBS107" s="212"/>
      <c r="SBT107" s="212"/>
      <c r="SBU107" s="212"/>
      <c r="SBV107" s="212"/>
      <c r="SBW107" s="212"/>
      <c r="SBX107" s="212"/>
      <c r="SBY107" s="212"/>
      <c r="SBZ107" s="212"/>
      <c r="SCA107" s="212"/>
      <c r="SCB107" s="212"/>
      <c r="SCC107" s="212"/>
      <c r="SCD107" s="212"/>
      <c r="SCE107" s="212"/>
      <c r="SCF107" s="212"/>
      <c r="SCG107" s="212"/>
      <c r="SCH107" s="212"/>
      <c r="SCI107" s="212"/>
      <c r="SCJ107" s="212"/>
      <c r="SCK107" s="212"/>
      <c r="SCL107" s="212"/>
      <c r="SCM107" s="212"/>
      <c r="SCN107" s="212"/>
      <c r="SCO107" s="212"/>
      <c r="SCP107" s="212"/>
      <c r="SCQ107" s="212"/>
      <c r="SCR107" s="212"/>
      <c r="SCS107" s="212"/>
      <c r="SCT107" s="212"/>
      <c r="SCU107" s="212"/>
      <c r="SCV107" s="212"/>
      <c r="SCW107" s="212"/>
      <c r="SCX107" s="212"/>
      <c r="SCY107" s="212"/>
      <c r="SCZ107" s="212"/>
      <c r="SDA107" s="212"/>
      <c r="SDB107" s="212"/>
      <c r="SDC107" s="212"/>
      <c r="SDD107" s="212"/>
      <c r="SDE107" s="212"/>
      <c r="SDF107" s="212"/>
      <c r="SDG107" s="212"/>
      <c r="SDH107" s="212"/>
      <c r="SDI107" s="212"/>
      <c r="SDJ107" s="212"/>
      <c r="SDK107" s="212"/>
      <c r="SDL107" s="212"/>
      <c r="SDM107" s="212"/>
      <c r="SDN107" s="212"/>
      <c r="SDO107" s="212"/>
      <c r="SDP107" s="212"/>
      <c r="SDQ107" s="212"/>
      <c r="SDR107" s="212"/>
      <c r="SDS107" s="212"/>
      <c r="SDT107" s="212"/>
      <c r="SDU107" s="212"/>
      <c r="SDV107" s="212"/>
      <c r="SDW107" s="212"/>
      <c r="SDX107" s="212"/>
      <c r="SDY107" s="212"/>
      <c r="SDZ107" s="212"/>
      <c r="SEA107" s="212"/>
      <c r="SEB107" s="212"/>
      <c r="SEC107" s="212"/>
      <c r="SED107" s="212"/>
      <c r="SEE107" s="212"/>
      <c r="SEF107" s="212"/>
      <c r="SEG107" s="212"/>
      <c r="SEH107" s="212"/>
      <c r="SEI107" s="212"/>
      <c r="SEJ107" s="212"/>
      <c r="SEK107" s="212"/>
      <c r="SEL107" s="212"/>
      <c r="SEM107" s="212"/>
      <c r="SEN107" s="212"/>
      <c r="SEO107" s="212"/>
      <c r="SEP107" s="212"/>
      <c r="SEQ107" s="212"/>
      <c r="SER107" s="212"/>
      <c r="SES107" s="212"/>
      <c r="SET107" s="212"/>
      <c r="SEU107" s="212"/>
      <c r="SEV107" s="212"/>
      <c r="SEW107" s="212"/>
      <c r="SEX107" s="212"/>
      <c r="SEY107" s="212"/>
      <c r="SEZ107" s="212"/>
      <c r="SFA107" s="212"/>
      <c r="SFB107" s="212"/>
      <c r="SFC107" s="212"/>
      <c r="SFD107" s="212"/>
      <c r="SFE107" s="212"/>
      <c r="SFF107" s="212"/>
      <c r="SFG107" s="212"/>
      <c r="SFH107" s="212"/>
      <c r="SFI107" s="212"/>
      <c r="SFJ107" s="212"/>
      <c r="SFK107" s="212"/>
      <c r="SFL107" s="212"/>
      <c r="SFM107" s="212"/>
      <c r="SFN107" s="212"/>
      <c r="SFO107" s="212"/>
      <c r="SFP107" s="212"/>
      <c r="SFQ107" s="212"/>
      <c r="SFR107" s="212"/>
      <c r="SFS107" s="212"/>
      <c r="SFT107" s="212"/>
      <c r="SFU107" s="212"/>
      <c r="SFV107" s="212"/>
      <c r="SFW107" s="212"/>
      <c r="SFX107" s="212"/>
      <c r="SFY107" s="212"/>
      <c r="SFZ107" s="212"/>
      <c r="SGA107" s="212"/>
      <c r="SGB107" s="212"/>
      <c r="SGC107" s="212"/>
      <c r="SGD107" s="212"/>
      <c r="SGE107" s="212"/>
      <c r="SGF107" s="212"/>
      <c r="SGG107" s="212"/>
      <c r="SGH107" s="212"/>
      <c r="SGI107" s="212"/>
      <c r="SGJ107" s="212"/>
      <c r="SGK107" s="212"/>
      <c r="SGL107" s="212"/>
      <c r="SGM107" s="212"/>
      <c r="SGN107" s="212"/>
      <c r="SGO107" s="212"/>
      <c r="SGP107" s="212"/>
      <c r="SGQ107" s="212"/>
      <c r="SGR107" s="212"/>
      <c r="SGS107" s="212"/>
      <c r="SGT107" s="212"/>
      <c r="SGU107" s="212"/>
      <c r="SGV107" s="212"/>
      <c r="SGW107" s="212"/>
      <c r="SGX107" s="212"/>
      <c r="SGY107" s="212"/>
      <c r="SGZ107" s="212"/>
      <c r="SHA107" s="212"/>
      <c r="SHB107" s="212"/>
      <c r="SHC107" s="212"/>
      <c r="SHD107" s="212"/>
      <c r="SHE107" s="212"/>
      <c r="SHF107" s="212"/>
      <c r="SHG107" s="212"/>
      <c r="SHH107" s="212"/>
      <c r="SHI107" s="212"/>
      <c r="SHJ107" s="212"/>
      <c r="SHK107" s="212"/>
      <c r="SHL107" s="212"/>
      <c r="SHM107" s="212"/>
      <c r="SHN107" s="212"/>
      <c r="SHO107" s="212"/>
      <c r="SHP107" s="212"/>
      <c r="SHQ107" s="212"/>
      <c r="SHR107" s="212"/>
      <c r="SHS107" s="212"/>
      <c r="SHT107" s="212"/>
      <c r="SHU107" s="212"/>
      <c r="SHV107" s="212"/>
      <c r="SHW107" s="212"/>
      <c r="SHX107" s="212"/>
      <c r="SHY107" s="212"/>
      <c r="SHZ107" s="212"/>
      <c r="SIA107" s="212"/>
      <c r="SIB107" s="212"/>
      <c r="SIC107" s="212"/>
      <c r="SID107" s="212"/>
      <c r="SIE107" s="212"/>
      <c r="SIF107" s="212"/>
      <c r="SIG107" s="212"/>
      <c r="SIH107" s="212"/>
      <c r="SII107" s="212"/>
      <c r="SIJ107" s="212"/>
      <c r="SIK107" s="212"/>
      <c r="SIL107" s="212"/>
      <c r="SIM107" s="212"/>
      <c r="SIN107" s="212"/>
      <c r="SIO107" s="212"/>
      <c r="SIP107" s="212"/>
      <c r="SIQ107" s="212"/>
      <c r="SIR107" s="212"/>
      <c r="SIS107" s="212"/>
      <c r="SIT107" s="212"/>
      <c r="SIU107" s="212"/>
      <c r="SIV107" s="212"/>
      <c r="SIW107" s="212"/>
      <c r="SIX107" s="212"/>
      <c r="SIY107" s="212"/>
      <c r="SIZ107" s="212"/>
      <c r="SJA107" s="212"/>
      <c r="SJB107" s="212"/>
      <c r="SJC107" s="212"/>
      <c r="SJD107" s="212"/>
      <c r="SJE107" s="212"/>
      <c r="SJF107" s="212"/>
      <c r="SJG107" s="212"/>
      <c r="SJH107" s="212"/>
      <c r="SJI107" s="212"/>
      <c r="SJJ107" s="212"/>
      <c r="SJK107" s="212"/>
      <c r="SJL107" s="212"/>
      <c r="SJM107" s="212"/>
      <c r="SJN107" s="212"/>
      <c r="SJO107" s="212"/>
      <c r="SJP107" s="212"/>
      <c r="SJQ107" s="212"/>
      <c r="SJR107" s="212"/>
      <c r="SJS107" s="212"/>
      <c r="SJT107" s="212"/>
      <c r="SJU107" s="212"/>
      <c r="SJV107" s="212"/>
      <c r="SJW107" s="212"/>
      <c r="SJX107" s="212"/>
      <c r="SJY107" s="212"/>
      <c r="SJZ107" s="212"/>
      <c r="SKA107" s="212"/>
      <c r="SKB107" s="212"/>
      <c r="SKC107" s="212"/>
      <c r="SKD107" s="212"/>
      <c r="SKE107" s="212"/>
      <c r="SKF107" s="212"/>
      <c r="SKG107" s="212"/>
      <c r="SKH107" s="212"/>
      <c r="SKI107" s="212"/>
      <c r="SKJ107" s="212"/>
      <c r="SKK107" s="212"/>
      <c r="SKL107" s="212"/>
      <c r="SKM107" s="212"/>
      <c r="SKN107" s="212"/>
      <c r="SKO107" s="212"/>
      <c r="SKP107" s="212"/>
      <c r="SKQ107" s="212"/>
      <c r="SKR107" s="212"/>
      <c r="SKS107" s="212"/>
      <c r="SKT107" s="212"/>
      <c r="SKU107" s="212"/>
      <c r="SKV107" s="212"/>
      <c r="SKW107" s="212"/>
      <c r="SKX107" s="212"/>
      <c r="SKY107" s="212"/>
      <c r="SKZ107" s="212"/>
      <c r="SLA107" s="212"/>
      <c r="SLB107" s="212"/>
      <c r="SLC107" s="212"/>
      <c r="SLD107" s="212"/>
      <c r="SLE107" s="212"/>
      <c r="SLF107" s="212"/>
      <c r="SLG107" s="212"/>
      <c r="SLH107" s="212"/>
      <c r="SLI107" s="212"/>
      <c r="SLJ107" s="212"/>
      <c r="SLK107" s="212"/>
      <c r="SLL107" s="212"/>
      <c r="SLM107" s="212"/>
      <c r="SLN107" s="212"/>
      <c r="SLO107" s="212"/>
      <c r="SLP107" s="212"/>
      <c r="SLQ107" s="212"/>
      <c r="SLR107" s="212"/>
      <c r="SLS107" s="212"/>
      <c r="SLT107" s="212"/>
      <c r="SLU107" s="212"/>
      <c r="SLV107" s="212"/>
      <c r="SLW107" s="212"/>
      <c r="SLX107" s="212"/>
      <c r="SLY107" s="212"/>
      <c r="SLZ107" s="212"/>
      <c r="SMA107" s="212"/>
      <c r="SMB107" s="212"/>
      <c r="SMC107" s="212"/>
      <c r="SMD107" s="212"/>
      <c r="SME107" s="212"/>
      <c r="SMF107" s="212"/>
      <c r="SMG107" s="212"/>
      <c r="SMH107" s="212"/>
      <c r="SMI107" s="212"/>
      <c r="SMJ107" s="212"/>
      <c r="SMK107" s="212"/>
      <c r="SML107" s="212"/>
      <c r="SMM107" s="212"/>
      <c r="SMN107" s="212"/>
      <c r="SMO107" s="212"/>
      <c r="SMP107" s="212"/>
      <c r="SMQ107" s="212"/>
      <c r="SMR107" s="212"/>
      <c r="SMS107" s="212"/>
      <c r="SMT107" s="212"/>
      <c r="SMU107" s="212"/>
      <c r="SMV107" s="212"/>
      <c r="SMW107" s="212"/>
      <c r="SMX107" s="212"/>
      <c r="SMY107" s="212"/>
      <c r="SMZ107" s="212"/>
      <c r="SNA107" s="212"/>
      <c r="SNB107" s="212"/>
      <c r="SNC107" s="212"/>
      <c r="SND107" s="212"/>
      <c r="SNE107" s="212"/>
      <c r="SNF107" s="212"/>
      <c r="SNG107" s="212"/>
      <c r="SNH107" s="212"/>
      <c r="SNI107" s="212"/>
      <c r="SNJ107" s="212"/>
      <c r="SNK107" s="212"/>
      <c r="SNL107" s="212"/>
      <c r="SNM107" s="212"/>
      <c r="SNN107" s="212"/>
      <c r="SNO107" s="212"/>
      <c r="SNP107" s="212"/>
      <c r="SNQ107" s="212"/>
      <c r="SNR107" s="212"/>
      <c r="SNS107" s="212"/>
      <c r="SNT107" s="212"/>
      <c r="SNU107" s="212"/>
      <c r="SNV107" s="212"/>
      <c r="SNW107" s="212"/>
      <c r="SNX107" s="212"/>
      <c r="SNY107" s="212"/>
      <c r="SNZ107" s="212"/>
      <c r="SOA107" s="212"/>
      <c r="SOB107" s="212"/>
      <c r="SOC107" s="212"/>
      <c r="SOD107" s="212"/>
      <c r="SOE107" s="212"/>
      <c r="SOF107" s="212"/>
      <c r="SOG107" s="212"/>
      <c r="SOH107" s="212"/>
      <c r="SOI107" s="212"/>
      <c r="SOJ107" s="212"/>
      <c r="SOK107" s="212"/>
      <c r="SOL107" s="212"/>
      <c r="SOM107" s="212"/>
      <c r="SON107" s="212"/>
      <c r="SOO107" s="212"/>
      <c r="SOP107" s="212"/>
      <c r="SOQ107" s="212"/>
      <c r="SOR107" s="212"/>
      <c r="SOS107" s="212"/>
      <c r="SOT107" s="212"/>
      <c r="SOU107" s="212"/>
      <c r="SOV107" s="212"/>
      <c r="SOW107" s="212"/>
      <c r="SOX107" s="212"/>
      <c r="SOY107" s="212"/>
      <c r="SOZ107" s="212"/>
      <c r="SPA107" s="212"/>
      <c r="SPB107" s="212"/>
      <c r="SPC107" s="212"/>
      <c r="SPD107" s="212"/>
      <c r="SPE107" s="212"/>
      <c r="SPF107" s="212"/>
      <c r="SPG107" s="212"/>
      <c r="SPH107" s="212"/>
      <c r="SPI107" s="212"/>
      <c r="SPJ107" s="212"/>
      <c r="SPK107" s="212"/>
      <c r="SPL107" s="212"/>
      <c r="SPM107" s="212"/>
      <c r="SPN107" s="212"/>
      <c r="SPO107" s="212"/>
      <c r="SPP107" s="212"/>
      <c r="SPQ107" s="212"/>
      <c r="SPR107" s="212"/>
      <c r="SPS107" s="212"/>
      <c r="SPT107" s="212"/>
      <c r="SPU107" s="212"/>
      <c r="SPV107" s="212"/>
      <c r="SPW107" s="212"/>
      <c r="SPX107" s="212"/>
      <c r="SPY107" s="212"/>
      <c r="SPZ107" s="212"/>
      <c r="SQA107" s="212"/>
      <c r="SQB107" s="212"/>
      <c r="SQC107" s="212"/>
      <c r="SQD107" s="212"/>
      <c r="SQE107" s="212"/>
      <c r="SQF107" s="212"/>
      <c r="SQG107" s="212"/>
      <c r="SQH107" s="212"/>
      <c r="SQI107" s="212"/>
      <c r="SQJ107" s="212"/>
      <c r="SQK107" s="212"/>
      <c r="SQL107" s="212"/>
      <c r="SQM107" s="212"/>
      <c r="SQN107" s="212"/>
      <c r="SQO107" s="212"/>
      <c r="SQP107" s="212"/>
      <c r="SQQ107" s="212"/>
      <c r="SQR107" s="212"/>
      <c r="SQS107" s="212"/>
      <c r="SQT107" s="212"/>
      <c r="SQU107" s="212"/>
      <c r="SQV107" s="212"/>
      <c r="SQW107" s="212"/>
      <c r="SQX107" s="212"/>
      <c r="SQY107" s="212"/>
      <c r="SQZ107" s="212"/>
      <c r="SRA107" s="212"/>
      <c r="SRB107" s="212"/>
      <c r="SRC107" s="212"/>
      <c r="SRD107" s="212"/>
      <c r="SRE107" s="212"/>
      <c r="SRF107" s="212"/>
      <c r="SRG107" s="212"/>
      <c r="SRH107" s="212"/>
      <c r="SRI107" s="212"/>
      <c r="SRJ107" s="212"/>
      <c r="SRK107" s="212"/>
      <c r="SRL107" s="212"/>
      <c r="SRM107" s="212"/>
      <c r="SRN107" s="212"/>
      <c r="SRO107" s="212"/>
      <c r="SRP107" s="212"/>
      <c r="SRQ107" s="212"/>
      <c r="SRR107" s="212"/>
      <c r="SRS107" s="212"/>
      <c r="SRT107" s="212"/>
      <c r="SRU107" s="212"/>
      <c r="SRV107" s="212"/>
      <c r="SRW107" s="212"/>
      <c r="SRX107" s="212"/>
      <c r="SRY107" s="212"/>
      <c r="SRZ107" s="212"/>
      <c r="SSA107" s="212"/>
      <c r="SSB107" s="212"/>
      <c r="SSC107" s="212"/>
      <c r="SSD107" s="212"/>
      <c r="SSE107" s="212"/>
      <c r="SSF107" s="212"/>
      <c r="SSG107" s="212"/>
      <c r="SSH107" s="212"/>
      <c r="SSI107" s="212"/>
      <c r="SSJ107" s="212"/>
      <c r="SSK107" s="212"/>
      <c r="SSL107" s="212"/>
      <c r="SSM107" s="212"/>
      <c r="SSN107" s="212"/>
      <c r="SSO107" s="212"/>
      <c r="SSP107" s="212"/>
      <c r="SSQ107" s="212"/>
      <c r="SSR107" s="212"/>
      <c r="SSS107" s="212"/>
      <c r="SST107" s="212"/>
      <c r="SSU107" s="212"/>
      <c r="SSV107" s="212"/>
      <c r="SSW107" s="212"/>
      <c r="SSX107" s="212"/>
      <c r="SSY107" s="212"/>
      <c r="SSZ107" s="212"/>
      <c r="STA107" s="212"/>
      <c r="STB107" s="212"/>
      <c r="STC107" s="212"/>
      <c r="STD107" s="212"/>
      <c r="STE107" s="212"/>
      <c r="STF107" s="212"/>
      <c r="STG107" s="212"/>
      <c r="STH107" s="212"/>
      <c r="STI107" s="212"/>
      <c r="STJ107" s="212"/>
      <c r="STK107" s="212"/>
      <c r="STL107" s="212"/>
      <c r="STM107" s="212"/>
      <c r="STN107" s="212"/>
      <c r="STO107" s="212"/>
      <c r="STP107" s="212"/>
      <c r="STQ107" s="212"/>
      <c r="STR107" s="212"/>
      <c r="STS107" s="212"/>
      <c r="STT107" s="212"/>
      <c r="STU107" s="212"/>
      <c r="STV107" s="212"/>
      <c r="STW107" s="212"/>
      <c r="STX107" s="212"/>
      <c r="STY107" s="212"/>
      <c r="STZ107" s="212"/>
      <c r="SUA107" s="212"/>
      <c r="SUB107" s="212"/>
      <c r="SUC107" s="212"/>
      <c r="SUD107" s="212"/>
      <c r="SUE107" s="212"/>
      <c r="SUF107" s="212"/>
      <c r="SUG107" s="212"/>
      <c r="SUH107" s="212"/>
      <c r="SUI107" s="212"/>
      <c r="SUJ107" s="212"/>
      <c r="SUK107" s="212"/>
      <c r="SUL107" s="212"/>
      <c r="SUM107" s="212"/>
      <c r="SUN107" s="212"/>
      <c r="SUO107" s="212"/>
      <c r="SUP107" s="212"/>
      <c r="SUQ107" s="212"/>
      <c r="SUR107" s="212"/>
      <c r="SUS107" s="212"/>
      <c r="SUT107" s="212"/>
      <c r="SUU107" s="212"/>
      <c r="SUV107" s="212"/>
      <c r="SUW107" s="212"/>
      <c r="SUX107" s="212"/>
      <c r="SUY107" s="212"/>
      <c r="SUZ107" s="212"/>
      <c r="SVA107" s="212"/>
      <c r="SVB107" s="212"/>
      <c r="SVC107" s="212"/>
      <c r="SVD107" s="212"/>
      <c r="SVE107" s="212"/>
      <c r="SVF107" s="212"/>
      <c r="SVG107" s="212"/>
      <c r="SVH107" s="212"/>
      <c r="SVI107" s="212"/>
      <c r="SVJ107" s="212"/>
      <c r="SVK107" s="212"/>
      <c r="SVL107" s="212"/>
      <c r="SVM107" s="212"/>
      <c r="SVN107" s="212"/>
      <c r="SVO107" s="212"/>
      <c r="SVP107" s="212"/>
      <c r="SVQ107" s="212"/>
      <c r="SVR107" s="212"/>
      <c r="SVS107" s="212"/>
      <c r="SVT107" s="212"/>
      <c r="SVU107" s="212"/>
      <c r="SVV107" s="212"/>
      <c r="SVW107" s="212"/>
      <c r="SVX107" s="212"/>
      <c r="SVY107" s="212"/>
      <c r="SVZ107" s="212"/>
      <c r="SWA107" s="212"/>
      <c r="SWB107" s="212"/>
      <c r="SWC107" s="212"/>
      <c r="SWD107" s="212"/>
      <c r="SWE107" s="212"/>
      <c r="SWF107" s="212"/>
      <c r="SWG107" s="212"/>
      <c r="SWH107" s="212"/>
      <c r="SWI107" s="212"/>
      <c r="SWJ107" s="212"/>
      <c r="SWK107" s="212"/>
      <c r="SWL107" s="212"/>
      <c r="SWM107" s="212"/>
      <c r="SWN107" s="212"/>
      <c r="SWO107" s="212"/>
      <c r="SWP107" s="212"/>
      <c r="SWQ107" s="212"/>
      <c r="SWR107" s="212"/>
      <c r="SWS107" s="212"/>
      <c r="SWT107" s="212"/>
      <c r="SWU107" s="212"/>
      <c r="SWV107" s="212"/>
      <c r="SWW107" s="212"/>
      <c r="SWX107" s="212"/>
      <c r="SWY107" s="212"/>
      <c r="SWZ107" s="212"/>
      <c r="SXA107" s="212"/>
      <c r="SXB107" s="212"/>
      <c r="SXC107" s="212"/>
      <c r="SXD107" s="212"/>
      <c r="SXE107" s="212"/>
      <c r="SXF107" s="212"/>
      <c r="SXG107" s="212"/>
      <c r="SXH107" s="212"/>
      <c r="SXI107" s="212"/>
      <c r="SXJ107" s="212"/>
      <c r="SXK107" s="212"/>
      <c r="SXL107" s="212"/>
      <c r="SXM107" s="212"/>
      <c r="SXN107" s="212"/>
      <c r="SXO107" s="212"/>
      <c r="SXP107" s="212"/>
      <c r="SXQ107" s="212"/>
      <c r="SXR107" s="212"/>
      <c r="SXS107" s="212"/>
      <c r="SXT107" s="212"/>
      <c r="SXU107" s="212"/>
      <c r="SXV107" s="212"/>
      <c r="SXW107" s="212"/>
      <c r="SXX107" s="212"/>
      <c r="SXY107" s="212"/>
      <c r="SXZ107" s="212"/>
      <c r="SYA107" s="212"/>
      <c r="SYB107" s="212"/>
      <c r="SYC107" s="212"/>
      <c r="SYD107" s="212"/>
      <c r="SYE107" s="212"/>
      <c r="SYF107" s="212"/>
      <c r="SYG107" s="212"/>
      <c r="SYH107" s="212"/>
      <c r="SYI107" s="212"/>
      <c r="SYJ107" s="212"/>
      <c r="SYK107" s="212"/>
      <c r="SYL107" s="212"/>
      <c r="SYM107" s="212"/>
      <c r="SYN107" s="212"/>
      <c r="SYO107" s="212"/>
      <c r="SYP107" s="212"/>
      <c r="SYQ107" s="212"/>
      <c r="SYR107" s="212"/>
      <c r="SYS107" s="212"/>
      <c r="SYT107" s="212"/>
      <c r="SYU107" s="212"/>
      <c r="SYV107" s="212"/>
      <c r="SYW107" s="212"/>
      <c r="SYX107" s="212"/>
      <c r="SYY107" s="212"/>
      <c r="SYZ107" s="212"/>
      <c r="SZA107" s="212"/>
      <c r="SZB107" s="212"/>
      <c r="SZC107" s="212"/>
      <c r="SZD107" s="212"/>
      <c r="SZE107" s="212"/>
      <c r="SZF107" s="212"/>
      <c r="SZG107" s="212"/>
      <c r="SZH107" s="212"/>
      <c r="SZI107" s="212"/>
      <c r="SZJ107" s="212"/>
      <c r="SZK107" s="212"/>
      <c r="SZL107" s="212"/>
      <c r="SZM107" s="212"/>
      <c r="SZN107" s="212"/>
      <c r="SZO107" s="212"/>
      <c r="SZP107" s="212"/>
      <c r="SZQ107" s="212"/>
      <c r="SZR107" s="212"/>
      <c r="SZS107" s="212"/>
      <c r="SZT107" s="212"/>
      <c r="SZU107" s="212"/>
      <c r="SZV107" s="212"/>
      <c r="SZW107" s="212"/>
      <c r="SZX107" s="212"/>
      <c r="SZY107" s="212"/>
      <c r="SZZ107" s="212"/>
      <c r="TAA107" s="212"/>
      <c r="TAB107" s="212"/>
      <c r="TAC107" s="212"/>
      <c r="TAD107" s="212"/>
      <c r="TAE107" s="212"/>
      <c r="TAF107" s="212"/>
      <c r="TAG107" s="212"/>
      <c r="TAH107" s="212"/>
      <c r="TAI107" s="212"/>
      <c r="TAJ107" s="212"/>
      <c r="TAK107" s="212"/>
      <c r="TAL107" s="212"/>
      <c r="TAM107" s="212"/>
      <c r="TAN107" s="212"/>
      <c r="TAO107" s="212"/>
      <c r="TAP107" s="212"/>
      <c r="TAQ107" s="212"/>
      <c r="TAR107" s="212"/>
      <c r="TAS107" s="212"/>
      <c r="TAT107" s="212"/>
      <c r="TAU107" s="212"/>
      <c r="TAV107" s="212"/>
      <c r="TAW107" s="212"/>
      <c r="TAX107" s="212"/>
      <c r="TAY107" s="212"/>
      <c r="TAZ107" s="212"/>
      <c r="TBA107" s="212"/>
      <c r="TBB107" s="212"/>
      <c r="TBC107" s="212"/>
      <c r="TBD107" s="212"/>
      <c r="TBE107" s="212"/>
      <c r="TBF107" s="212"/>
      <c r="TBG107" s="212"/>
      <c r="TBH107" s="212"/>
      <c r="TBI107" s="212"/>
      <c r="TBJ107" s="212"/>
      <c r="TBK107" s="212"/>
      <c r="TBL107" s="212"/>
      <c r="TBM107" s="212"/>
      <c r="TBN107" s="212"/>
      <c r="TBO107" s="212"/>
      <c r="TBP107" s="212"/>
      <c r="TBQ107" s="212"/>
      <c r="TBR107" s="212"/>
      <c r="TBS107" s="212"/>
      <c r="TBT107" s="212"/>
      <c r="TBU107" s="212"/>
      <c r="TBV107" s="212"/>
      <c r="TBW107" s="212"/>
      <c r="TBX107" s="212"/>
      <c r="TBY107" s="212"/>
      <c r="TBZ107" s="212"/>
      <c r="TCA107" s="212"/>
      <c r="TCB107" s="212"/>
      <c r="TCC107" s="212"/>
      <c r="TCD107" s="212"/>
      <c r="TCE107" s="212"/>
      <c r="TCF107" s="212"/>
      <c r="TCG107" s="212"/>
      <c r="TCH107" s="212"/>
      <c r="TCI107" s="212"/>
      <c r="TCJ107" s="212"/>
      <c r="TCK107" s="212"/>
      <c r="TCL107" s="212"/>
      <c r="TCM107" s="212"/>
      <c r="TCN107" s="212"/>
      <c r="TCO107" s="212"/>
      <c r="TCP107" s="212"/>
      <c r="TCQ107" s="212"/>
      <c r="TCR107" s="212"/>
      <c r="TCS107" s="212"/>
      <c r="TCT107" s="212"/>
      <c r="TCU107" s="212"/>
      <c r="TCV107" s="212"/>
      <c r="TCW107" s="212"/>
      <c r="TCX107" s="212"/>
      <c r="TCY107" s="212"/>
      <c r="TCZ107" s="212"/>
      <c r="TDA107" s="212"/>
      <c r="TDB107" s="212"/>
      <c r="TDC107" s="212"/>
      <c r="TDD107" s="212"/>
      <c r="TDE107" s="212"/>
      <c r="TDF107" s="212"/>
      <c r="TDG107" s="212"/>
      <c r="TDH107" s="212"/>
      <c r="TDI107" s="212"/>
      <c r="TDJ107" s="212"/>
      <c r="TDK107" s="212"/>
      <c r="TDL107" s="212"/>
      <c r="TDM107" s="212"/>
      <c r="TDN107" s="212"/>
      <c r="TDO107" s="212"/>
      <c r="TDP107" s="212"/>
      <c r="TDQ107" s="212"/>
      <c r="TDR107" s="212"/>
      <c r="TDS107" s="212"/>
      <c r="TDT107" s="212"/>
      <c r="TDU107" s="212"/>
      <c r="TDV107" s="212"/>
      <c r="TDW107" s="212"/>
      <c r="TDX107" s="212"/>
      <c r="TDY107" s="212"/>
      <c r="TDZ107" s="212"/>
      <c r="TEA107" s="212"/>
      <c r="TEB107" s="212"/>
      <c r="TEC107" s="212"/>
      <c r="TED107" s="212"/>
      <c r="TEE107" s="212"/>
      <c r="TEF107" s="212"/>
      <c r="TEG107" s="212"/>
      <c r="TEH107" s="212"/>
      <c r="TEI107" s="212"/>
      <c r="TEJ107" s="212"/>
      <c r="TEK107" s="212"/>
      <c r="TEL107" s="212"/>
      <c r="TEM107" s="212"/>
      <c r="TEN107" s="212"/>
      <c r="TEO107" s="212"/>
      <c r="TEP107" s="212"/>
      <c r="TEQ107" s="212"/>
      <c r="TER107" s="212"/>
      <c r="TES107" s="212"/>
      <c r="TET107" s="212"/>
      <c r="TEU107" s="212"/>
      <c r="TEV107" s="212"/>
      <c r="TEW107" s="212"/>
      <c r="TEX107" s="212"/>
      <c r="TEY107" s="212"/>
      <c r="TEZ107" s="212"/>
      <c r="TFA107" s="212"/>
      <c r="TFB107" s="212"/>
      <c r="TFC107" s="212"/>
      <c r="TFD107" s="212"/>
      <c r="TFE107" s="212"/>
      <c r="TFF107" s="212"/>
      <c r="TFG107" s="212"/>
      <c r="TFH107" s="212"/>
      <c r="TFI107" s="212"/>
      <c r="TFJ107" s="212"/>
      <c r="TFK107" s="212"/>
      <c r="TFL107" s="212"/>
      <c r="TFM107" s="212"/>
      <c r="TFN107" s="212"/>
      <c r="TFO107" s="212"/>
      <c r="TFP107" s="212"/>
      <c r="TFQ107" s="212"/>
      <c r="TFR107" s="212"/>
      <c r="TFS107" s="212"/>
      <c r="TFT107" s="212"/>
      <c r="TFU107" s="212"/>
      <c r="TFV107" s="212"/>
      <c r="TFW107" s="212"/>
      <c r="TFX107" s="212"/>
      <c r="TFY107" s="212"/>
      <c r="TFZ107" s="212"/>
      <c r="TGA107" s="212"/>
      <c r="TGB107" s="212"/>
      <c r="TGC107" s="212"/>
      <c r="TGD107" s="212"/>
      <c r="TGE107" s="212"/>
      <c r="TGF107" s="212"/>
      <c r="TGG107" s="212"/>
      <c r="TGH107" s="212"/>
      <c r="TGI107" s="212"/>
      <c r="TGJ107" s="212"/>
      <c r="TGK107" s="212"/>
      <c r="TGL107" s="212"/>
      <c r="TGM107" s="212"/>
      <c r="TGN107" s="212"/>
      <c r="TGO107" s="212"/>
      <c r="TGP107" s="212"/>
      <c r="TGQ107" s="212"/>
      <c r="TGR107" s="212"/>
      <c r="TGS107" s="212"/>
      <c r="TGT107" s="212"/>
      <c r="TGU107" s="212"/>
      <c r="TGV107" s="212"/>
      <c r="TGW107" s="212"/>
      <c r="TGX107" s="212"/>
      <c r="TGY107" s="212"/>
      <c r="TGZ107" s="212"/>
      <c r="THA107" s="212"/>
      <c r="THB107" s="212"/>
      <c r="THC107" s="212"/>
      <c r="THD107" s="212"/>
      <c r="THE107" s="212"/>
      <c r="THF107" s="212"/>
      <c r="THG107" s="212"/>
      <c r="THH107" s="212"/>
      <c r="THI107" s="212"/>
      <c r="THJ107" s="212"/>
      <c r="THK107" s="212"/>
      <c r="THL107" s="212"/>
      <c r="THM107" s="212"/>
      <c r="THN107" s="212"/>
      <c r="THO107" s="212"/>
      <c r="THP107" s="212"/>
      <c r="THQ107" s="212"/>
      <c r="THR107" s="212"/>
      <c r="THS107" s="212"/>
      <c r="THT107" s="212"/>
      <c r="THU107" s="212"/>
      <c r="THV107" s="212"/>
      <c r="THW107" s="212"/>
      <c r="THX107" s="212"/>
      <c r="THY107" s="212"/>
      <c r="THZ107" s="212"/>
      <c r="TIA107" s="212"/>
      <c r="TIB107" s="212"/>
      <c r="TIC107" s="212"/>
      <c r="TID107" s="212"/>
      <c r="TIE107" s="212"/>
      <c r="TIF107" s="212"/>
      <c r="TIG107" s="212"/>
      <c r="TIH107" s="212"/>
      <c r="TII107" s="212"/>
      <c r="TIJ107" s="212"/>
      <c r="TIK107" s="212"/>
      <c r="TIL107" s="212"/>
      <c r="TIM107" s="212"/>
      <c r="TIN107" s="212"/>
      <c r="TIO107" s="212"/>
      <c r="TIP107" s="212"/>
      <c r="TIQ107" s="212"/>
      <c r="TIR107" s="212"/>
      <c r="TIS107" s="212"/>
      <c r="TIT107" s="212"/>
      <c r="TIU107" s="212"/>
      <c r="TIV107" s="212"/>
      <c r="TIW107" s="212"/>
      <c r="TIX107" s="212"/>
      <c r="TIY107" s="212"/>
      <c r="TIZ107" s="212"/>
      <c r="TJA107" s="212"/>
      <c r="TJB107" s="212"/>
      <c r="TJC107" s="212"/>
      <c r="TJD107" s="212"/>
      <c r="TJE107" s="212"/>
      <c r="TJF107" s="212"/>
      <c r="TJG107" s="212"/>
      <c r="TJH107" s="212"/>
      <c r="TJI107" s="212"/>
      <c r="TJJ107" s="212"/>
      <c r="TJK107" s="212"/>
      <c r="TJL107" s="212"/>
      <c r="TJM107" s="212"/>
      <c r="TJN107" s="212"/>
      <c r="TJO107" s="212"/>
      <c r="TJP107" s="212"/>
      <c r="TJQ107" s="212"/>
      <c r="TJR107" s="212"/>
      <c r="TJS107" s="212"/>
      <c r="TJT107" s="212"/>
      <c r="TJU107" s="212"/>
      <c r="TJV107" s="212"/>
      <c r="TJW107" s="212"/>
      <c r="TJX107" s="212"/>
      <c r="TJY107" s="212"/>
      <c r="TJZ107" s="212"/>
      <c r="TKA107" s="212"/>
      <c r="TKB107" s="212"/>
      <c r="TKC107" s="212"/>
      <c r="TKD107" s="212"/>
      <c r="TKE107" s="212"/>
      <c r="TKF107" s="212"/>
      <c r="TKG107" s="212"/>
      <c r="TKH107" s="212"/>
      <c r="TKI107" s="212"/>
      <c r="TKJ107" s="212"/>
      <c r="TKK107" s="212"/>
      <c r="TKL107" s="212"/>
      <c r="TKM107" s="212"/>
      <c r="TKN107" s="212"/>
      <c r="TKO107" s="212"/>
      <c r="TKP107" s="212"/>
      <c r="TKQ107" s="212"/>
      <c r="TKR107" s="212"/>
      <c r="TKS107" s="212"/>
      <c r="TKT107" s="212"/>
      <c r="TKU107" s="212"/>
      <c r="TKV107" s="212"/>
      <c r="TKW107" s="212"/>
      <c r="TKX107" s="212"/>
      <c r="TKY107" s="212"/>
      <c r="TKZ107" s="212"/>
      <c r="TLA107" s="212"/>
      <c r="TLB107" s="212"/>
      <c r="TLC107" s="212"/>
      <c r="TLD107" s="212"/>
      <c r="TLE107" s="212"/>
      <c r="TLF107" s="212"/>
      <c r="TLG107" s="212"/>
      <c r="TLH107" s="212"/>
      <c r="TLI107" s="212"/>
      <c r="TLJ107" s="212"/>
      <c r="TLK107" s="212"/>
      <c r="TLL107" s="212"/>
      <c r="TLM107" s="212"/>
      <c r="TLN107" s="212"/>
      <c r="TLO107" s="212"/>
      <c r="TLP107" s="212"/>
      <c r="TLQ107" s="212"/>
      <c r="TLR107" s="212"/>
      <c r="TLS107" s="212"/>
      <c r="TLT107" s="212"/>
      <c r="TLU107" s="212"/>
      <c r="TLV107" s="212"/>
      <c r="TLW107" s="212"/>
      <c r="TLX107" s="212"/>
      <c r="TLY107" s="212"/>
      <c r="TLZ107" s="212"/>
      <c r="TMA107" s="212"/>
      <c r="TMB107" s="212"/>
      <c r="TMC107" s="212"/>
      <c r="TMD107" s="212"/>
      <c r="TME107" s="212"/>
      <c r="TMF107" s="212"/>
      <c r="TMG107" s="212"/>
      <c r="TMH107" s="212"/>
      <c r="TMI107" s="212"/>
      <c r="TMJ107" s="212"/>
      <c r="TMK107" s="212"/>
      <c r="TML107" s="212"/>
      <c r="TMM107" s="212"/>
      <c r="TMN107" s="212"/>
      <c r="TMO107" s="212"/>
      <c r="TMP107" s="212"/>
      <c r="TMQ107" s="212"/>
      <c r="TMR107" s="212"/>
      <c r="TMS107" s="212"/>
      <c r="TMT107" s="212"/>
      <c r="TMU107" s="212"/>
      <c r="TMV107" s="212"/>
      <c r="TMW107" s="212"/>
      <c r="TMX107" s="212"/>
      <c r="TMY107" s="212"/>
      <c r="TMZ107" s="212"/>
      <c r="TNA107" s="212"/>
      <c r="TNB107" s="212"/>
      <c r="TNC107" s="212"/>
      <c r="TND107" s="212"/>
      <c r="TNE107" s="212"/>
      <c r="TNF107" s="212"/>
      <c r="TNG107" s="212"/>
      <c r="TNH107" s="212"/>
      <c r="TNI107" s="212"/>
      <c r="TNJ107" s="212"/>
      <c r="TNK107" s="212"/>
      <c r="TNL107" s="212"/>
      <c r="TNM107" s="212"/>
      <c r="TNN107" s="212"/>
      <c r="TNO107" s="212"/>
      <c r="TNP107" s="212"/>
      <c r="TNQ107" s="212"/>
      <c r="TNR107" s="212"/>
      <c r="TNS107" s="212"/>
      <c r="TNT107" s="212"/>
      <c r="TNU107" s="212"/>
      <c r="TNV107" s="212"/>
      <c r="TNW107" s="212"/>
      <c r="TNX107" s="212"/>
      <c r="TNY107" s="212"/>
      <c r="TNZ107" s="212"/>
      <c r="TOA107" s="212"/>
      <c r="TOB107" s="212"/>
      <c r="TOC107" s="212"/>
      <c r="TOD107" s="212"/>
      <c r="TOE107" s="212"/>
      <c r="TOF107" s="212"/>
      <c r="TOG107" s="212"/>
      <c r="TOH107" s="212"/>
      <c r="TOI107" s="212"/>
      <c r="TOJ107" s="212"/>
      <c r="TOK107" s="212"/>
      <c r="TOL107" s="212"/>
      <c r="TOM107" s="212"/>
      <c r="TON107" s="212"/>
      <c r="TOO107" s="212"/>
      <c r="TOP107" s="212"/>
      <c r="TOQ107" s="212"/>
      <c r="TOR107" s="212"/>
      <c r="TOS107" s="212"/>
      <c r="TOT107" s="212"/>
      <c r="TOU107" s="212"/>
      <c r="TOV107" s="212"/>
      <c r="TOW107" s="212"/>
      <c r="TOX107" s="212"/>
      <c r="TOY107" s="212"/>
      <c r="TOZ107" s="212"/>
      <c r="TPA107" s="212"/>
      <c r="TPB107" s="212"/>
      <c r="TPC107" s="212"/>
      <c r="TPD107" s="212"/>
      <c r="TPE107" s="212"/>
      <c r="TPF107" s="212"/>
      <c r="TPG107" s="212"/>
      <c r="TPH107" s="212"/>
      <c r="TPI107" s="212"/>
      <c r="TPJ107" s="212"/>
      <c r="TPK107" s="212"/>
      <c r="TPL107" s="212"/>
      <c r="TPM107" s="212"/>
      <c r="TPN107" s="212"/>
      <c r="TPO107" s="212"/>
      <c r="TPP107" s="212"/>
      <c r="TPQ107" s="212"/>
      <c r="TPR107" s="212"/>
      <c r="TPS107" s="212"/>
      <c r="TPT107" s="212"/>
      <c r="TPU107" s="212"/>
      <c r="TPV107" s="212"/>
      <c r="TPW107" s="212"/>
      <c r="TPX107" s="212"/>
      <c r="TPY107" s="212"/>
      <c r="TPZ107" s="212"/>
      <c r="TQA107" s="212"/>
      <c r="TQB107" s="212"/>
      <c r="TQC107" s="212"/>
      <c r="TQD107" s="212"/>
      <c r="TQE107" s="212"/>
      <c r="TQF107" s="212"/>
      <c r="TQG107" s="212"/>
      <c r="TQH107" s="212"/>
      <c r="TQI107" s="212"/>
      <c r="TQJ107" s="212"/>
      <c r="TQK107" s="212"/>
      <c r="TQL107" s="212"/>
      <c r="TQM107" s="212"/>
      <c r="TQN107" s="212"/>
      <c r="TQO107" s="212"/>
      <c r="TQP107" s="212"/>
      <c r="TQQ107" s="212"/>
      <c r="TQR107" s="212"/>
      <c r="TQS107" s="212"/>
      <c r="TQT107" s="212"/>
      <c r="TQU107" s="212"/>
      <c r="TQV107" s="212"/>
      <c r="TQW107" s="212"/>
      <c r="TQX107" s="212"/>
      <c r="TQY107" s="212"/>
      <c r="TQZ107" s="212"/>
      <c r="TRA107" s="212"/>
      <c r="TRB107" s="212"/>
      <c r="TRC107" s="212"/>
      <c r="TRD107" s="212"/>
      <c r="TRE107" s="212"/>
      <c r="TRF107" s="212"/>
      <c r="TRG107" s="212"/>
      <c r="TRH107" s="212"/>
      <c r="TRI107" s="212"/>
      <c r="TRJ107" s="212"/>
      <c r="TRK107" s="212"/>
      <c r="TRL107" s="212"/>
      <c r="TRM107" s="212"/>
      <c r="TRN107" s="212"/>
      <c r="TRO107" s="212"/>
      <c r="TRP107" s="212"/>
      <c r="TRQ107" s="212"/>
      <c r="TRR107" s="212"/>
      <c r="TRS107" s="212"/>
      <c r="TRT107" s="212"/>
      <c r="TRU107" s="212"/>
      <c r="TRV107" s="212"/>
      <c r="TRW107" s="212"/>
      <c r="TRX107" s="212"/>
      <c r="TRY107" s="212"/>
      <c r="TRZ107" s="212"/>
      <c r="TSA107" s="212"/>
      <c r="TSB107" s="212"/>
      <c r="TSC107" s="212"/>
      <c r="TSD107" s="212"/>
      <c r="TSE107" s="212"/>
      <c r="TSF107" s="212"/>
      <c r="TSG107" s="212"/>
      <c r="TSH107" s="212"/>
      <c r="TSI107" s="212"/>
      <c r="TSJ107" s="212"/>
      <c r="TSK107" s="212"/>
      <c r="TSL107" s="212"/>
      <c r="TSM107" s="212"/>
      <c r="TSN107" s="212"/>
      <c r="TSO107" s="212"/>
      <c r="TSP107" s="212"/>
      <c r="TSQ107" s="212"/>
      <c r="TSR107" s="212"/>
      <c r="TSS107" s="212"/>
      <c r="TST107" s="212"/>
      <c r="TSU107" s="212"/>
      <c r="TSV107" s="212"/>
      <c r="TSW107" s="212"/>
      <c r="TSX107" s="212"/>
      <c r="TSY107" s="212"/>
      <c r="TSZ107" s="212"/>
      <c r="TTA107" s="212"/>
      <c r="TTB107" s="212"/>
      <c r="TTC107" s="212"/>
      <c r="TTD107" s="212"/>
      <c r="TTE107" s="212"/>
      <c r="TTF107" s="212"/>
      <c r="TTG107" s="212"/>
      <c r="TTH107" s="212"/>
      <c r="TTI107" s="212"/>
      <c r="TTJ107" s="212"/>
      <c r="TTK107" s="212"/>
      <c r="TTL107" s="212"/>
      <c r="TTM107" s="212"/>
      <c r="TTN107" s="212"/>
      <c r="TTO107" s="212"/>
      <c r="TTP107" s="212"/>
      <c r="TTQ107" s="212"/>
      <c r="TTR107" s="212"/>
      <c r="TTS107" s="212"/>
      <c r="TTT107" s="212"/>
      <c r="TTU107" s="212"/>
      <c r="TTV107" s="212"/>
      <c r="TTW107" s="212"/>
      <c r="TTX107" s="212"/>
      <c r="TTY107" s="212"/>
      <c r="TTZ107" s="212"/>
      <c r="TUA107" s="212"/>
      <c r="TUB107" s="212"/>
      <c r="TUC107" s="212"/>
      <c r="TUD107" s="212"/>
      <c r="TUE107" s="212"/>
      <c r="TUF107" s="212"/>
      <c r="TUG107" s="212"/>
      <c r="TUH107" s="212"/>
      <c r="TUI107" s="212"/>
      <c r="TUJ107" s="212"/>
      <c r="TUK107" s="212"/>
      <c r="TUL107" s="212"/>
      <c r="TUM107" s="212"/>
      <c r="TUN107" s="212"/>
      <c r="TUO107" s="212"/>
      <c r="TUP107" s="212"/>
      <c r="TUQ107" s="212"/>
      <c r="TUR107" s="212"/>
      <c r="TUS107" s="212"/>
      <c r="TUT107" s="212"/>
      <c r="TUU107" s="212"/>
      <c r="TUV107" s="212"/>
      <c r="TUW107" s="212"/>
      <c r="TUX107" s="212"/>
      <c r="TUY107" s="212"/>
      <c r="TUZ107" s="212"/>
      <c r="TVA107" s="212"/>
      <c r="TVB107" s="212"/>
      <c r="TVC107" s="212"/>
      <c r="TVD107" s="212"/>
      <c r="TVE107" s="212"/>
      <c r="TVF107" s="212"/>
      <c r="TVG107" s="212"/>
      <c r="TVH107" s="212"/>
      <c r="TVI107" s="212"/>
      <c r="TVJ107" s="212"/>
      <c r="TVK107" s="212"/>
      <c r="TVL107" s="212"/>
      <c r="TVM107" s="212"/>
      <c r="TVN107" s="212"/>
      <c r="TVO107" s="212"/>
      <c r="TVP107" s="212"/>
      <c r="TVQ107" s="212"/>
      <c r="TVR107" s="212"/>
      <c r="TVS107" s="212"/>
      <c r="TVT107" s="212"/>
      <c r="TVU107" s="212"/>
      <c r="TVV107" s="212"/>
      <c r="TVW107" s="212"/>
      <c r="TVX107" s="212"/>
      <c r="TVY107" s="212"/>
      <c r="TVZ107" s="212"/>
      <c r="TWA107" s="212"/>
      <c r="TWB107" s="212"/>
      <c r="TWC107" s="212"/>
      <c r="TWD107" s="212"/>
      <c r="TWE107" s="212"/>
      <c r="TWF107" s="212"/>
      <c r="TWG107" s="212"/>
      <c r="TWH107" s="212"/>
      <c r="TWI107" s="212"/>
      <c r="TWJ107" s="212"/>
      <c r="TWK107" s="212"/>
      <c r="TWL107" s="212"/>
      <c r="TWM107" s="212"/>
      <c r="TWN107" s="212"/>
      <c r="TWO107" s="212"/>
      <c r="TWP107" s="212"/>
      <c r="TWQ107" s="212"/>
      <c r="TWR107" s="212"/>
      <c r="TWS107" s="212"/>
      <c r="TWT107" s="212"/>
      <c r="TWU107" s="212"/>
      <c r="TWV107" s="212"/>
      <c r="TWW107" s="212"/>
      <c r="TWX107" s="212"/>
      <c r="TWY107" s="212"/>
      <c r="TWZ107" s="212"/>
      <c r="TXA107" s="212"/>
      <c r="TXB107" s="212"/>
      <c r="TXC107" s="212"/>
      <c r="TXD107" s="212"/>
      <c r="TXE107" s="212"/>
      <c r="TXF107" s="212"/>
      <c r="TXG107" s="212"/>
      <c r="TXH107" s="212"/>
      <c r="TXI107" s="212"/>
      <c r="TXJ107" s="212"/>
      <c r="TXK107" s="212"/>
      <c r="TXL107" s="212"/>
      <c r="TXM107" s="212"/>
      <c r="TXN107" s="212"/>
      <c r="TXO107" s="212"/>
      <c r="TXP107" s="212"/>
      <c r="TXQ107" s="212"/>
      <c r="TXR107" s="212"/>
      <c r="TXS107" s="212"/>
      <c r="TXT107" s="212"/>
      <c r="TXU107" s="212"/>
      <c r="TXV107" s="212"/>
      <c r="TXW107" s="212"/>
      <c r="TXX107" s="212"/>
      <c r="TXY107" s="212"/>
      <c r="TXZ107" s="212"/>
      <c r="TYA107" s="212"/>
      <c r="TYB107" s="212"/>
      <c r="TYC107" s="212"/>
      <c r="TYD107" s="212"/>
      <c r="TYE107" s="212"/>
      <c r="TYF107" s="212"/>
      <c r="TYG107" s="212"/>
      <c r="TYH107" s="212"/>
      <c r="TYI107" s="212"/>
      <c r="TYJ107" s="212"/>
      <c r="TYK107" s="212"/>
      <c r="TYL107" s="212"/>
      <c r="TYM107" s="212"/>
      <c r="TYN107" s="212"/>
      <c r="TYO107" s="212"/>
      <c r="TYP107" s="212"/>
      <c r="TYQ107" s="212"/>
      <c r="TYR107" s="212"/>
      <c r="TYS107" s="212"/>
      <c r="TYT107" s="212"/>
      <c r="TYU107" s="212"/>
      <c r="TYV107" s="212"/>
      <c r="TYW107" s="212"/>
      <c r="TYX107" s="212"/>
      <c r="TYY107" s="212"/>
      <c r="TYZ107" s="212"/>
      <c r="TZA107" s="212"/>
      <c r="TZB107" s="212"/>
      <c r="TZC107" s="212"/>
      <c r="TZD107" s="212"/>
      <c r="TZE107" s="212"/>
      <c r="TZF107" s="212"/>
      <c r="TZG107" s="212"/>
      <c r="TZH107" s="212"/>
      <c r="TZI107" s="212"/>
      <c r="TZJ107" s="212"/>
      <c r="TZK107" s="212"/>
      <c r="TZL107" s="212"/>
      <c r="TZM107" s="212"/>
      <c r="TZN107" s="212"/>
      <c r="TZO107" s="212"/>
      <c r="TZP107" s="212"/>
      <c r="TZQ107" s="212"/>
      <c r="TZR107" s="212"/>
      <c r="TZS107" s="212"/>
      <c r="TZT107" s="212"/>
      <c r="TZU107" s="212"/>
      <c r="TZV107" s="212"/>
      <c r="TZW107" s="212"/>
      <c r="TZX107" s="212"/>
      <c r="TZY107" s="212"/>
      <c r="TZZ107" s="212"/>
      <c r="UAA107" s="212"/>
      <c r="UAB107" s="212"/>
      <c r="UAC107" s="212"/>
      <c r="UAD107" s="212"/>
      <c r="UAE107" s="212"/>
      <c r="UAF107" s="212"/>
      <c r="UAG107" s="212"/>
      <c r="UAH107" s="212"/>
      <c r="UAI107" s="212"/>
      <c r="UAJ107" s="212"/>
      <c r="UAK107" s="212"/>
      <c r="UAL107" s="212"/>
      <c r="UAM107" s="212"/>
      <c r="UAN107" s="212"/>
      <c r="UAO107" s="212"/>
      <c r="UAP107" s="212"/>
      <c r="UAQ107" s="212"/>
      <c r="UAR107" s="212"/>
      <c r="UAS107" s="212"/>
      <c r="UAT107" s="212"/>
      <c r="UAU107" s="212"/>
      <c r="UAV107" s="212"/>
      <c r="UAW107" s="212"/>
      <c r="UAX107" s="212"/>
      <c r="UAY107" s="212"/>
      <c r="UAZ107" s="212"/>
      <c r="UBA107" s="212"/>
      <c r="UBB107" s="212"/>
      <c r="UBC107" s="212"/>
      <c r="UBD107" s="212"/>
      <c r="UBE107" s="212"/>
      <c r="UBF107" s="212"/>
      <c r="UBG107" s="212"/>
      <c r="UBH107" s="212"/>
      <c r="UBI107" s="212"/>
      <c r="UBJ107" s="212"/>
      <c r="UBK107" s="212"/>
      <c r="UBL107" s="212"/>
      <c r="UBM107" s="212"/>
      <c r="UBN107" s="212"/>
      <c r="UBO107" s="212"/>
      <c r="UBP107" s="212"/>
      <c r="UBQ107" s="212"/>
      <c r="UBR107" s="212"/>
      <c r="UBS107" s="212"/>
      <c r="UBT107" s="212"/>
      <c r="UBU107" s="212"/>
      <c r="UBV107" s="212"/>
      <c r="UBW107" s="212"/>
      <c r="UBX107" s="212"/>
      <c r="UBY107" s="212"/>
      <c r="UBZ107" s="212"/>
      <c r="UCA107" s="212"/>
      <c r="UCB107" s="212"/>
      <c r="UCC107" s="212"/>
      <c r="UCD107" s="212"/>
      <c r="UCE107" s="212"/>
      <c r="UCF107" s="212"/>
      <c r="UCG107" s="212"/>
      <c r="UCH107" s="212"/>
      <c r="UCI107" s="212"/>
      <c r="UCJ107" s="212"/>
      <c r="UCK107" s="212"/>
      <c r="UCL107" s="212"/>
      <c r="UCM107" s="212"/>
      <c r="UCN107" s="212"/>
      <c r="UCO107" s="212"/>
      <c r="UCP107" s="212"/>
      <c r="UCQ107" s="212"/>
      <c r="UCR107" s="212"/>
      <c r="UCS107" s="212"/>
      <c r="UCT107" s="212"/>
      <c r="UCU107" s="212"/>
      <c r="UCV107" s="212"/>
      <c r="UCW107" s="212"/>
      <c r="UCX107" s="212"/>
      <c r="UCY107" s="212"/>
      <c r="UCZ107" s="212"/>
      <c r="UDA107" s="212"/>
      <c r="UDB107" s="212"/>
      <c r="UDC107" s="212"/>
      <c r="UDD107" s="212"/>
      <c r="UDE107" s="212"/>
      <c r="UDF107" s="212"/>
      <c r="UDG107" s="212"/>
      <c r="UDH107" s="212"/>
      <c r="UDI107" s="212"/>
      <c r="UDJ107" s="212"/>
      <c r="UDK107" s="212"/>
      <c r="UDL107" s="212"/>
      <c r="UDM107" s="212"/>
      <c r="UDN107" s="212"/>
      <c r="UDO107" s="212"/>
      <c r="UDP107" s="212"/>
      <c r="UDQ107" s="212"/>
      <c r="UDR107" s="212"/>
      <c r="UDS107" s="212"/>
      <c r="UDT107" s="212"/>
      <c r="UDU107" s="212"/>
      <c r="UDV107" s="212"/>
      <c r="UDW107" s="212"/>
      <c r="UDX107" s="212"/>
      <c r="UDY107" s="212"/>
      <c r="UDZ107" s="212"/>
      <c r="UEA107" s="212"/>
      <c r="UEB107" s="212"/>
      <c r="UEC107" s="212"/>
      <c r="UED107" s="212"/>
      <c r="UEE107" s="212"/>
      <c r="UEF107" s="212"/>
      <c r="UEG107" s="212"/>
      <c r="UEH107" s="212"/>
      <c r="UEI107" s="212"/>
      <c r="UEJ107" s="212"/>
      <c r="UEK107" s="212"/>
      <c r="UEL107" s="212"/>
      <c r="UEM107" s="212"/>
      <c r="UEN107" s="212"/>
      <c r="UEO107" s="212"/>
      <c r="UEP107" s="212"/>
      <c r="UEQ107" s="212"/>
      <c r="UER107" s="212"/>
      <c r="UES107" s="212"/>
      <c r="UET107" s="212"/>
      <c r="UEU107" s="212"/>
      <c r="UEV107" s="212"/>
      <c r="UEW107" s="212"/>
      <c r="UEX107" s="212"/>
      <c r="UEY107" s="212"/>
      <c r="UEZ107" s="212"/>
      <c r="UFA107" s="212"/>
      <c r="UFB107" s="212"/>
      <c r="UFC107" s="212"/>
      <c r="UFD107" s="212"/>
      <c r="UFE107" s="212"/>
      <c r="UFF107" s="212"/>
      <c r="UFG107" s="212"/>
      <c r="UFH107" s="212"/>
      <c r="UFI107" s="212"/>
      <c r="UFJ107" s="212"/>
      <c r="UFK107" s="212"/>
      <c r="UFL107" s="212"/>
      <c r="UFM107" s="212"/>
      <c r="UFN107" s="212"/>
      <c r="UFO107" s="212"/>
      <c r="UFP107" s="212"/>
      <c r="UFQ107" s="212"/>
      <c r="UFR107" s="212"/>
      <c r="UFS107" s="212"/>
      <c r="UFT107" s="212"/>
      <c r="UFU107" s="212"/>
      <c r="UFV107" s="212"/>
      <c r="UFW107" s="212"/>
      <c r="UFX107" s="212"/>
      <c r="UFY107" s="212"/>
      <c r="UFZ107" s="212"/>
      <c r="UGA107" s="212"/>
      <c r="UGB107" s="212"/>
      <c r="UGC107" s="212"/>
      <c r="UGD107" s="212"/>
      <c r="UGE107" s="212"/>
      <c r="UGF107" s="212"/>
      <c r="UGG107" s="212"/>
      <c r="UGH107" s="212"/>
      <c r="UGI107" s="212"/>
      <c r="UGJ107" s="212"/>
      <c r="UGK107" s="212"/>
      <c r="UGL107" s="212"/>
      <c r="UGM107" s="212"/>
      <c r="UGN107" s="212"/>
      <c r="UGO107" s="212"/>
      <c r="UGP107" s="212"/>
      <c r="UGQ107" s="212"/>
      <c r="UGR107" s="212"/>
      <c r="UGS107" s="212"/>
      <c r="UGT107" s="212"/>
      <c r="UGU107" s="212"/>
      <c r="UGV107" s="212"/>
      <c r="UGW107" s="212"/>
      <c r="UGX107" s="212"/>
      <c r="UGY107" s="212"/>
      <c r="UGZ107" s="212"/>
      <c r="UHA107" s="212"/>
      <c r="UHB107" s="212"/>
      <c r="UHC107" s="212"/>
      <c r="UHD107" s="212"/>
      <c r="UHE107" s="212"/>
      <c r="UHF107" s="212"/>
      <c r="UHG107" s="212"/>
      <c r="UHH107" s="212"/>
      <c r="UHI107" s="212"/>
      <c r="UHJ107" s="212"/>
      <c r="UHK107" s="212"/>
      <c r="UHL107" s="212"/>
      <c r="UHM107" s="212"/>
      <c r="UHN107" s="212"/>
      <c r="UHO107" s="212"/>
      <c r="UHP107" s="212"/>
      <c r="UHQ107" s="212"/>
      <c r="UHR107" s="212"/>
      <c r="UHS107" s="212"/>
      <c r="UHT107" s="212"/>
      <c r="UHU107" s="212"/>
      <c r="UHV107" s="212"/>
      <c r="UHW107" s="212"/>
      <c r="UHX107" s="212"/>
      <c r="UHY107" s="212"/>
      <c r="UHZ107" s="212"/>
      <c r="UIA107" s="212"/>
      <c r="UIB107" s="212"/>
      <c r="UIC107" s="212"/>
      <c r="UID107" s="212"/>
      <c r="UIE107" s="212"/>
      <c r="UIF107" s="212"/>
      <c r="UIG107" s="212"/>
      <c r="UIH107" s="212"/>
      <c r="UII107" s="212"/>
      <c r="UIJ107" s="212"/>
      <c r="UIK107" s="212"/>
      <c r="UIL107" s="212"/>
      <c r="UIM107" s="212"/>
      <c r="UIN107" s="212"/>
      <c r="UIO107" s="212"/>
      <c r="UIP107" s="212"/>
      <c r="UIQ107" s="212"/>
      <c r="UIR107" s="212"/>
      <c r="UIS107" s="212"/>
      <c r="UIT107" s="212"/>
      <c r="UIU107" s="212"/>
      <c r="UIV107" s="212"/>
      <c r="UIW107" s="212"/>
      <c r="UIX107" s="212"/>
      <c r="UIY107" s="212"/>
      <c r="UIZ107" s="212"/>
      <c r="UJA107" s="212"/>
      <c r="UJB107" s="212"/>
      <c r="UJC107" s="212"/>
      <c r="UJD107" s="212"/>
      <c r="UJE107" s="212"/>
      <c r="UJF107" s="212"/>
      <c r="UJG107" s="212"/>
      <c r="UJH107" s="212"/>
      <c r="UJI107" s="212"/>
      <c r="UJJ107" s="212"/>
      <c r="UJK107" s="212"/>
      <c r="UJL107" s="212"/>
      <c r="UJM107" s="212"/>
      <c r="UJN107" s="212"/>
      <c r="UJO107" s="212"/>
      <c r="UJP107" s="212"/>
      <c r="UJQ107" s="212"/>
      <c r="UJR107" s="212"/>
      <c r="UJS107" s="212"/>
      <c r="UJT107" s="212"/>
      <c r="UJU107" s="212"/>
      <c r="UJV107" s="212"/>
      <c r="UJW107" s="212"/>
      <c r="UJX107" s="212"/>
      <c r="UJY107" s="212"/>
      <c r="UJZ107" s="212"/>
      <c r="UKA107" s="212"/>
      <c r="UKB107" s="212"/>
      <c r="UKC107" s="212"/>
      <c r="UKD107" s="212"/>
      <c r="UKE107" s="212"/>
      <c r="UKF107" s="212"/>
      <c r="UKG107" s="212"/>
      <c r="UKH107" s="212"/>
      <c r="UKI107" s="212"/>
      <c r="UKJ107" s="212"/>
      <c r="UKK107" s="212"/>
      <c r="UKL107" s="212"/>
      <c r="UKM107" s="212"/>
      <c r="UKN107" s="212"/>
      <c r="UKO107" s="212"/>
      <c r="UKP107" s="212"/>
      <c r="UKQ107" s="212"/>
      <c r="UKR107" s="212"/>
      <c r="UKS107" s="212"/>
      <c r="UKT107" s="212"/>
      <c r="UKU107" s="212"/>
      <c r="UKV107" s="212"/>
      <c r="UKW107" s="212"/>
      <c r="UKX107" s="212"/>
      <c r="UKY107" s="212"/>
      <c r="UKZ107" s="212"/>
      <c r="ULA107" s="212"/>
      <c r="ULB107" s="212"/>
      <c r="ULC107" s="212"/>
      <c r="ULD107" s="212"/>
      <c r="ULE107" s="212"/>
      <c r="ULF107" s="212"/>
      <c r="ULG107" s="212"/>
      <c r="ULH107" s="212"/>
      <c r="ULI107" s="212"/>
      <c r="ULJ107" s="212"/>
      <c r="ULK107" s="212"/>
      <c r="ULL107" s="212"/>
      <c r="ULM107" s="212"/>
      <c r="ULN107" s="212"/>
      <c r="ULO107" s="212"/>
      <c r="ULP107" s="212"/>
      <c r="ULQ107" s="212"/>
      <c r="ULR107" s="212"/>
      <c r="ULS107" s="212"/>
      <c r="ULT107" s="212"/>
      <c r="ULU107" s="212"/>
      <c r="ULV107" s="212"/>
      <c r="ULW107" s="212"/>
      <c r="ULX107" s="212"/>
      <c r="ULY107" s="212"/>
      <c r="ULZ107" s="212"/>
      <c r="UMA107" s="212"/>
      <c r="UMB107" s="212"/>
      <c r="UMC107" s="212"/>
      <c r="UMD107" s="212"/>
      <c r="UME107" s="212"/>
      <c r="UMF107" s="212"/>
      <c r="UMG107" s="212"/>
      <c r="UMH107" s="212"/>
      <c r="UMI107" s="212"/>
      <c r="UMJ107" s="212"/>
      <c r="UMK107" s="212"/>
      <c r="UML107" s="212"/>
      <c r="UMM107" s="212"/>
      <c r="UMN107" s="212"/>
      <c r="UMO107" s="212"/>
      <c r="UMP107" s="212"/>
      <c r="UMQ107" s="212"/>
      <c r="UMR107" s="212"/>
      <c r="UMS107" s="212"/>
      <c r="UMT107" s="212"/>
      <c r="UMU107" s="212"/>
      <c r="UMV107" s="212"/>
      <c r="UMW107" s="212"/>
      <c r="UMX107" s="212"/>
      <c r="UMY107" s="212"/>
      <c r="UMZ107" s="212"/>
      <c r="UNA107" s="212"/>
      <c r="UNB107" s="212"/>
      <c r="UNC107" s="212"/>
      <c r="UND107" s="212"/>
      <c r="UNE107" s="212"/>
      <c r="UNF107" s="212"/>
      <c r="UNG107" s="212"/>
      <c r="UNH107" s="212"/>
      <c r="UNI107" s="212"/>
      <c r="UNJ107" s="212"/>
      <c r="UNK107" s="212"/>
      <c r="UNL107" s="212"/>
      <c r="UNM107" s="212"/>
      <c r="UNN107" s="212"/>
      <c r="UNO107" s="212"/>
      <c r="UNP107" s="212"/>
      <c r="UNQ107" s="212"/>
      <c r="UNR107" s="212"/>
      <c r="UNS107" s="212"/>
      <c r="UNT107" s="212"/>
      <c r="UNU107" s="212"/>
      <c r="UNV107" s="212"/>
      <c r="UNW107" s="212"/>
      <c r="UNX107" s="212"/>
      <c r="UNY107" s="212"/>
      <c r="UNZ107" s="212"/>
      <c r="UOA107" s="212"/>
      <c r="UOB107" s="212"/>
      <c r="UOC107" s="212"/>
      <c r="UOD107" s="212"/>
      <c r="UOE107" s="212"/>
      <c r="UOF107" s="212"/>
      <c r="UOG107" s="212"/>
      <c r="UOH107" s="212"/>
      <c r="UOI107" s="212"/>
      <c r="UOJ107" s="212"/>
      <c r="UOK107" s="212"/>
      <c r="UOL107" s="212"/>
      <c r="UOM107" s="212"/>
      <c r="UON107" s="212"/>
      <c r="UOO107" s="212"/>
      <c r="UOP107" s="212"/>
      <c r="UOQ107" s="212"/>
      <c r="UOR107" s="212"/>
      <c r="UOS107" s="212"/>
      <c r="UOT107" s="212"/>
      <c r="UOU107" s="212"/>
      <c r="UOV107" s="212"/>
      <c r="UOW107" s="212"/>
      <c r="UOX107" s="212"/>
      <c r="UOY107" s="212"/>
      <c r="UOZ107" s="212"/>
      <c r="UPA107" s="212"/>
      <c r="UPB107" s="212"/>
      <c r="UPC107" s="212"/>
      <c r="UPD107" s="212"/>
      <c r="UPE107" s="212"/>
      <c r="UPF107" s="212"/>
      <c r="UPG107" s="212"/>
      <c r="UPH107" s="212"/>
      <c r="UPI107" s="212"/>
      <c r="UPJ107" s="212"/>
      <c r="UPK107" s="212"/>
      <c r="UPL107" s="212"/>
      <c r="UPM107" s="212"/>
      <c r="UPN107" s="212"/>
      <c r="UPO107" s="212"/>
      <c r="UPP107" s="212"/>
      <c r="UPQ107" s="212"/>
      <c r="UPR107" s="212"/>
      <c r="UPS107" s="212"/>
      <c r="UPT107" s="212"/>
      <c r="UPU107" s="212"/>
      <c r="UPV107" s="212"/>
      <c r="UPW107" s="212"/>
      <c r="UPX107" s="212"/>
      <c r="UPY107" s="212"/>
      <c r="UPZ107" s="212"/>
      <c r="UQA107" s="212"/>
      <c r="UQB107" s="212"/>
      <c r="UQC107" s="212"/>
      <c r="UQD107" s="212"/>
      <c r="UQE107" s="212"/>
      <c r="UQF107" s="212"/>
      <c r="UQG107" s="212"/>
      <c r="UQH107" s="212"/>
      <c r="UQI107" s="212"/>
      <c r="UQJ107" s="212"/>
      <c r="UQK107" s="212"/>
      <c r="UQL107" s="212"/>
      <c r="UQM107" s="212"/>
      <c r="UQN107" s="212"/>
      <c r="UQO107" s="212"/>
      <c r="UQP107" s="212"/>
      <c r="UQQ107" s="212"/>
      <c r="UQR107" s="212"/>
      <c r="UQS107" s="212"/>
      <c r="UQT107" s="212"/>
      <c r="UQU107" s="212"/>
      <c r="UQV107" s="212"/>
      <c r="UQW107" s="212"/>
      <c r="UQX107" s="212"/>
      <c r="UQY107" s="212"/>
      <c r="UQZ107" s="212"/>
      <c r="URA107" s="212"/>
      <c r="URB107" s="212"/>
      <c r="URC107" s="212"/>
      <c r="URD107" s="212"/>
      <c r="URE107" s="212"/>
      <c r="URF107" s="212"/>
      <c r="URG107" s="212"/>
      <c r="URH107" s="212"/>
      <c r="URI107" s="212"/>
      <c r="URJ107" s="212"/>
      <c r="URK107" s="212"/>
      <c r="URL107" s="212"/>
      <c r="URM107" s="212"/>
      <c r="URN107" s="212"/>
      <c r="URO107" s="212"/>
      <c r="URP107" s="212"/>
      <c r="URQ107" s="212"/>
      <c r="URR107" s="212"/>
      <c r="URS107" s="212"/>
      <c r="URT107" s="212"/>
      <c r="URU107" s="212"/>
      <c r="URV107" s="212"/>
      <c r="URW107" s="212"/>
      <c r="URX107" s="212"/>
      <c r="URY107" s="212"/>
      <c r="URZ107" s="212"/>
      <c r="USA107" s="212"/>
      <c r="USB107" s="212"/>
      <c r="USC107" s="212"/>
      <c r="USD107" s="212"/>
      <c r="USE107" s="212"/>
      <c r="USF107" s="212"/>
      <c r="USG107" s="212"/>
      <c r="USH107" s="212"/>
      <c r="USI107" s="212"/>
      <c r="USJ107" s="212"/>
      <c r="USK107" s="212"/>
      <c r="USL107" s="212"/>
      <c r="USM107" s="212"/>
      <c r="USN107" s="212"/>
      <c r="USO107" s="212"/>
      <c r="USP107" s="212"/>
      <c r="USQ107" s="212"/>
      <c r="USR107" s="212"/>
      <c r="USS107" s="212"/>
      <c r="UST107" s="212"/>
      <c r="USU107" s="212"/>
      <c r="USV107" s="212"/>
      <c r="USW107" s="212"/>
      <c r="USX107" s="212"/>
      <c r="USY107" s="212"/>
      <c r="USZ107" s="212"/>
      <c r="UTA107" s="212"/>
      <c r="UTB107" s="212"/>
      <c r="UTC107" s="212"/>
      <c r="UTD107" s="212"/>
      <c r="UTE107" s="212"/>
      <c r="UTF107" s="212"/>
      <c r="UTG107" s="212"/>
      <c r="UTH107" s="212"/>
      <c r="UTI107" s="212"/>
      <c r="UTJ107" s="212"/>
      <c r="UTK107" s="212"/>
      <c r="UTL107" s="212"/>
      <c r="UTM107" s="212"/>
      <c r="UTN107" s="212"/>
      <c r="UTO107" s="212"/>
      <c r="UTP107" s="212"/>
      <c r="UTQ107" s="212"/>
      <c r="UTR107" s="212"/>
      <c r="UTS107" s="212"/>
      <c r="UTT107" s="212"/>
      <c r="UTU107" s="212"/>
      <c r="UTV107" s="212"/>
      <c r="UTW107" s="212"/>
      <c r="UTX107" s="212"/>
      <c r="UTY107" s="212"/>
      <c r="UTZ107" s="212"/>
      <c r="UUA107" s="212"/>
      <c r="UUB107" s="212"/>
      <c r="UUC107" s="212"/>
      <c r="UUD107" s="212"/>
      <c r="UUE107" s="212"/>
      <c r="UUF107" s="212"/>
      <c r="UUG107" s="212"/>
      <c r="UUH107" s="212"/>
      <c r="UUI107" s="212"/>
      <c r="UUJ107" s="212"/>
      <c r="UUK107" s="212"/>
      <c r="UUL107" s="212"/>
      <c r="UUM107" s="212"/>
      <c r="UUN107" s="212"/>
      <c r="UUO107" s="212"/>
      <c r="UUP107" s="212"/>
      <c r="UUQ107" s="212"/>
      <c r="UUR107" s="212"/>
      <c r="UUS107" s="212"/>
      <c r="UUT107" s="212"/>
      <c r="UUU107" s="212"/>
      <c r="UUV107" s="212"/>
      <c r="UUW107" s="212"/>
      <c r="UUX107" s="212"/>
      <c r="UUY107" s="212"/>
      <c r="UUZ107" s="212"/>
      <c r="UVA107" s="212"/>
      <c r="UVB107" s="212"/>
      <c r="UVC107" s="212"/>
      <c r="UVD107" s="212"/>
      <c r="UVE107" s="212"/>
      <c r="UVF107" s="212"/>
      <c r="UVG107" s="212"/>
      <c r="UVH107" s="212"/>
      <c r="UVI107" s="212"/>
      <c r="UVJ107" s="212"/>
      <c r="UVK107" s="212"/>
      <c r="UVL107" s="212"/>
      <c r="UVM107" s="212"/>
      <c r="UVN107" s="212"/>
      <c r="UVO107" s="212"/>
      <c r="UVP107" s="212"/>
      <c r="UVQ107" s="212"/>
      <c r="UVR107" s="212"/>
      <c r="UVS107" s="212"/>
      <c r="UVT107" s="212"/>
      <c r="UVU107" s="212"/>
      <c r="UVV107" s="212"/>
      <c r="UVW107" s="212"/>
      <c r="UVX107" s="212"/>
      <c r="UVY107" s="212"/>
      <c r="UVZ107" s="212"/>
      <c r="UWA107" s="212"/>
      <c r="UWB107" s="212"/>
      <c r="UWC107" s="212"/>
      <c r="UWD107" s="212"/>
      <c r="UWE107" s="212"/>
      <c r="UWF107" s="212"/>
      <c r="UWG107" s="212"/>
      <c r="UWH107" s="212"/>
      <c r="UWI107" s="212"/>
      <c r="UWJ107" s="212"/>
      <c r="UWK107" s="212"/>
      <c r="UWL107" s="212"/>
      <c r="UWM107" s="212"/>
      <c r="UWN107" s="212"/>
      <c r="UWO107" s="212"/>
      <c r="UWP107" s="212"/>
      <c r="UWQ107" s="212"/>
      <c r="UWR107" s="212"/>
      <c r="UWS107" s="212"/>
      <c r="UWT107" s="212"/>
      <c r="UWU107" s="212"/>
      <c r="UWV107" s="212"/>
      <c r="UWW107" s="212"/>
      <c r="UWX107" s="212"/>
      <c r="UWY107" s="212"/>
      <c r="UWZ107" s="212"/>
      <c r="UXA107" s="212"/>
      <c r="UXB107" s="212"/>
      <c r="UXC107" s="212"/>
      <c r="UXD107" s="212"/>
      <c r="UXE107" s="212"/>
      <c r="UXF107" s="212"/>
      <c r="UXG107" s="212"/>
      <c r="UXH107" s="212"/>
      <c r="UXI107" s="212"/>
      <c r="UXJ107" s="212"/>
      <c r="UXK107" s="212"/>
      <c r="UXL107" s="212"/>
      <c r="UXM107" s="212"/>
      <c r="UXN107" s="212"/>
      <c r="UXO107" s="212"/>
      <c r="UXP107" s="212"/>
      <c r="UXQ107" s="212"/>
      <c r="UXR107" s="212"/>
      <c r="UXS107" s="212"/>
      <c r="UXT107" s="212"/>
      <c r="UXU107" s="212"/>
      <c r="UXV107" s="212"/>
      <c r="UXW107" s="212"/>
      <c r="UXX107" s="212"/>
      <c r="UXY107" s="212"/>
      <c r="UXZ107" s="212"/>
      <c r="UYA107" s="212"/>
      <c r="UYB107" s="212"/>
      <c r="UYC107" s="212"/>
      <c r="UYD107" s="212"/>
      <c r="UYE107" s="212"/>
      <c r="UYF107" s="212"/>
      <c r="UYG107" s="212"/>
      <c r="UYH107" s="212"/>
      <c r="UYI107" s="212"/>
      <c r="UYJ107" s="212"/>
      <c r="UYK107" s="212"/>
      <c r="UYL107" s="212"/>
      <c r="UYM107" s="212"/>
      <c r="UYN107" s="212"/>
      <c r="UYO107" s="212"/>
      <c r="UYP107" s="212"/>
      <c r="UYQ107" s="212"/>
      <c r="UYR107" s="212"/>
      <c r="UYS107" s="212"/>
      <c r="UYT107" s="212"/>
      <c r="UYU107" s="212"/>
      <c r="UYV107" s="212"/>
      <c r="UYW107" s="212"/>
      <c r="UYX107" s="212"/>
      <c r="UYY107" s="212"/>
      <c r="UYZ107" s="212"/>
      <c r="UZA107" s="212"/>
      <c r="UZB107" s="212"/>
      <c r="UZC107" s="212"/>
      <c r="UZD107" s="212"/>
      <c r="UZE107" s="212"/>
      <c r="UZF107" s="212"/>
      <c r="UZG107" s="212"/>
      <c r="UZH107" s="212"/>
      <c r="UZI107" s="212"/>
      <c r="UZJ107" s="212"/>
      <c r="UZK107" s="212"/>
      <c r="UZL107" s="212"/>
      <c r="UZM107" s="212"/>
      <c r="UZN107" s="212"/>
      <c r="UZO107" s="212"/>
      <c r="UZP107" s="212"/>
      <c r="UZQ107" s="212"/>
      <c r="UZR107" s="212"/>
      <c r="UZS107" s="212"/>
      <c r="UZT107" s="212"/>
      <c r="UZU107" s="212"/>
      <c r="UZV107" s="212"/>
      <c r="UZW107" s="212"/>
      <c r="UZX107" s="212"/>
      <c r="UZY107" s="212"/>
      <c r="UZZ107" s="212"/>
      <c r="VAA107" s="212"/>
      <c r="VAB107" s="212"/>
      <c r="VAC107" s="212"/>
      <c r="VAD107" s="212"/>
      <c r="VAE107" s="212"/>
      <c r="VAF107" s="212"/>
      <c r="VAG107" s="212"/>
      <c r="VAH107" s="212"/>
      <c r="VAI107" s="212"/>
      <c r="VAJ107" s="212"/>
      <c r="VAK107" s="212"/>
      <c r="VAL107" s="212"/>
      <c r="VAM107" s="212"/>
      <c r="VAN107" s="212"/>
      <c r="VAO107" s="212"/>
      <c r="VAP107" s="212"/>
      <c r="VAQ107" s="212"/>
      <c r="VAR107" s="212"/>
      <c r="VAS107" s="212"/>
      <c r="VAT107" s="212"/>
      <c r="VAU107" s="212"/>
      <c r="VAV107" s="212"/>
      <c r="VAW107" s="212"/>
      <c r="VAX107" s="212"/>
      <c r="VAY107" s="212"/>
      <c r="VAZ107" s="212"/>
      <c r="VBA107" s="212"/>
      <c r="VBB107" s="212"/>
      <c r="VBC107" s="212"/>
      <c r="VBD107" s="212"/>
      <c r="VBE107" s="212"/>
      <c r="VBF107" s="212"/>
      <c r="VBG107" s="212"/>
      <c r="VBH107" s="212"/>
      <c r="VBI107" s="212"/>
      <c r="VBJ107" s="212"/>
      <c r="VBK107" s="212"/>
      <c r="VBL107" s="212"/>
      <c r="VBM107" s="212"/>
      <c r="VBN107" s="212"/>
      <c r="VBO107" s="212"/>
      <c r="VBP107" s="212"/>
      <c r="VBQ107" s="212"/>
      <c r="VBR107" s="212"/>
      <c r="VBS107" s="212"/>
      <c r="VBT107" s="212"/>
      <c r="VBU107" s="212"/>
      <c r="VBV107" s="212"/>
      <c r="VBW107" s="212"/>
      <c r="VBX107" s="212"/>
      <c r="VBY107" s="212"/>
      <c r="VBZ107" s="212"/>
      <c r="VCA107" s="212"/>
      <c r="VCB107" s="212"/>
      <c r="VCC107" s="212"/>
      <c r="VCD107" s="212"/>
      <c r="VCE107" s="212"/>
      <c r="VCF107" s="212"/>
      <c r="VCG107" s="212"/>
      <c r="VCH107" s="212"/>
      <c r="VCI107" s="212"/>
      <c r="VCJ107" s="212"/>
      <c r="VCK107" s="212"/>
      <c r="VCL107" s="212"/>
      <c r="VCM107" s="212"/>
      <c r="VCN107" s="212"/>
      <c r="VCO107" s="212"/>
      <c r="VCP107" s="212"/>
      <c r="VCQ107" s="212"/>
      <c r="VCR107" s="212"/>
      <c r="VCS107" s="212"/>
      <c r="VCT107" s="212"/>
      <c r="VCU107" s="212"/>
      <c r="VCV107" s="212"/>
      <c r="VCW107" s="212"/>
      <c r="VCX107" s="212"/>
      <c r="VCY107" s="212"/>
      <c r="VCZ107" s="212"/>
      <c r="VDA107" s="212"/>
      <c r="VDB107" s="212"/>
      <c r="VDC107" s="212"/>
      <c r="VDD107" s="212"/>
      <c r="VDE107" s="212"/>
      <c r="VDF107" s="212"/>
      <c r="VDG107" s="212"/>
      <c r="VDH107" s="212"/>
      <c r="VDI107" s="212"/>
      <c r="VDJ107" s="212"/>
      <c r="VDK107" s="212"/>
      <c r="VDL107" s="212"/>
      <c r="VDM107" s="212"/>
      <c r="VDN107" s="212"/>
      <c r="VDO107" s="212"/>
      <c r="VDP107" s="212"/>
      <c r="VDQ107" s="212"/>
      <c r="VDR107" s="212"/>
      <c r="VDS107" s="212"/>
      <c r="VDT107" s="212"/>
      <c r="VDU107" s="212"/>
      <c r="VDV107" s="212"/>
      <c r="VDW107" s="212"/>
      <c r="VDX107" s="212"/>
      <c r="VDY107" s="212"/>
      <c r="VDZ107" s="212"/>
      <c r="VEA107" s="212"/>
      <c r="VEB107" s="212"/>
      <c r="VEC107" s="212"/>
      <c r="VED107" s="212"/>
      <c r="VEE107" s="212"/>
      <c r="VEF107" s="212"/>
      <c r="VEG107" s="212"/>
      <c r="VEH107" s="212"/>
      <c r="VEI107" s="212"/>
      <c r="VEJ107" s="212"/>
      <c r="VEK107" s="212"/>
      <c r="VEL107" s="212"/>
      <c r="VEM107" s="212"/>
      <c r="VEN107" s="212"/>
      <c r="VEO107" s="212"/>
      <c r="VEP107" s="212"/>
      <c r="VEQ107" s="212"/>
      <c r="VER107" s="212"/>
      <c r="VES107" s="212"/>
      <c r="VET107" s="212"/>
      <c r="VEU107" s="212"/>
      <c r="VEV107" s="212"/>
      <c r="VEW107" s="212"/>
      <c r="VEX107" s="212"/>
      <c r="VEY107" s="212"/>
      <c r="VEZ107" s="212"/>
      <c r="VFA107" s="212"/>
      <c r="VFB107" s="212"/>
      <c r="VFC107" s="212"/>
      <c r="VFD107" s="212"/>
      <c r="VFE107" s="212"/>
      <c r="VFF107" s="212"/>
      <c r="VFG107" s="212"/>
      <c r="VFH107" s="212"/>
      <c r="VFI107" s="212"/>
      <c r="VFJ107" s="212"/>
      <c r="VFK107" s="212"/>
      <c r="VFL107" s="212"/>
      <c r="VFM107" s="212"/>
      <c r="VFN107" s="212"/>
      <c r="VFO107" s="212"/>
      <c r="VFP107" s="212"/>
      <c r="VFQ107" s="212"/>
      <c r="VFR107" s="212"/>
      <c r="VFS107" s="212"/>
      <c r="VFT107" s="212"/>
      <c r="VFU107" s="212"/>
      <c r="VFV107" s="212"/>
      <c r="VFW107" s="212"/>
      <c r="VFX107" s="212"/>
      <c r="VFY107" s="212"/>
      <c r="VFZ107" s="212"/>
      <c r="VGA107" s="212"/>
      <c r="VGB107" s="212"/>
      <c r="VGC107" s="212"/>
      <c r="VGD107" s="212"/>
      <c r="VGE107" s="212"/>
      <c r="VGF107" s="212"/>
      <c r="VGG107" s="212"/>
      <c r="VGH107" s="212"/>
      <c r="VGI107" s="212"/>
      <c r="VGJ107" s="212"/>
      <c r="VGK107" s="212"/>
      <c r="VGL107" s="212"/>
      <c r="VGM107" s="212"/>
      <c r="VGN107" s="212"/>
      <c r="VGO107" s="212"/>
      <c r="VGP107" s="212"/>
      <c r="VGQ107" s="212"/>
      <c r="VGR107" s="212"/>
      <c r="VGS107" s="212"/>
      <c r="VGT107" s="212"/>
      <c r="VGU107" s="212"/>
      <c r="VGV107" s="212"/>
      <c r="VGW107" s="212"/>
      <c r="VGX107" s="212"/>
      <c r="VGY107" s="212"/>
      <c r="VGZ107" s="212"/>
      <c r="VHA107" s="212"/>
      <c r="VHB107" s="212"/>
      <c r="VHC107" s="212"/>
      <c r="VHD107" s="212"/>
      <c r="VHE107" s="212"/>
      <c r="VHF107" s="212"/>
      <c r="VHG107" s="212"/>
      <c r="VHH107" s="212"/>
      <c r="VHI107" s="212"/>
      <c r="VHJ107" s="212"/>
      <c r="VHK107" s="212"/>
      <c r="VHL107" s="212"/>
      <c r="VHM107" s="212"/>
      <c r="VHN107" s="212"/>
      <c r="VHO107" s="212"/>
      <c r="VHP107" s="212"/>
      <c r="VHQ107" s="212"/>
      <c r="VHR107" s="212"/>
      <c r="VHS107" s="212"/>
      <c r="VHT107" s="212"/>
      <c r="VHU107" s="212"/>
      <c r="VHV107" s="212"/>
      <c r="VHW107" s="212"/>
      <c r="VHX107" s="212"/>
      <c r="VHY107" s="212"/>
      <c r="VHZ107" s="212"/>
      <c r="VIA107" s="212"/>
      <c r="VIB107" s="212"/>
      <c r="VIC107" s="212"/>
      <c r="VID107" s="212"/>
      <c r="VIE107" s="212"/>
      <c r="VIF107" s="212"/>
      <c r="VIG107" s="212"/>
      <c r="VIH107" s="212"/>
      <c r="VII107" s="212"/>
      <c r="VIJ107" s="212"/>
      <c r="VIK107" s="212"/>
      <c r="VIL107" s="212"/>
      <c r="VIM107" s="212"/>
      <c r="VIN107" s="212"/>
      <c r="VIO107" s="212"/>
      <c r="VIP107" s="212"/>
      <c r="VIQ107" s="212"/>
      <c r="VIR107" s="212"/>
      <c r="VIS107" s="212"/>
      <c r="VIT107" s="212"/>
      <c r="VIU107" s="212"/>
      <c r="VIV107" s="212"/>
      <c r="VIW107" s="212"/>
      <c r="VIX107" s="212"/>
      <c r="VIY107" s="212"/>
      <c r="VIZ107" s="212"/>
      <c r="VJA107" s="212"/>
      <c r="VJB107" s="212"/>
      <c r="VJC107" s="212"/>
      <c r="VJD107" s="212"/>
      <c r="VJE107" s="212"/>
      <c r="VJF107" s="212"/>
      <c r="VJG107" s="212"/>
      <c r="VJH107" s="212"/>
      <c r="VJI107" s="212"/>
      <c r="VJJ107" s="212"/>
      <c r="VJK107" s="212"/>
      <c r="VJL107" s="212"/>
      <c r="VJM107" s="212"/>
      <c r="VJN107" s="212"/>
      <c r="VJO107" s="212"/>
      <c r="VJP107" s="212"/>
      <c r="VJQ107" s="212"/>
      <c r="VJR107" s="212"/>
      <c r="VJS107" s="212"/>
      <c r="VJT107" s="212"/>
      <c r="VJU107" s="212"/>
      <c r="VJV107" s="212"/>
      <c r="VJW107" s="212"/>
      <c r="VJX107" s="212"/>
      <c r="VJY107" s="212"/>
      <c r="VJZ107" s="212"/>
      <c r="VKA107" s="212"/>
      <c r="VKB107" s="212"/>
      <c r="VKC107" s="212"/>
      <c r="VKD107" s="212"/>
      <c r="VKE107" s="212"/>
      <c r="VKF107" s="212"/>
      <c r="VKG107" s="212"/>
      <c r="VKH107" s="212"/>
      <c r="VKI107" s="212"/>
      <c r="VKJ107" s="212"/>
      <c r="VKK107" s="212"/>
      <c r="VKL107" s="212"/>
      <c r="VKM107" s="212"/>
      <c r="VKN107" s="212"/>
      <c r="VKO107" s="212"/>
      <c r="VKP107" s="212"/>
      <c r="VKQ107" s="212"/>
      <c r="VKR107" s="212"/>
      <c r="VKS107" s="212"/>
      <c r="VKT107" s="212"/>
      <c r="VKU107" s="212"/>
      <c r="VKV107" s="212"/>
      <c r="VKW107" s="212"/>
      <c r="VKX107" s="212"/>
      <c r="VKY107" s="212"/>
      <c r="VKZ107" s="212"/>
      <c r="VLA107" s="212"/>
      <c r="VLB107" s="212"/>
      <c r="VLC107" s="212"/>
      <c r="VLD107" s="212"/>
      <c r="VLE107" s="212"/>
      <c r="VLF107" s="212"/>
      <c r="VLG107" s="212"/>
      <c r="VLH107" s="212"/>
      <c r="VLI107" s="212"/>
      <c r="VLJ107" s="212"/>
      <c r="VLK107" s="212"/>
      <c r="VLL107" s="212"/>
      <c r="VLM107" s="212"/>
      <c r="VLN107" s="212"/>
      <c r="VLO107" s="212"/>
      <c r="VLP107" s="212"/>
      <c r="VLQ107" s="212"/>
      <c r="VLR107" s="212"/>
      <c r="VLS107" s="212"/>
      <c r="VLT107" s="212"/>
      <c r="VLU107" s="212"/>
      <c r="VLV107" s="212"/>
      <c r="VLW107" s="212"/>
      <c r="VLX107" s="212"/>
      <c r="VLY107" s="212"/>
      <c r="VLZ107" s="212"/>
      <c r="VMA107" s="212"/>
      <c r="VMB107" s="212"/>
      <c r="VMC107" s="212"/>
      <c r="VMD107" s="212"/>
      <c r="VME107" s="212"/>
      <c r="VMF107" s="212"/>
      <c r="VMG107" s="212"/>
      <c r="VMH107" s="212"/>
      <c r="VMI107" s="212"/>
      <c r="VMJ107" s="212"/>
      <c r="VMK107" s="212"/>
      <c r="VML107" s="212"/>
      <c r="VMM107" s="212"/>
      <c r="VMN107" s="212"/>
      <c r="VMO107" s="212"/>
      <c r="VMP107" s="212"/>
      <c r="VMQ107" s="212"/>
      <c r="VMR107" s="212"/>
      <c r="VMS107" s="212"/>
      <c r="VMT107" s="212"/>
      <c r="VMU107" s="212"/>
      <c r="VMV107" s="212"/>
      <c r="VMW107" s="212"/>
      <c r="VMX107" s="212"/>
      <c r="VMY107" s="212"/>
      <c r="VMZ107" s="212"/>
      <c r="VNA107" s="212"/>
      <c r="VNB107" s="212"/>
      <c r="VNC107" s="212"/>
      <c r="VND107" s="212"/>
      <c r="VNE107" s="212"/>
      <c r="VNF107" s="212"/>
      <c r="VNG107" s="212"/>
      <c r="VNH107" s="212"/>
      <c r="VNI107" s="212"/>
      <c r="VNJ107" s="212"/>
      <c r="VNK107" s="212"/>
      <c r="VNL107" s="212"/>
      <c r="VNM107" s="212"/>
      <c r="VNN107" s="212"/>
      <c r="VNO107" s="212"/>
      <c r="VNP107" s="212"/>
      <c r="VNQ107" s="212"/>
      <c r="VNR107" s="212"/>
      <c r="VNS107" s="212"/>
      <c r="VNT107" s="212"/>
      <c r="VNU107" s="212"/>
      <c r="VNV107" s="212"/>
      <c r="VNW107" s="212"/>
      <c r="VNX107" s="212"/>
      <c r="VNY107" s="212"/>
      <c r="VNZ107" s="212"/>
      <c r="VOA107" s="212"/>
      <c r="VOB107" s="212"/>
      <c r="VOC107" s="212"/>
      <c r="VOD107" s="212"/>
      <c r="VOE107" s="212"/>
      <c r="VOF107" s="212"/>
      <c r="VOG107" s="212"/>
      <c r="VOH107" s="212"/>
      <c r="VOI107" s="212"/>
      <c r="VOJ107" s="212"/>
      <c r="VOK107" s="212"/>
      <c r="VOL107" s="212"/>
      <c r="VOM107" s="212"/>
      <c r="VON107" s="212"/>
      <c r="VOO107" s="212"/>
      <c r="VOP107" s="212"/>
      <c r="VOQ107" s="212"/>
      <c r="VOR107" s="212"/>
      <c r="VOS107" s="212"/>
      <c r="VOT107" s="212"/>
      <c r="VOU107" s="212"/>
      <c r="VOV107" s="212"/>
      <c r="VOW107" s="212"/>
      <c r="VOX107" s="212"/>
      <c r="VOY107" s="212"/>
      <c r="VOZ107" s="212"/>
      <c r="VPA107" s="212"/>
      <c r="VPB107" s="212"/>
      <c r="VPC107" s="212"/>
      <c r="VPD107" s="212"/>
      <c r="VPE107" s="212"/>
      <c r="VPF107" s="212"/>
      <c r="VPG107" s="212"/>
      <c r="VPH107" s="212"/>
      <c r="VPI107" s="212"/>
      <c r="VPJ107" s="212"/>
      <c r="VPK107" s="212"/>
      <c r="VPL107" s="212"/>
      <c r="VPM107" s="212"/>
      <c r="VPN107" s="212"/>
      <c r="VPO107" s="212"/>
      <c r="VPP107" s="212"/>
      <c r="VPQ107" s="212"/>
      <c r="VPR107" s="212"/>
      <c r="VPS107" s="212"/>
      <c r="VPT107" s="212"/>
      <c r="VPU107" s="212"/>
      <c r="VPV107" s="212"/>
      <c r="VPW107" s="212"/>
      <c r="VPX107" s="212"/>
      <c r="VPY107" s="212"/>
      <c r="VPZ107" s="212"/>
      <c r="VQA107" s="212"/>
      <c r="VQB107" s="212"/>
      <c r="VQC107" s="212"/>
      <c r="VQD107" s="212"/>
      <c r="VQE107" s="212"/>
      <c r="VQF107" s="212"/>
      <c r="VQG107" s="212"/>
      <c r="VQH107" s="212"/>
      <c r="VQI107" s="212"/>
      <c r="VQJ107" s="212"/>
      <c r="VQK107" s="212"/>
      <c r="VQL107" s="212"/>
      <c r="VQM107" s="212"/>
      <c r="VQN107" s="212"/>
      <c r="VQO107" s="212"/>
      <c r="VQP107" s="212"/>
      <c r="VQQ107" s="212"/>
      <c r="VQR107" s="212"/>
      <c r="VQS107" s="212"/>
      <c r="VQT107" s="212"/>
      <c r="VQU107" s="212"/>
      <c r="VQV107" s="212"/>
      <c r="VQW107" s="212"/>
      <c r="VQX107" s="212"/>
      <c r="VQY107" s="212"/>
      <c r="VQZ107" s="212"/>
      <c r="VRA107" s="212"/>
      <c r="VRB107" s="212"/>
      <c r="VRC107" s="212"/>
      <c r="VRD107" s="212"/>
      <c r="VRE107" s="212"/>
      <c r="VRF107" s="212"/>
      <c r="VRG107" s="212"/>
      <c r="VRH107" s="212"/>
      <c r="VRI107" s="212"/>
      <c r="VRJ107" s="212"/>
      <c r="VRK107" s="212"/>
      <c r="VRL107" s="212"/>
      <c r="VRM107" s="212"/>
      <c r="VRN107" s="212"/>
      <c r="VRO107" s="212"/>
      <c r="VRP107" s="212"/>
      <c r="VRQ107" s="212"/>
      <c r="VRR107" s="212"/>
      <c r="VRS107" s="212"/>
      <c r="VRT107" s="212"/>
      <c r="VRU107" s="212"/>
      <c r="VRV107" s="212"/>
      <c r="VRW107" s="212"/>
      <c r="VRX107" s="212"/>
      <c r="VRY107" s="212"/>
      <c r="VRZ107" s="212"/>
      <c r="VSA107" s="212"/>
      <c r="VSB107" s="212"/>
      <c r="VSC107" s="212"/>
      <c r="VSD107" s="212"/>
      <c r="VSE107" s="212"/>
      <c r="VSF107" s="212"/>
      <c r="VSG107" s="212"/>
      <c r="VSH107" s="212"/>
      <c r="VSI107" s="212"/>
      <c r="VSJ107" s="212"/>
      <c r="VSK107" s="212"/>
      <c r="VSL107" s="212"/>
      <c r="VSM107" s="212"/>
      <c r="VSN107" s="212"/>
      <c r="VSO107" s="212"/>
      <c r="VSP107" s="212"/>
      <c r="VSQ107" s="212"/>
      <c r="VSR107" s="212"/>
      <c r="VSS107" s="212"/>
      <c r="VST107" s="212"/>
      <c r="VSU107" s="212"/>
      <c r="VSV107" s="212"/>
      <c r="VSW107" s="212"/>
      <c r="VSX107" s="212"/>
      <c r="VSY107" s="212"/>
      <c r="VSZ107" s="212"/>
      <c r="VTA107" s="212"/>
      <c r="VTB107" s="212"/>
      <c r="VTC107" s="212"/>
      <c r="VTD107" s="212"/>
      <c r="VTE107" s="212"/>
      <c r="VTF107" s="212"/>
      <c r="VTG107" s="212"/>
      <c r="VTH107" s="212"/>
      <c r="VTI107" s="212"/>
      <c r="VTJ107" s="212"/>
      <c r="VTK107" s="212"/>
      <c r="VTL107" s="212"/>
      <c r="VTM107" s="212"/>
      <c r="VTN107" s="212"/>
      <c r="VTO107" s="212"/>
      <c r="VTP107" s="212"/>
      <c r="VTQ107" s="212"/>
      <c r="VTR107" s="212"/>
      <c r="VTS107" s="212"/>
      <c r="VTT107" s="212"/>
      <c r="VTU107" s="212"/>
      <c r="VTV107" s="212"/>
      <c r="VTW107" s="212"/>
      <c r="VTX107" s="212"/>
      <c r="VTY107" s="212"/>
      <c r="VTZ107" s="212"/>
      <c r="VUA107" s="212"/>
      <c r="VUB107" s="212"/>
      <c r="VUC107" s="212"/>
      <c r="VUD107" s="212"/>
      <c r="VUE107" s="212"/>
      <c r="VUF107" s="212"/>
      <c r="VUG107" s="212"/>
      <c r="VUH107" s="212"/>
      <c r="VUI107" s="212"/>
      <c r="VUJ107" s="212"/>
      <c r="VUK107" s="212"/>
      <c r="VUL107" s="212"/>
      <c r="VUM107" s="212"/>
      <c r="VUN107" s="212"/>
      <c r="VUO107" s="212"/>
      <c r="VUP107" s="212"/>
      <c r="VUQ107" s="212"/>
      <c r="VUR107" s="212"/>
      <c r="VUS107" s="212"/>
      <c r="VUT107" s="212"/>
      <c r="VUU107" s="212"/>
      <c r="VUV107" s="212"/>
      <c r="VUW107" s="212"/>
      <c r="VUX107" s="212"/>
      <c r="VUY107" s="212"/>
      <c r="VUZ107" s="212"/>
      <c r="VVA107" s="212"/>
      <c r="VVB107" s="212"/>
      <c r="VVC107" s="212"/>
      <c r="VVD107" s="212"/>
      <c r="VVE107" s="212"/>
      <c r="VVF107" s="212"/>
      <c r="VVG107" s="212"/>
      <c r="VVH107" s="212"/>
      <c r="VVI107" s="212"/>
      <c r="VVJ107" s="212"/>
      <c r="VVK107" s="212"/>
      <c r="VVL107" s="212"/>
      <c r="VVM107" s="212"/>
      <c r="VVN107" s="212"/>
      <c r="VVO107" s="212"/>
      <c r="VVP107" s="212"/>
      <c r="VVQ107" s="212"/>
      <c r="VVR107" s="212"/>
      <c r="VVS107" s="212"/>
      <c r="VVT107" s="212"/>
      <c r="VVU107" s="212"/>
      <c r="VVV107" s="212"/>
      <c r="VVW107" s="212"/>
      <c r="VVX107" s="212"/>
      <c r="VVY107" s="212"/>
      <c r="VVZ107" s="212"/>
      <c r="VWA107" s="212"/>
      <c r="VWB107" s="212"/>
      <c r="VWC107" s="212"/>
      <c r="VWD107" s="212"/>
      <c r="VWE107" s="212"/>
      <c r="VWF107" s="212"/>
      <c r="VWG107" s="212"/>
      <c r="VWH107" s="212"/>
      <c r="VWI107" s="212"/>
      <c r="VWJ107" s="212"/>
      <c r="VWK107" s="212"/>
      <c r="VWL107" s="212"/>
      <c r="VWM107" s="212"/>
      <c r="VWN107" s="212"/>
      <c r="VWO107" s="212"/>
      <c r="VWP107" s="212"/>
      <c r="VWQ107" s="212"/>
      <c r="VWR107" s="212"/>
      <c r="VWS107" s="212"/>
      <c r="VWT107" s="212"/>
      <c r="VWU107" s="212"/>
      <c r="VWV107" s="212"/>
      <c r="VWW107" s="212"/>
      <c r="VWX107" s="212"/>
      <c r="VWY107" s="212"/>
      <c r="VWZ107" s="212"/>
      <c r="VXA107" s="212"/>
      <c r="VXB107" s="212"/>
      <c r="VXC107" s="212"/>
      <c r="VXD107" s="212"/>
      <c r="VXE107" s="212"/>
      <c r="VXF107" s="212"/>
      <c r="VXG107" s="212"/>
      <c r="VXH107" s="212"/>
      <c r="VXI107" s="212"/>
      <c r="VXJ107" s="212"/>
      <c r="VXK107" s="212"/>
      <c r="VXL107" s="212"/>
      <c r="VXM107" s="212"/>
      <c r="VXN107" s="212"/>
      <c r="VXO107" s="212"/>
      <c r="VXP107" s="212"/>
      <c r="VXQ107" s="212"/>
      <c r="VXR107" s="212"/>
      <c r="VXS107" s="212"/>
      <c r="VXT107" s="212"/>
      <c r="VXU107" s="212"/>
      <c r="VXV107" s="212"/>
      <c r="VXW107" s="212"/>
      <c r="VXX107" s="212"/>
      <c r="VXY107" s="212"/>
      <c r="VXZ107" s="212"/>
      <c r="VYA107" s="212"/>
      <c r="VYB107" s="212"/>
      <c r="VYC107" s="212"/>
      <c r="VYD107" s="212"/>
      <c r="VYE107" s="212"/>
      <c r="VYF107" s="212"/>
      <c r="VYG107" s="212"/>
      <c r="VYH107" s="212"/>
      <c r="VYI107" s="212"/>
      <c r="VYJ107" s="212"/>
      <c r="VYK107" s="212"/>
      <c r="VYL107" s="212"/>
      <c r="VYM107" s="212"/>
      <c r="VYN107" s="212"/>
      <c r="VYO107" s="212"/>
      <c r="VYP107" s="212"/>
      <c r="VYQ107" s="212"/>
      <c r="VYR107" s="212"/>
      <c r="VYS107" s="212"/>
      <c r="VYT107" s="212"/>
      <c r="VYU107" s="212"/>
      <c r="VYV107" s="212"/>
      <c r="VYW107" s="212"/>
      <c r="VYX107" s="212"/>
      <c r="VYY107" s="212"/>
      <c r="VYZ107" s="212"/>
      <c r="VZA107" s="212"/>
      <c r="VZB107" s="212"/>
      <c r="VZC107" s="212"/>
      <c r="VZD107" s="212"/>
      <c r="VZE107" s="212"/>
      <c r="VZF107" s="212"/>
      <c r="VZG107" s="212"/>
      <c r="VZH107" s="212"/>
      <c r="VZI107" s="212"/>
      <c r="VZJ107" s="212"/>
      <c r="VZK107" s="212"/>
      <c r="VZL107" s="212"/>
      <c r="VZM107" s="212"/>
      <c r="VZN107" s="212"/>
      <c r="VZO107" s="212"/>
      <c r="VZP107" s="212"/>
      <c r="VZQ107" s="212"/>
      <c r="VZR107" s="212"/>
      <c r="VZS107" s="212"/>
      <c r="VZT107" s="212"/>
      <c r="VZU107" s="212"/>
      <c r="VZV107" s="212"/>
      <c r="VZW107" s="212"/>
      <c r="VZX107" s="212"/>
      <c r="VZY107" s="212"/>
      <c r="VZZ107" s="212"/>
      <c r="WAA107" s="212"/>
      <c r="WAB107" s="212"/>
      <c r="WAC107" s="212"/>
      <c r="WAD107" s="212"/>
      <c r="WAE107" s="212"/>
      <c r="WAF107" s="212"/>
      <c r="WAG107" s="212"/>
      <c r="WAH107" s="212"/>
      <c r="WAI107" s="212"/>
      <c r="WAJ107" s="212"/>
      <c r="WAK107" s="212"/>
      <c r="WAL107" s="212"/>
      <c r="WAM107" s="212"/>
      <c r="WAN107" s="212"/>
      <c r="WAO107" s="212"/>
      <c r="WAP107" s="212"/>
      <c r="WAQ107" s="212"/>
      <c r="WAR107" s="212"/>
      <c r="WAS107" s="212"/>
      <c r="WAT107" s="212"/>
      <c r="WAU107" s="212"/>
      <c r="WAV107" s="212"/>
      <c r="WAW107" s="212"/>
      <c r="WAX107" s="212"/>
      <c r="WAY107" s="212"/>
      <c r="WAZ107" s="212"/>
      <c r="WBA107" s="212"/>
      <c r="WBB107" s="212"/>
      <c r="WBC107" s="212"/>
      <c r="WBD107" s="212"/>
      <c r="WBE107" s="212"/>
      <c r="WBF107" s="212"/>
      <c r="WBG107" s="212"/>
      <c r="WBH107" s="212"/>
      <c r="WBI107" s="212"/>
      <c r="WBJ107" s="212"/>
      <c r="WBK107" s="212"/>
      <c r="WBL107" s="212"/>
      <c r="WBM107" s="212"/>
      <c r="WBN107" s="212"/>
      <c r="WBO107" s="212"/>
      <c r="WBP107" s="212"/>
      <c r="WBQ107" s="212"/>
      <c r="WBR107" s="212"/>
      <c r="WBS107" s="212"/>
      <c r="WBT107" s="212"/>
      <c r="WBU107" s="212"/>
      <c r="WBV107" s="212"/>
      <c r="WBW107" s="212"/>
      <c r="WBX107" s="212"/>
      <c r="WBY107" s="212"/>
      <c r="WBZ107" s="212"/>
      <c r="WCA107" s="212"/>
      <c r="WCB107" s="212"/>
      <c r="WCC107" s="212"/>
      <c r="WCD107" s="212"/>
      <c r="WCE107" s="212"/>
      <c r="WCF107" s="212"/>
      <c r="WCG107" s="212"/>
      <c r="WCH107" s="212"/>
      <c r="WCI107" s="212"/>
      <c r="WCJ107" s="212"/>
      <c r="WCK107" s="212"/>
      <c r="WCL107" s="212"/>
      <c r="WCM107" s="212"/>
      <c r="WCN107" s="212"/>
      <c r="WCO107" s="212"/>
      <c r="WCP107" s="212"/>
      <c r="WCQ107" s="212"/>
      <c r="WCR107" s="212"/>
      <c r="WCS107" s="212"/>
      <c r="WCT107" s="212"/>
      <c r="WCU107" s="212"/>
      <c r="WCV107" s="212"/>
      <c r="WCW107" s="212"/>
      <c r="WCX107" s="212"/>
      <c r="WCY107" s="212"/>
      <c r="WCZ107" s="212"/>
      <c r="WDA107" s="212"/>
      <c r="WDB107" s="212"/>
      <c r="WDC107" s="212"/>
      <c r="WDD107" s="212"/>
      <c r="WDE107" s="212"/>
      <c r="WDF107" s="212"/>
      <c r="WDG107" s="212"/>
      <c r="WDH107" s="212"/>
      <c r="WDI107" s="212"/>
      <c r="WDJ107" s="212"/>
      <c r="WDK107" s="212"/>
      <c r="WDL107" s="212"/>
      <c r="WDM107" s="212"/>
      <c r="WDN107" s="212"/>
      <c r="WDO107" s="212"/>
      <c r="WDP107" s="212"/>
      <c r="WDQ107" s="212"/>
      <c r="WDR107" s="212"/>
      <c r="WDS107" s="212"/>
      <c r="WDT107" s="212"/>
      <c r="WDU107" s="212"/>
      <c r="WDV107" s="212"/>
      <c r="WDW107" s="212"/>
      <c r="WDX107" s="212"/>
      <c r="WDY107" s="212"/>
      <c r="WDZ107" s="212"/>
      <c r="WEA107" s="212"/>
      <c r="WEB107" s="212"/>
      <c r="WEC107" s="212"/>
      <c r="WED107" s="212"/>
      <c r="WEE107" s="212"/>
      <c r="WEF107" s="212"/>
      <c r="WEG107" s="212"/>
      <c r="WEH107" s="212"/>
      <c r="WEI107" s="212"/>
      <c r="WEJ107" s="212"/>
      <c r="WEK107" s="212"/>
      <c r="WEL107" s="212"/>
      <c r="WEM107" s="212"/>
      <c r="WEN107" s="212"/>
      <c r="WEO107" s="212"/>
      <c r="WEP107" s="212"/>
      <c r="WEQ107" s="212"/>
      <c r="WER107" s="212"/>
      <c r="WES107" s="212"/>
      <c r="WET107" s="212"/>
      <c r="WEU107" s="212"/>
      <c r="WEV107" s="212"/>
      <c r="WEW107" s="212"/>
      <c r="WEX107" s="212"/>
      <c r="WEY107" s="212"/>
      <c r="WEZ107" s="212"/>
      <c r="WFA107" s="212"/>
      <c r="WFB107" s="212"/>
      <c r="WFC107" s="212"/>
      <c r="WFD107" s="212"/>
      <c r="WFE107" s="212"/>
      <c r="WFF107" s="212"/>
      <c r="WFG107" s="212"/>
      <c r="WFH107" s="212"/>
      <c r="WFI107" s="212"/>
      <c r="WFJ107" s="212"/>
      <c r="WFK107" s="212"/>
      <c r="WFL107" s="212"/>
      <c r="WFM107" s="212"/>
      <c r="WFN107" s="212"/>
      <c r="WFO107" s="212"/>
      <c r="WFP107" s="212"/>
      <c r="WFQ107" s="212"/>
      <c r="WFR107" s="212"/>
      <c r="WFS107" s="212"/>
      <c r="WFT107" s="212"/>
      <c r="WFU107" s="212"/>
      <c r="WFV107" s="212"/>
      <c r="WFW107" s="212"/>
      <c r="WFX107" s="212"/>
      <c r="WFY107" s="212"/>
      <c r="WFZ107" s="212"/>
      <c r="WGA107" s="212"/>
      <c r="WGB107" s="212"/>
      <c r="WGC107" s="212"/>
      <c r="WGD107" s="212"/>
      <c r="WGE107" s="212"/>
      <c r="WGF107" s="212"/>
      <c r="WGG107" s="212"/>
      <c r="WGH107" s="212"/>
      <c r="WGI107" s="212"/>
      <c r="WGJ107" s="212"/>
      <c r="WGK107" s="212"/>
      <c r="WGL107" s="212"/>
      <c r="WGM107" s="212"/>
      <c r="WGN107" s="212"/>
      <c r="WGO107" s="212"/>
      <c r="WGP107" s="212"/>
      <c r="WGQ107" s="212"/>
      <c r="WGR107" s="212"/>
      <c r="WGS107" s="212"/>
      <c r="WGT107" s="212"/>
      <c r="WGU107" s="212"/>
      <c r="WGV107" s="212"/>
      <c r="WGW107" s="212"/>
      <c r="WGX107" s="212"/>
      <c r="WGY107" s="212"/>
      <c r="WGZ107" s="212"/>
      <c r="WHA107" s="212"/>
      <c r="WHB107" s="212"/>
      <c r="WHC107" s="212"/>
      <c r="WHD107" s="212"/>
      <c r="WHE107" s="212"/>
      <c r="WHF107" s="212"/>
      <c r="WHG107" s="212"/>
      <c r="WHH107" s="212"/>
      <c r="WHI107" s="212"/>
      <c r="WHJ107" s="212"/>
      <c r="WHK107" s="212"/>
      <c r="WHL107" s="212"/>
      <c r="WHM107" s="212"/>
      <c r="WHN107" s="212"/>
      <c r="WHO107" s="212"/>
      <c r="WHP107" s="212"/>
      <c r="WHQ107" s="212"/>
      <c r="WHR107" s="212"/>
      <c r="WHS107" s="212"/>
      <c r="WHT107" s="212"/>
      <c r="WHU107" s="212"/>
      <c r="WHV107" s="212"/>
      <c r="WHW107" s="212"/>
      <c r="WHX107" s="212"/>
      <c r="WHY107" s="212"/>
      <c r="WHZ107" s="212"/>
      <c r="WIA107" s="212"/>
      <c r="WIB107" s="212"/>
      <c r="WIC107" s="212"/>
      <c r="WID107" s="212"/>
      <c r="WIE107" s="212"/>
      <c r="WIF107" s="212"/>
      <c r="WIG107" s="212"/>
      <c r="WIH107" s="212"/>
      <c r="WII107" s="212"/>
      <c r="WIJ107" s="212"/>
      <c r="WIK107" s="212"/>
      <c r="WIL107" s="212"/>
      <c r="WIM107" s="212"/>
      <c r="WIN107" s="212"/>
      <c r="WIO107" s="212"/>
      <c r="WIP107" s="212"/>
      <c r="WIQ107" s="212"/>
      <c r="WIR107" s="212"/>
      <c r="WIS107" s="212"/>
      <c r="WIT107" s="212"/>
      <c r="WIU107" s="212"/>
      <c r="WIV107" s="212"/>
      <c r="WIW107" s="212"/>
      <c r="WIX107" s="212"/>
      <c r="WIY107" s="212"/>
      <c r="WIZ107" s="212"/>
      <c r="WJA107" s="212"/>
      <c r="WJB107" s="212"/>
      <c r="WJC107" s="212"/>
      <c r="WJD107" s="212"/>
      <c r="WJE107" s="212"/>
      <c r="WJF107" s="212"/>
      <c r="WJG107" s="212"/>
      <c r="WJH107" s="212"/>
      <c r="WJI107" s="212"/>
      <c r="WJJ107" s="212"/>
      <c r="WJK107" s="212"/>
      <c r="WJL107" s="212"/>
      <c r="WJM107" s="212"/>
      <c r="WJN107" s="212"/>
      <c r="WJO107" s="212"/>
      <c r="WJP107" s="212"/>
      <c r="WJQ107" s="212"/>
      <c r="WJR107" s="212"/>
      <c r="WJS107" s="212"/>
      <c r="WJT107" s="212"/>
      <c r="WJU107" s="212"/>
      <c r="WJV107" s="212"/>
      <c r="WJW107" s="212"/>
      <c r="WJX107" s="212"/>
      <c r="WJY107" s="212"/>
      <c r="WJZ107" s="212"/>
      <c r="WKA107" s="212"/>
      <c r="WKB107" s="212"/>
      <c r="WKC107" s="212"/>
      <c r="WKD107" s="212"/>
      <c r="WKE107" s="212"/>
      <c r="WKF107" s="212"/>
      <c r="WKG107" s="212"/>
      <c r="WKH107" s="212"/>
      <c r="WKI107" s="212"/>
      <c r="WKJ107" s="212"/>
      <c r="WKK107" s="212"/>
      <c r="WKL107" s="212"/>
      <c r="WKM107" s="212"/>
      <c r="WKN107" s="212"/>
      <c r="WKO107" s="212"/>
      <c r="WKP107" s="212"/>
      <c r="WKQ107" s="212"/>
      <c r="WKR107" s="212"/>
      <c r="WKS107" s="212"/>
      <c r="WKT107" s="212"/>
      <c r="WKU107" s="212"/>
      <c r="WKV107" s="212"/>
      <c r="WKW107" s="212"/>
      <c r="WKX107" s="212"/>
      <c r="WKY107" s="212"/>
      <c r="WKZ107" s="212"/>
      <c r="WLA107" s="212"/>
      <c r="WLB107" s="212"/>
      <c r="WLC107" s="212"/>
      <c r="WLD107" s="212"/>
      <c r="WLE107" s="212"/>
      <c r="WLF107" s="212"/>
      <c r="WLG107" s="212"/>
      <c r="WLH107" s="212"/>
      <c r="WLI107" s="212"/>
      <c r="WLJ107" s="212"/>
      <c r="WLK107" s="212"/>
      <c r="WLL107" s="212"/>
      <c r="WLM107" s="212"/>
      <c r="WLN107" s="212"/>
      <c r="WLO107" s="212"/>
      <c r="WLP107" s="212"/>
      <c r="WLQ107" s="212"/>
      <c r="WLR107" s="212"/>
      <c r="WLS107" s="212"/>
      <c r="WLT107" s="212"/>
      <c r="WLU107" s="212"/>
      <c r="WLV107" s="212"/>
      <c r="WLW107" s="212"/>
      <c r="WLX107" s="212"/>
      <c r="WLY107" s="212"/>
      <c r="WLZ107" s="212"/>
      <c r="WMA107" s="212"/>
      <c r="WMB107" s="212"/>
      <c r="WMC107" s="212"/>
      <c r="WMD107" s="212"/>
      <c r="WME107" s="212"/>
      <c r="WMF107" s="212"/>
      <c r="WMG107" s="212"/>
      <c r="WMH107" s="212"/>
      <c r="WMI107" s="212"/>
      <c r="WMJ107" s="212"/>
      <c r="WMK107" s="212"/>
      <c r="WML107" s="212"/>
      <c r="WMM107" s="212"/>
      <c r="WMN107" s="212"/>
      <c r="WMO107" s="212"/>
      <c r="WMP107" s="212"/>
      <c r="WMQ107" s="212"/>
      <c r="WMR107" s="212"/>
      <c r="WMS107" s="212"/>
      <c r="WMT107" s="212"/>
      <c r="WMU107" s="212"/>
      <c r="WMV107" s="212"/>
      <c r="WMW107" s="212"/>
      <c r="WMX107" s="212"/>
      <c r="WMY107" s="212"/>
      <c r="WMZ107" s="212"/>
      <c r="WNA107" s="212"/>
      <c r="WNB107" s="212"/>
      <c r="WNC107" s="212"/>
      <c r="WND107" s="212"/>
      <c r="WNE107" s="212"/>
      <c r="WNF107" s="212"/>
      <c r="WNG107" s="212"/>
      <c r="WNH107" s="212"/>
      <c r="WNI107" s="212"/>
      <c r="WNJ107" s="212"/>
      <c r="WNK107" s="212"/>
      <c r="WNL107" s="212"/>
      <c r="WNM107" s="212"/>
      <c r="WNN107" s="212"/>
      <c r="WNO107" s="212"/>
      <c r="WNP107" s="212"/>
      <c r="WNQ107" s="212"/>
      <c r="WNR107" s="212"/>
      <c r="WNS107" s="212"/>
      <c r="WNT107" s="212"/>
      <c r="WNU107" s="212"/>
      <c r="WNV107" s="212"/>
      <c r="WNW107" s="212"/>
      <c r="WNX107" s="212"/>
      <c r="WNY107" s="212"/>
      <c r="WNZ107" s="212"/>
      <c r="WOA107" s="212"/>
      <c r="WOB107" s="212"/>
      <c r="WOC107" s="212"/>
      <c r="WOD107" s="212"/>
      <c r="WOE107" s="212"/>
      <c r="WOF107" s="212"/>
      <c r="WOG107" s="212"/>
      <c r="WOH107" s="212"/>
      <c r="WOI107" s="212"/>
      <c r="WOJ107" s="212"/>
      <c r="WOK107" s="212"/>
      <c r="WOL107" s="212"/>
      <c r="WOM107" s="212"/>
      <c r="WON107" s="212"/>
      <c r="WOO107" s="212"/>
      <c r="WOP107" s="212"/>
      <c r="WOQ107" s="212"/>
      <c r="WOR107" s="212"/>
      <c r="WOS107" s="212"/>
      <c r="WOT107" s="212"/>
      <c r="WOU107" s="212"/>
      <c r="WOV107" s="212"/>
      <c r="WOW107" s="212"/>
      <c r="WOX107" s="212"/>
      <c r="WOY107" s="212"/>
      <c r="WOZ107" s="212"/>
      <c r="WPA107" s="212"/>
      <c r="WPB107" s="212"/>
      <c r="WPC107" s="212"/>
      <c r="WPD107" s="212"/>
      <c r="WPE107" s="212"/>
      <c r="WPF107" s="212"/>
      <c r="WPG107" s="212"/>
      <c r="WPH107" s="212"/>
      <c r="WPI107" s="212"/>
      <c r="WPJ107" s="212"/>
      <c r="WPK107" s="212"/>
      <c r="WPL107" s="212"/>
      <c r="WPM107" s="212"/>
      <c r="WPN107" s="212"/>
      <c r="WPO107" s="212"/>
      <c r="WPP107" s="212"/>
      <c r="WPQ107" s="212"/>
      <c r="WPR107" s="212"/>
      <c r="WPS107" s="212"/>
      <c r="WPT107" s="212"/>
      <c r="WPU107" s="212"/>
      <c r="WPV107" s="212"/>
      <c r="WPW107" s="212"/>
      <c r="WPX107" s="212"/>
      <c r="WPY107" s="212"/>
      <c r="WPZ107" s="212"/>
      <c r="WQA107" s="212"/>
      <c r="WQB107" s="212"/>
      <c r="WQC107" s="212"/>
      <c r="WQD107" s="212"/>
      <c r="WQE107" s="212"/>
      <c r="WQF107" s="212"/>
      <c r="WQG107" s="212"/>
      <c r="WQH107" s="212"/>
      <c r="WQI107" s="212"/>
      <c r="WQJ107" s="212"/>
      <c r="WQK107" s="212"/>
      <c r="WQL107" s="212"/>
      <c r="WQM107" s="212"/>
      <c r="WQN107" s="212"/>
      <c r="WQO107" s="212"/>
      <c r="WQP107" s="212"/>
      <c r="WQQ107" s="212"/>
      <c r="WQR107" s="212"/>
      <c r="WQS107" s="212"/>
      <c r="WQT107" s="212"/>
      <c r="WQU107" s="212"/>
      <c r="WQV107" s="212"/>
      <c r="WQW107" s="212"/>
      <c r="WQX107" s="212"/>
      <c r="WQY107" s="212"/>
      <c r="WQZ107" s="212"/>
      <c r="WRA107" s="212"/>
      <c r="WRB107" s="212"/>
      <c r="WRC107" s="212"/>
      <c r="WRD107" s="212"/>
      <c r="WRE107" s="212"/>
      <c r="WRF107" s="212"/>
      <c r="WRG107" s="212"/>
      <c r="WRH107" s="212"/>
      <c r="WRI107" s="212"/>
      <c r="WRJ107" s="212"/>
      <c r="WRK107" s="212"/>
      <c r="WRL107" s="212"/>
      <c r="WRM107" s="212"/>
      <c r="WRN107" s="212"/>
      <c r="WRO107" s="212"/>
      <c r="WRP107" s="212"/>
      <c r="WRQ107" s="212"/>
      <c r="WRR107" s="212"/>
      <c r="WRS107" s="212"/>
      <c r="WRT107" s="212"/>
      <c r="WRU107" s="212"/>
      <c r="WRV107" s="212"/>
      <c r="WRW107" s="212"/>
      <c r="WRX107" s="212"/>
      <c r="WRY107" s="212"/>
      <c r="WRZ107" s="212"/>
      <c r="WSA107" s="212"/>
      <c r="WSB107" s="212"/>
      <c r="WSC107" s="212"/>
      <c r="WSD107" s="212"/>
      <c r="WSE107" s="212"/>
      <c r="WSF107" s="212"/>
      <c r="WSG107" s="212"/>
      <c r="WSH107" s="212"/>
      <c r="WSI107" s="212"/>
      <c r="WSJ107" s="212"/>
      <c r="WSK107" s="212"/>
      <c r="WSL107" s="212"/>
      <c r="WSM107" s="212"/>
      <c r="WSN107" s="212"/>
      <c r="WSO107" s="212"/>
      <c r="WSP107" s="212"/>
      <c r="WSQ107" s="212"/>
      <c r="WSR107" s="212"/>
      <c r="WSS107" s="212"/>
      <c r="WST107" s="212"/>
      <c r="WSU107" s="212"/>
      <c r="WSV107" s="212"/>
      <c r="WSW107" s="212"/>
      <c r="WSX107" s="212"/>
      <c r="WSY107" s="212"/>
      <c r="WSZ107" s="212"/>
      <c r="WTA107" s="212"/>
      <c r="WTB107" s="212"/>
      <c r="WTC107" s="212"/>
      <c r="WTD107" s="212"/>
      <c r="WTE107" s="212"/>
      <c r="WTF107" s="212"/>
      <c r="WTG107" s="212"/>
      <c r="WTH107" s="212"/>
      <c r="WTI107" s="212"/>
      <c r="WTJ107" s="212"/>
      <c r="WTK107" s="212"/>
      <c r="WTL107" s="212"/>
      <c r="WTM107" s="212"/>
      <c r="WTN107" s="212"/>
      <c r="WTO107" s="212"/>
      <c r="WTP107" s="212"/>
      <c r="WTQ107" s="212"/>
      <c r="WTR107" s="212"/>
      <c r="WTS107" s="212"/>
      <c r="WTT107" s="212"/>
      <c r="WTU107" s="212"/>
      <c r="WTV107" s="212"/>
      <c r="WTW107" s="212"/>
      <c r="WTX107" s="212"/>
      <c r="WTY107" s="212"/>
      <c r="WTZ107" s="212"/>
      <c r="WUA107" s="212"/>
      <c r="WUB107" s="212"/>
      <c r="WUC107" s="212"/>
      <c r="WUD107" s="212"/>
      <c r="WUE107" s="212"/>
      <c r="WUF107" s="212"/>
      <c r="WUG107" s="212"/>
      <c r="WUH107" s="212"/>
      <c r="WUI107" s="212"/>
      <c r="WUJ107" s="212"/>
      <c r="WUK107" s="212"/>
      <c r="WUL107" s="212"/>
      <c r="WUM107" s="212"/>
      <c r="WUN107" s="212"/>
      <c r="WUO107" s="212"/>
      <c r="WUP107" s="212"/>
      <c r="WUQ107" s="212"/>
      <c r="WUR107" s="212"/>
      <c r="WUS107" s="212"/>
      <c r="WUT107" s="212"/>
      <c r="WUU107" s="212"/>
      <c r="WUV107" s="212"/>
      <c r="WUW107" s="212"/>
      <c r="WUX107" s="212"/>
      <c r="WUY107" s="212"/>
      <c r="WUZ107" s="212"/>
      <c r="WVA107" s="212"/>
      <c r="WVB107" s="212"/>
      <c r="WVC107" s="212"/>
      <c r="WVD107" s="212"/>
      <c r="WVE107" s="212"/>
      <c r="WVF107" s="212"/>
      <c r="WVG107" s="212"/>
      <c r="WVH107" s="212"/>
      <c r="WVI107" s="212"/>
      <c r="WVJ107" s="212"/>
      <c r="WVK107" s="212"/>
      <c r="WVL107" s="212"/>
      <c r="WVM107" s="212"/>
      <c r="WVN107" s="212"/>
    </row>
  </sheetData>
  <mergeCells count="11">
    <mergeCell ref="E11:H11"/>
    <mergeCell ref="C100:D100"/>
    <mergeCell ref="C101:D101"/>
    <mergeCell ref="C104:D104"/>
    <mergeCell ref="C105:D105"/>
    <mergeCell ref="A96:D97"/>
    <mergeCell ref="A1:D6"/>
    <mergeCell ref="A7:D7"/>
    <mergeCell ref="A8:D8"/>
    <mergeCell ref="A9:D9"/>
    <mergeCell ref="C107:D107"/>
  </mergeCells>
  <printOptions horizontalCentered="1"/>
  <pageMargins left="1.1811023622047245" right="0.78740157480314965" top="0.59055118110236227" bottom="1.1811023622047245" header="0.39370078740157483" footer="0.59055118110236227"/>
  <pageSetup paperSize="9" scale="72" fitToHeight="0" orientation="portrait" useFirstPageNumber="1" r:id="rId1"/>
  <headerFooter scaleWithDoc="0"/>
  <rowBreaks count="1" manualBreakCount="1">
    <brk id="69" max="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83DEA-B065-4C7E-954B-166AFCD08F8E}">
  <sheetPr codeName="Sheet19">
    <tabColor rgb="FF1B6744"/>
    <pageSetUpPr fitToPage="1"/>
  </sheetPr>
  <dimension ref="A1:H52"/>
  <sheetViews>
    <sheetView view="pageBreakPreview" zoomScale="87" zoomScaleNormal="112" workbookViewId="0">
      <selection sqref="A1:XFD1048576"/>
    </sheetView>
  </sheetViews>
  <sheetFormatPr defaultColWidth="8.77734375" defaultRowHeight="13.8" x14ac:dyDescent="0.3"/>
  <cols>
    <col min="1" max="1" width="40.77734375" style="65" bestFit="1" customWidth="1"/>
    <col min="2" max="2" width="10.21875" style="65" bestFit="1" customWidth="1"/>
    <col min="3" max="3" width="24.44140625" style="65" bestFit="1" customWidth="1"/>
    <col min="4" max="4" width="26.5546875" style="65" customWidth="1"/>
    <col min="5" max="8" width="22.77734375" style="65" bestFit="1" customWidth="1"/>
    <col min="9" max="256" width="8.77734375" style="65"/>
    <col min="257" max="257" width="59.77734375" style="65" bestFit="1" customWidth="1"/>
    <col min="258" max="258" width="10.44140625" style="65" customWidth="1"/>
    <col min="259" max="260" width="18" style="65" bestFit="1" customWidth="1"/>
    <col min="261" max="261" width="15.44140625" style="65" bestFit="1" customWidth="1"/>
    <col min="262" max="512" width="8.77734375" style="65"/>
    <col min="513" max="513" width="59.77734375" style="65" bestFit="1" customWidth="1"/>
    <col min="514" max="514" width="10.44140625" style="65" customWidth="1"/>
    <col min="515" max="516" width="18" style="65" bestFit="1" customWidth="1"/>
    <col min="517" max="517" width="15.44140625" style="65" bestFit="1" customWidth="1"/>
    <col min="518" max="768" width="8.77734375" style="65"/>
    <col min="769" max="769" width="59.77734375" style="65" bestFit="1" customWidth="1"/>
    <col min="770" max="770" width="10.44140625" style="65" customWidth="1"/>
    <col min="771" max="772" width="18" style="65" bestFit="1" customWidth="1"/>
    <col min="773" max="773" width="15.44140625" style="65" bestFit="1" customWidth="1"/>
    <col min="774" max="1024" width="8.77734375" style="65"/>
    <col min="1025" max="1025" width="59.77734375" style="65" bestFit="1" customWidth="1"/>
    <col min="1026" max="1026" width="10.44140625" style="65" customWidth="1"/>
    <col min="1027" max="1028" width="18" style="65" bestFit="1" customWidth="1"/>
    <col min="1029" max="1029" width="15.44140625" style="65" bestFit="1" customWidth="1"/>
    <col min="1030" max="1280" width="8.77734375" style="65"/>
    <col min="1281" max="1281" width="59.77734375" style="65" bestFit="1" customWidth="1"/>
    <col min="1282" max="1282" width="10.44140625" style="65" customWidth="1"/>
    <col min="1283" max="1284" width="18" style="65" bestFit="1" customWidth="1"/>
    <col min="1285" max="1285" width="15.44140625" style="65" bestFit="1" customWidth="1"/>
    <col min="1286" max="1536" width="8.77734375" style="65"/>
    <col min="1537" max="1537" width="59.77734375" style="65" bestFit="1" customWidth="1"/>
    <col min="1538" max="1538" width="10.44140625" style="65" customWidth="1"/>
    <col min="1539" max="1540" width="18" style="65" bestFit="1" customWidth="1"/>
    <col min="1541" max="1541" width="15.44140625" style="65" bestFit="1" customWidth="1"/>
    <col min="1542" max="1792" width="8.77734375" style="65"/>
    <col min="1793" max="1793" width="59.77734375" style="65" bestFit="1" customWidth="1"/>
    <col min="1794" max="1794" width="10.44140625" style="65" customWidth="1"/>
    <col min="1795" max="1796" width="18" style="65" bestFit="1" customWidth="1"/>
    <col min="1797" max="1797" width="15.44140625" style="65" bestFit="1" customWidth="1"/>
    <col min="1798" max="2048" width="8.77734375" style="65"/>
    <col min="2049" max="2049" width="59.77734375" style="65" bestFit="1" customWidth="1"/>
    <col min="2050" max="2050" width="10.44140625" style="65" customWidth="1"/>
    <col min="2051" max="2052" width="18" style="65" bestFit="1" customWidth="1"/>
    <col min="2053" max="2053" width="15.44140625" style="65" bestFit="1" customWidth="1"/>
    <col min="2054" max="2304" width="8.77734375" style="65"/>
    <col min="2305" max="2305" width="59.77734375" style="65" bestFit="1" customWidth="1"/>
    <col min="2306" max="2306" width="10.44140625" style="65" customWidth="1"/>
    <col min="2307" max="2308" width="18" style="65" bestFit="1" customWidth="1"/>
    <col min="2309" max="2309" width="15.44140625" style="65" bestFit="1" customWidth="1"/>
    <col min="2310" max="2560" width="8.77734375" style="65"/>
    <col min="2561" max="2561" width="59.77734375" style="65" bestFit="1" customWidth="1"/>
    <col min="2562" max="2562" width="10.44140625" style="65" customWidth="1"/>
    <col min="2563" max="2564" width="18" style="65" bestFit="1" customWidth="1"/>
    <col min="2565" max="2565" width="15.44140625" style="65" bestFit="1" customWidth="1"/>
    <col min="2566" max="2816" width="8.77734375" style="65"/>
    <col min="2817" max="2817" width="59.77734375" style="65" bestFit="1" customWidth="1"/>
    <col min="2818" max="2818" width="10.44140625" style="65" customWidth="1"/>
    <col min="2819" max="2820" width="18" style="65" bestFit="1" customWidth="1"/>
    <col min="2821" max="2821" width="15.44140625" style="65" bestFit="1" customWidth="1"/>
    <col min="2822" max="3072" width="8.77734375" style="65"/>
    <col min="3073" max="3073" width="59.77734375" style="65" bestFit="1" customWidth="1"/>
    <col min="3074" max="3074" width="10.44140625" style="65" customWidth="1"/>
    <col min="3075" max="3076" width="18" style="65" bestFit="1" customWidth="1"/>
    <col min="3077" max="3077" width="15.44140625" style="65" bestFit="1" customWidth="1"/>
    <col min="3078" max="3328" width="8.77734375" style="65"/>
    <col min="3329" max="3329" width="59.77734375" style="65" bestFit="1" customWidth="1"/>
    <col min="3330" max="3330" width="10.44140625" style="65" customWidth="1"/>
    <col min="3331" max="3332" width="18" style="65" bestFit="1" customWidth="1"/>
    <col min="3333" max="3333" width="15.44140625" style="65" bestFit="1" customWidth="1"/>
    <col min="3334" max="3584" width="8.77734375" style="65"/>
    <col min="3585" max="3585" width="59.77734375" style="65" bestFit="1" customWidth="1"/>
    <col min="3586" max="3586" width="10.44140625" style="65" customWidth="1"/>
    <col min="3587" max="3588" width="18" style="65" bestFit="1" customWidth="1"/>
    <col min="3589" max="3589" width="15.44140625" style="65" bestFit="1" customWidth="1"/>
    <col min="3590" max="3840" width="8.77734375" style="65"/>
    <col min="3841" max="3841" width="59.77734375" style="65" bestFit="1" customWidth="1"/>
    <col min="3842" max="3842" width="10.44140625" style="65" customWidth="1"/>
    <col min="3843" max="3844" width="18" style="65" bestFit="1" customWidth="1"/>
    <col min="3845" max="3845" width="15.44140625" style="65" bestFit="1" customWidth="1"/>
    <col min="3846" max="4096" width="8.77734375" style="65"/>
    <col min="4097" max="4097" width="59.77734375" style="65" bestFit="1" customWidth="1"/>
    <col min="4098" max="4098" width="10.44140625" style="65" customWidth="1"/>
    <col min="4099" max="4100" width="18" style="65" bestFit="1" customWidth="1"/>
    <col min="4101" max="4101" width="15.44140625" style="65" bestFit="1" customWidth="1"/>
    <col min="4102" max="4352" width="8.77734375" style="65"/>
    <col min="4353" max="4353" width="59.77734375" style="65" bestFit="1" customWidth="1"/>
    <col min="4354" max="4354" width="10.44140625" style="65" customWidth="1"/>
    <col min="4355" max="4356" width="18" style="65" bestFit="1" customWidth="1"/>
    <col min="4357" max="4357" width="15.44140625" style="65" bestFit="1" customWidth="1"/>
    <col min="4358" max="4608" width="8.77734375" style="65"/>
    <col min="4609" max="4609" width="59.77734375" style="65" bestFit="1" customWidth="1"/>
    <col min="4610" max="4610" width="10.44140625" style="65" customWidth="1"/>
    <col min="4611" max="4612" width="18" style="65" bestFit="1" customWidth="1"/>
    <col min="4613" max="4613" width="15.44140625" style="65" bestFit="1" customWidth="1"/>
    <col min="4614" max="4864" width="8.77734375" style="65"/>
    <col min="4865" max="4865" width="59.77734375" style="65" bestFit="1" customWidth="1"/>
    <col min="4866" max="4866" width="10.44140625" style="65" customWidth="1"/>
    <col min="4867" max="4868" width="18" style="65" bestFit="1" customWidth="1"/>
    <col min="4869" max="4869" width="15.44140625" style="65" bestFit="1" customWidth="1"/>
    <col min="4870" max="5120" width="8.77734375" style="65"/>
    <col min="5121" max="5121" width="59.77734375" style="65" bestFit="1" customWidth="1"/>
    <col min="5122" max="5122" width="10.44140625" style="65" customWidth="1"/>
    <col min="5123" max="5124" width="18" style="65" bestFit="1" customWidth="1"/>
    <col min="5125" max="5125" width="15.44140625" style="65" bestFit="1" customWidth="1"/>
    <col min="5126" max="5376" width="8.77734375" style="65"/>
    <col min="5377" max="5377" width="59.77734375" style="65" bestFit="1" customWidth="1"/>
    <col min="5378" max="5378" width="10.44140625" style="65" customWidth="1"/>
    <col min="5379" max="5380" width="18" style="65" bestFit="1" customWidth="1"/>
    <col min="5381" max="5381" width="15.44140625" style="65" bestFit="1" customWidth="1"/>
    <col min="5382" max="5632" width="8.77734375" style="65"/>
    <col min="5633" max="5633" width="59.77734375" style="65" bestFit="1" customWidth="1"/>
    <col min="5634" max="5634" width="10.44140625" style="65" customWidth="1"/>
    <col min="5635" max="5636" width="18" style="65" bestFit="1" customWidth="1"/>
    <col min="5637" max="5637" width="15.44140625" style="65" bestFit="1" customWidth="1"/>
    <col min="5638" max="5888" width="8.77734375" style="65"/>
    <col min="5889" max="5889" width="59.77734375" style="65" bestFit="1" customWidth="1"/>
    <col min="5890" max="5890" width="10.44140625" style="65" customWidth="1"/>
    <col min="5891" max="5892" width="18" style="65" bestFit="1" customWidth="1"/>
    <col min="5893" max="5893" width="15.44140625" style="65" bestFit="1" customWidth="1"/>
    <col min="5894" max="6144" width="8.77734375" style="65"/>
    <col min="6145" max="6145" width="59.77734375" style="65" bestFit="1" customWidth="1"/>
    <col min="6146" max="6146" width="10.44140625" style="65" customWidth="1"/>
    <col min="6147" max="6148" width="18" style="65" bestFit="1" customWidth="1"/>
    <col min="6149" max="6149" width="15.44140625" style="65" bestFit="1" customWidth="1"/>
    <col min="6150" max="6400" width="8.77734375" style="65"/>
    <col min="6401" max="6401" width="59.77734375" style="65" bestFit="1" customWidth="1"/>
    <col min="6402" max="6402" width="10.44140625" style="65" customWidth="1"/>
    <col min="6403" max="6404" width="18" style="65" bestFit="1" customWidth="1"/>
    <col min="6405" max="6405" width="15.44140625" style="65" bestFit="1" customWidth="1"/>
    <col min="6406" max="6656" width="8.77734375" style="65"/>
    <col min="6657" max="6657" width="59.77734375" style="65" bestFit="1" customWidth="1"/>
    <col min="6658" max="6658" width="10.44140625" style="65" customWidth="1"/>
    <col min="6659" max="6660" width="18" style="65" bestFit="1" customWidth="1"/>
    <col min="6661" max="6661" width="15.44140625" style="65" bestFit="1" customWidth="1"/>
    <col min="6662" max="6912" width="8.77734375" style="65"/>
    <col min="6913" max="6913" width="59.77734375" style="65" bestFit="1" customWidth="1"/>
    <col min="6914" max="6914" width="10.44140625" style="65" customWidth="1"/>
    <col min="6915" max="6916" width="18" style="65" bestFit="1" customWidth="1"/>
    <col min="6917" max="6917" width="15.44140625" style="65" bestFit="1" customWidth="1"/>
    <col min="6918" max="7168" width="8.77734375" style="65"/>
    <col min="7169" max="7169" width="59.77734375" style="65" bestFit="1" customWidth="1"/>
    <col min="7170" max="7170" width="10.44140625" style="65" customWidth="1"/>
    <col min="7171" max="7172" width="18" style="65" bestFit="1" customWidth="1"/>
    <col min="7173" max="7173" width="15.44140625" style="65" bestFit="1" customWidth="1"/>
    <col min="7174" max="7424" width="8.77734375" style="65"/>
    <col min="7425" max="7425" width="59.77734375" style="65" bestFit="1" customWidth="1"/>
    <col min="7426" max="7426" width="10.44140625" style="65" customWidth="1"/>
    <col min="7427" max="7428" width="18" style="65" bestFit="1" customWidth="1"/>
    <col min="7429" max="7429" width="15.44140625" style="65" bestFit="1" customWidth="1"/>
    <col min="7430" max="7680" width="8.77734375" style="65"/>
    <col min="7681" max="7681" width="59.77734375" style="65" bestFit="1" customWidth="1"/>
    <col min="7682" max="7682" width="10.44140625" style="65" customWidth="1"/>
    <col min="7683" max="7684" width="18" style="65" bestFit="1" customWidth="1"/>
    <col min="7685" max="7685" width="15.44140625" style="65" bestFit="1" customWidth="1"/>
    <col min="7686" max="7936" width="8.77734375" style="65"/>
    <col min="7937" max="7937" width="59.77734375" style="65" bestFit="1" customWidth="1"/>
    <col min="7938" max="7938" width="10.44140625" style="65" customWidth="1"/>
    <col min="7939" max="7940" width="18" style="65" bestFit="1" customWidth="1"/>
    <col min="7941" max="7941" width="15.44140625" style="65" bestFit="1" customWidth="1"/>
    <col min="7942" max="8192" width="8.77734375" style="65"/>
    <col min="8193" max="8193" width="59.77734375" style="65" bestFit="1" customWidth="1"/>
    <col min="8194" max="8194" width="10.44140625" style="65" customWidth="1"/>
    <col min="8195" max="8196" width="18" style="65" bestFit="1" customWidth="1"/>
    <col min="8197" max="8197" width="15.44140625" style="65" bestFit="1" customWidth="1"/>
    <col min="8198" max="8448" width="8.77734375" style="65"/>
    <col min="8449" max="8449" width="59.77734375" style="65" bestFit="1" customWidth="1"/>
    <col min="8450" max="8450" width="10.44140625" style="65" customWidth="1"/>
    <col min="8451" max="8452" width="18" style="65" bestFit="1" customWidth="1"/>
    <col min="8453" max="8453" width="15.44140625" style="65" bestFit="1" customWidth="1"/>
    <col min="8454" max="8704" width="8.77734375" style="65"/>
    <col min="8705" max="8705" width="59.77734375" style="65" bestFit="1" customWidth="1"/>
    <col min="8706" max="8706" width="10.44140625" style="65" customWidth="1"/>
    <col min="8707" max="8708" width="18" style="65" bestFit="1" customWidth="1"/>
    <col min="8709" max="8709" width="15.44140625" style="65" bestFit="1" customWidth="1"/>
    <col min="8710" max="8960" width="8.77734375" style="65"/>
    <col min="8961" max="8961" width="59.77734375" style="65" bestFit="1" customWidth="1"/>
    <col min="8962" max="8962" width="10.44140625" style="65" customWidth="1"/>
    <col min="8963" max="8964" width="18" style="65" bestFit="1" customWidth="1"/>
    <col min="8965" max="8965" width="15.44140625" style="65" bestFit="1" customWidth="1"/>
    <col min="8966" max="9216" width="8.77734375" style="65"/>
    <col min="9217" max="9217" width="59.77734375" style="65" bestFit="1" customWidth="1"/>
    <col min="9218" max="9218" width="10.44140625" style="65" customWidth="1"/>
    <col min="9219" max="9220" width="18" style="65" bestFit="1" customWidth="1"/>
    <col min="9221" max="9221" width="15.44140625" style="65" bestFit="1" customWidth="1"/>
    <col min="9222" max="9472" width="8.77734375" style="65"/>
    <col min="9473" max="9473" width="59.77734375" style="65" bestFit="1" customWidth="1"/>
    <col min="9474" max="9474" width="10.44140625" style="65" customWidth="1"/>
    <col min="9475" max="9476" width="18" style="65" bestFit="1" customWidth="1"/>
    <col min="9477" max="9477" width="15.44140625" style="65" bestFit="1" customWidth="1"/>
    <col min="9478" max="9728" width="8.77734375" style="65"/>
    <col min="9729" max="9729" width="59.77734375" style="65" bestFit="1" customWidth="1"/>
    <col min="9730" max="9730" width="10.44140625" style="65" customWidth="1"/>
    <col min="9731" max="9732" width="18" style="65" bestFit="1" customWidth="1"/>
    <col min="9733" max="9733" width="15.44140625" style="65" bestFit="1" customWidth="1"/>
    <col min="9734" max="9984" width="8.77734375" style="65"/>
    <col min="9985" max="9985" width="59.77734375" style="65" bestFit="1" customWidth="1"/>
    <col min="9986" max="9986" width="10.44140625" style="65" customWidth="1"/>
    <col min="9987" max="9988" width="18" style="65" bestFit="1" customWidth="1"/>
    <col min="9989" max="9989" width="15.44140625" style="65" bestFit="1" customWidth="1"/>
    <col min="9990" max="10240" width="8.77734375" style="65"/>
    <col min="10241" max="10241" width="59.77734375" style="65" bestFit="1" customWidth="1"/>
    <col min="10242" max="10242" width="10.44140625" style="65" customWidth="1"/>
    <col min="10243" max="10244" width="18" style="65" bestFit="1" customWidth="1"/>
    <col min="10245" max="10245" width="15.44140625" style="65" bestFit="1" customWidth="1"/>
    <col min="10246" max="10496" width="8.77734375" style="65"/>
    <col min="10497" max="10497" width="59.77734375" style="65" bestFit="1" customWidth="1"/>
    <col min="10498" max="10498" width="10.44140625" style="65" customWidth="1"/>
    <col min="10499" max="10500" width="18" style="65" bestFit="1" customWidth="1"/>
    <col min="10501" max="10501" width="15.44140625" style="65" bestFit="1" customWidth="1"/>
    <col min="10502" max="10752" width="8.77734375" style="65"/>
    <col min="10753" max="10753" width="59.77734375" style="65" bestFit="1" customWidth="1"/>
    <col min="10754" max="10754" width="10.44140625" style="65" customWidth="1"/>
    <col min="10755" max="10756" width="18" style="65" bestFit="1" customWidth="1"/>
    <col min="10757" max="10757" width="15.44140625" style="65" bestFit="1" customWidth="1"/>
    <col min="10758" max="11008" width="8.77734375" style="65"/>
    <col min="11009" max="11009" width="59.77734375" style="65" bestFit="1" customWidth="1"/>
    <col min="11010" max="11010" width="10.44140625" style="65" customWidth="1"/>
    <col min="11011" max="11012" width="18" style="65" bestFit="1" customWidth="1"/>
    <col min="11013" max="11013" width="15.44140625" style="65" bestFit="1" customWidth="1"/>
    <col min="11014" max="11264" width="8.77734375" style="65"/>
    <col min="11265" max="11265" width="59.77734375" style="65" bestFit="1" customWidth="1"/>
    <col min="11266" max="11266" width="10.44140625" style="65" customWidth="1"/>
    <col min="11267" max="11268" width="18" style="65" bestFit="1" customWidth="1"/>
    <col min="11269" max="11269" width="15.44140625" style="65" bestFit="1" customWidth="1"/>
    <col min="11270" max="11520" width="8.77734375" style="65"/>
    <col min="11521" max="11521" width="59.77734375" style="65" bestFit="1" customWidth="1"/>
    <col min="11522" max="11522" width="10.44140625" style="65" customWidth="1"/>
    <col min="11523" max="11524" width="18" style="65" bestFit="1" customWidth="1"/>
    <col min="11525" max="11525" width="15.44140625" style="65" bestFit="1" customWidth="1"/>
    <col min="11526" max="11776" width="8.77734375" style="65"/>
    <col min="11777" max="11777" width="59.77734375" style="65" bestFit="1" customWidth="1"/>
    <col min="11778" max="11778" width="10.44140625" style="65" customWidth="1"/>
    <col min="11779" max="11780" width="18" style="65" bestFit="1" customWidth="1"/>
    <col min="11781" max="11781" width="15.44140625" style="65" bestFit="1" customWidth="1"/>
    <col min="11782" max="12032" width="8.77734375" style="65"/>
    <col min="12033" max="12033" width="59.77734375" style="65" bestFit="1" customWidth="1"/>
    <col min="12034" max="12034" width="10.44140625" style="65" customWidth="1"/>
    <col min="12035" max="12036" width="18" style="65" bestFit="1" customWidth="1"/>
    <col min="12037" max="12037" width="15.44140625" style="65" bestFit="1" customWidth="1"/>
    <col min="12038" max="12288" width="8.77734375" style="65"/>
    <col min="12289" max="12289" width="59.77734375" style="65" bestFit="1" customWidth="1"/>
    <col min="12290" max="12290" width="10.44140625" style="65" customWidth="1"/>
    <col min="12291" max="12292" width="18" style="65" bestFit="1" customWidth="1"/>
    <col min="12293" max="12293" width="15.44140625" style="65" bestFit="1" customWidth="1"/>
    <col min="12294" max="12544" width="8.77734375" style="65"/>
    <col min="12545" max="12545" width="59.77734375" style="65" bestFit="1" customWidth="1"/>
    <col min="12546" max="12546" width="10.44140625" style="65" customWidth="1"/>
    <col min="12547" max="12548" width="18" style="65" bestFit="1" customWidth="1"/>
    <col min="12549" max="12549" width="15.44140625" style="65" bestFit="1" customWidth="1"/>
    <col min="12550" max="12800" width="8.77734375" style="65"/>
    <col min="12801" max="12801" width="59.77734375" style="65" bestFit="1" customWidth="1"/>
    <col min="12802" max="12802" width="10.44140625" style="65" customWidth="1"/>
    <col min="12803" max="12804" width="18" style="65" bestFit="1" customWidth="1"/>
    <col min="12805" max="12805" width="15.44140625" style="65" bestFit="1" customWidth="1"/>
    <col min="12806" max="13056" width="8.77734375" style="65"/>
    <col min="13057" max="13057" width="59.77734375" style="65" bestFit="1" customWidth="1"/>
    <col min="13058" max="13058" width="10.44140625" style="65" customWidth="1"/>
    <col min="13059" max="13060" width="18" style="65" bestFit="1" customWidth="1"/>
    <col min="13061" max="13061" width="15.44140625" style="65" bestFit="1" customWidth="1"/>
    <col min="13062" max="13312" width="8.77734375" style="65"/>
    <col min="13313" max="13313" width="59.77734375" style="65" bestFit="1" customWidth="1"/>
    <col min="13314" max="13314" width="10.44140625" style="65" customWidth="1"/>
    <col min="13315" max="13316" width="18" style="65" bestFit="1" customWidth="1"/>
    <col min="13317" max="13317" width="15.44140625" style="65" bestFit="1" customWidth="1"/>
    <col min="13318" max="13568" width="8.77734375" style="65"/>
    <col min="13569" max="13569" width="59.77734375" style="65" bestFit="1" customWidth="1"/>
    <col min="13570" max="13570" width="10.44140625" style="65" customWidth="1"/>
    <col min="13571" max="13572" width="18" style="65" bestFit="1" customWidth="1"/>
    <col min="13573" max="13573" width="15.44140625" style="65" bestFit="1" customWidth="1"/>
    <col min="13574" max="13824" width="8.77734375" style="65"/>
    <col min="13825" max="13825" width="59.77734375" style="65" bestFit="1" customWidth="1"/>
    <col min="13826" max="13826" width="10.44140625" style="65" customWidth="1"/>
    <col min="13827" max="13828" width="18" style="65" bestFit="1" customWidth="1"/>
    <col min="13829" max="13829" width="15.44140625" style="65" bestFit="1" customWidth="1"/>
    <col min="13830" max="14080" width="8.77734375" style="65"/>
    <col min="14081" max="14081" width="59.77734375" style="65" bestFit="1" customWidth="1"/>
    <col min="14082" max="14082" width="10.44140625" style="65" customWidth="1"/>
    <col min="14083" max="14084" width="18" style="65" bestFit="1" customWidth="1"/>
    <col min="14085" max="14085" width="15.44140625" style="65" bestFit="1" customWidth="1"/>
    <col min="14086" max="14336" width="8.77734375" style="65"/>
    <col min="14337" max="14337" width="59.77734375" style="65" bestFit="1" customWidth="1"/>
    <col min="14338" max="14338" width="10.44140625" style="65" customWidth="1"/>
    <col min="14339" max="14340" width="18" style="65" bestFit="1" customWidth="1"/>
    <col min="14341" max="14341" width="15.44140625" style="65" bestFit="1" customWidth="1"/>
    <col min="14342" max="14592" width="8.77734375" style="65"/>
    <col min="14593" max="14593" width="59.77734375" style="65" bestFit="1" customWidth="1"/>
    <col min="14594" max="14594" width="10.44140625" style="65" customWidth="1"/>
    <col min="14595" max="14596" width="18" style="65" bestFit="1" customWidth="1"/>
    <col min="14597" max="14597" width="15.44140625" style="65" bestFit="1" customWidth="1"/>
    <col min="14598" max="14848" width="8.77734375" style="65"/>
    <col min="14849" max="14849" width="59.77734375" style="65" bestFit="1" customWidth="1"/>
    <col min="14850" max="14850" width="10.44140625" style="65" customWidth="1"/>
    <col min="14851" max="14852" width="18" style="65" bestFit="1" customWidth="1"/>
    <col min="14853" max="14853" width="15.44140625" style="65" bestFit="1" customWidth="1"/>
    <col min="14854" max="15104" width="8.77734375" style="65"/>
    <col min="15105" max="15105" width="59.77734375" style="65" bestFit="1" customWidth="1"/>
    <col min="15106" max="15106" width="10.44140625" style="65" customWidth="1"/>
    <col min="15107" max="15108" width="18" style="65" bestFit="1" customWidth="1"/>
    <col min="15109" max="15109" width="15.44140625" style="65" bestFit="1" customWidth="1"/>
    <col min="15110" max="15360" width="8.77734375" style="65"/>
    <col min="15361" max="15361" width="59.77734375" style="65" bestFit="1" customWidth="1"/>
    <col min="15362" max="15362" width="10.44140625" style="65" customWidth="1"/>
    <col min="15363" max="15364" width="18" style="65" bestFit="1" customWidth="1"/>
    <col min="15365" max="15365" width="15.44140625" style="65" bestFit="1" customWidth="1"/>
    <col min="15366" max="15616" width="8.77734375" style="65"/>
    <col min="15617" max="15617" width="59.77734375" style="65" bestFit="1" customWidth="1"/>
    <col min="15618" max="15618" width="10.44140625" style="65" customWidth="1"/>
    <col min="15619" max="15620" width="18" style="65" bestFit="1" customWidth="1"/>
    <col min="15621" max="15621" width="15.44140625" style="65" bestFit="1" customWidth="1"/>
    <col min="15622" max="15872" width="8.77734375" style="65"/>
    <col min="15873" max="15873" width="59.77734375" style="65" bestFit="1" customWidth="1"/>
    <col min="15874" max="15874" width="10.44140625" style="65" customWidth="1"/>
    <col min="15875" max="15876" width="18" style="65" bestFit="1" customWidth="1"/>
    <col min="15877" max="15877" width="15.44140625" style="65" bestFit="1" customWidth="1"/>
    <col min="15878" max="16128" width="8.77734375" style="65"/>
    <col min="16129" max="16129" width="59.77734375" style="65" bestFit="1" customWidth="1"/>
    <col min="16130" max="16130" width="10.44140625" style="65" customWidth="1"/>
    <col min="16131" max="16132" width="18" style="65" bestFit="1" customWidth="1"/>
    <col min="16133" max="16133" width="15.44140625" style="65" bestFit="1" customWidth="1"/>
    <col min="16134" max="16384" width="8.77734375" style="65"/>
  </cols>
  <sheetData>
    <row r="1" spans="1:8" ht="14.85" customHeight="1" x14ac:dyDescent="0.3">
      <c r="A1" s="336" t="e" vm="1">
        <v>#VALUE!</v>
      </c>
      <c r="B1" s="336"/>
      <c r="C1" s="336"/>
      <c r="D1" s="336"/>
    </row>
    <row r="2" spans="1:8" x14ac:dyDescent="0.3">
      <c r="A2" s="336"/>
      <c r="B2" s="336"/>
      <c r="C2" s="336"/>
      <c r="D2" s="336"/>
    </row>
    <row r="3" spans="1:8" x14ac:dyDescent="0.3">
      <c r="A3" s="336"/>
      <c r="B3" s="336"/>
      <c r="C3" s="336"/>
      <c r="D3" s="336"/>
    </row>
    <row r="4" spans="1:8" x14ac:dyDescent="0.3">
      <c r="A4" s="336"/>
      <c r="B4" s="336"/>
      <c r="C4" s="336"/>
      <c r="D4" s="336"/>
    </row>
    <row r="5" spans="1:8" x14ac:dyDescent="0.3">
      <c r="A5" s="336"/>
      <c r="B5" s="336"/>
      <c r="C5" s="336"/>
      <c r="D5" s="336"/>
    </row>
    <row r="6" spans="1:8" x14ac:dyDescent="0.3">
      <c r="A6" s="336"/>
      <c r="B6" s="336"/>
      <c r="C6" s="336"/>
      <c r="D6" s="336"/>
    </row>
    <row r="7" spans="1:8" x14ac:dyDescent="0.3">
      <c r="A7" s="337" t="s">
        <v>271</v>
      </c>
      <c r="B7" s="337"/>
      <c r="C7" s="337"/>
      <c r="D7" s="337"/>
    </row>
    <row r="8" spans="1:8" x14ac:dyDescent="0.3">
      <c r="A8" s="337" t="s">
        <v>259</v>
      </c>
      <c r="B8" s="337"/>
      <c r="C8" s="337"/>
      <c r="D8" s="337"/>
    </row>
    <row r="9" spans="1:8" ht="14.4" x14ac:dyDescent="0.3">
      <c r="A9" s="337" t="s">
        <v>281</v>
      </c>
      <c r="B9" s="337"/>
      <c r="C9" s="337"/>
      <c r="D9" s="337"/>
      <c r="E9"/>
      <c r="F9"/>
      <c r="G9"/>
      <c r="H9"/>
    </row>
    <row r="10" spans="1:8" s="67" customFormat="1" ht="14.4" x14ac:dyDescent="0.3">
      <c r="A10" s="338"/>
      <c r="B10" s="338"/>
      <c r="C10" s="338"/>
      <c r="D10" s="338"/>
      <c r="E10"/>
      <c r="F10"/>
      <c r="G10"/>
      <c r="H10"/>
    </row>
    <row r="11" spans="1:8" s="67" customFormat="1" ht="14.4" x14ac:dyDescent="0.3">
      <c r="C11" s="332" t="s">
        <v>1</v>
      </c>
      <c r="D11" s="332"/>
      <c r="E11"/>
      <c r="F11"/>
      <c r="G11"/>
      <c r="H11"/>
    </row>
    <row r="12" spans="1:8" ht="26.1" customHeight="1" x14ac:dyDescent="0.3">
      <c r="A12" s="69" t="s">
        <v>2</v>
      </c>
      <c r="B12" s="70" t="s">
        <v>3</v>
      </c>
      <c r="C12" s="69" t="s">
        <v>278</v>
      </c>
      <c r="D12" s="69" t="s">
        <v>279</v>
      </c>
      <c r="E12"/>
      <c r="F12"/>
      <c r="G12"/>
      <c r="H12"/>
    </row>
    <row r="13" spans="1:8" ht="14.4" x14ac:dyDescent="0.3">
      <c r="A13" s="248"/>
      <c r="B13" s="248"/>
      <c r="C13" s="249"/>
      <c r="D13" s="249"/>
      <c r="E13"/>
      <c r="F13"/>
      <c r="G13"/>
      <c r="H13"/>
    </row>
    <row r="14" spans="1:8" ht="14.4" x14ac:dyDescent="0.3">
      <c r="A14" s="101" t="s">
        <v>260</v>
      </c>
      <c r="B14" s="250" t="s">
        <v>363</v>
      </c>
      <c r="C14" s="103" t="s">
        <v>282</v>
      </c>
      <c r="D14" s="103">
        <v>3046908306073.6416</v>
      </c>
      <c r="E14"/>
      <c r="F14"/>
      <c r="G14"/>
      <c r="H14"/>
    </row>
    <row r="15" spans="1:8" ht="14.4" x14ac:dyDescent="0.3">
      <c r="A15" s="251"/>
      <c r="B15" s="252"/>
      <c r="C15" s="253"/>
      <c r="D15" s="253"/>
      <c r="E15"/>
      <c r="F15"/>
      <c r="G15"/>
      <c r="H15"/>
    </row>
    <row r="16" spans="1:8" ht="14.4" x14ac:dyDescent="0.3">
      <c r="A16" s="101" t="s">
        <v>228</v>
      </c>
      <c r="B16" s="250" t="s">
        <v>362</v>
      </c>
      <c r="C16" s="103">
        <v>41874679337.074219</v>
      </c>
      <c r="D16" s="103">
        <v>-102088325598.01709</v>
      </c>
      <c r="E16"/>
      <c r="F16"/>
      <c r="G16"/>
      <c r="H16"/>
    </row>
    <row r="17" spans="1:8" ht="14.4" x14ac:dyDescent="0.3">
      <c r="A17" s="251"/>
      <c r="B17" s="252"/>
      <c r="C17" s="253"/>
      <c r="D17" s="253"/>
      <c r="E17"/>
      <c r="F17"/>
      <c r="G17"/>
      <c r="H17"/>
    </row>
    <row r="18" spans="1:8" ht="27.6" x14ac:dyDescent="0.3">
      <c r="A18" s="101" t="s">
        <v>261</v>
      </c>
      <c r="B18" s="250" t="s">
        <v>361</v>
      </c>
      <c r="C18" s="103">
        <v>3684982431.6799974</v>
      </c>
      <c r="D18" s="103">
        <v>11254646973.320002</v>
      </c>
      <c r="E18"/>
      <c r="F18"/>
      <c r="G18"/>
      <c r="H18"/>
    </row>
    <row r="19" spans="1:8" ht="14.4" x14ac:dyDescent="0.3">
      <c r="A19" s="254" t="s">
        <v>262</v>
      </c>
      <c r="B19" s="255"/>
      <c r="C19" s="256">
        <v>-434373449.48000002</v>
      </c>
      <c r="D19" s="257">
        <v>577339061.30999994</v>
      </c>
      <c r="E19"/>
      <c r="F19"/>
      <c r="G19"/>
      <c r="H19"/>
    </row>
    <row r="20" spans="1:8" ht="14.4" x14ac:dyDescent="0.3">
      <c r="A20" s="254" t="s">
        <v>263</v>
      </c>
      <c r="B20" s="255"/>
      <c r="C20" s="256">
        <v>-2243284631.5899997</v>
      </c>
      <c r="D20" s="257">
        <v>0</v>
      </c>
      <c r="E20"/>
      <c r="F20"/>
      <c r="G20"/>
      <c r="H20"/>
    </row>
    <row r="21" spans="1:8" ht="14.4" x14ac:dyDescent="0.3">
      <c r="A21" s="254" t="s">
        <v>264</v>
      </c>
      <c r="B21" s="255"/>
      <c r="C21" s="256">
        <v>8470632389.0699968</v>
      </c>
      <c r="D21" s="257">
        <v>14410754912.010002</v>
      </c>
      <c r="E21"/>
      <c r="F21"/>
      <c r="G21"/>
      <c r="H21"/>
    </row>
    <row r="22" spans="1:8" ht="14.4" hidden="1" x14ac:dyDescent="0.3">
      <c r="A22" s="254" t="s">
        <v>265</v>
      </c>
      <c r="B22" s="255"/>
      <c r="C22" s="256">
        <v>0</v>
      </c>
      <c r="D22" s="257">
        <v>0</v>
      </c>
      <c r="E22"/>
      <c r="F22"/>
      <c r="G22"/>
      <c r="H22"/>
    </row>
    <row r="23" spans="1:8" ht="14.4" x14ac:dyDescent="0.3">
      <c r="A23" s="254" t="s">
        <v>266</v>
      </c>
      <c r="B23" s="255"/>
      <c r="C23" s="256">
        <v>-204582951.31999999</v>
      </c>
      <c r="D23" s="257">
        <v>0</v>
      </c>
      <c r="E23"/>
      <c r="F23"/>
      <c r="G23"/>
      <c r="H23"/>
    </row>
    <row r="24" spans="1:8" ht="14.4" hidden="1" x14ac:dyDescent="0.3">
      <c r="A24" s="254" t="s">
        <v>267</v>
      </c>
      <c r="B24" s="255"/>
      <c r="C24" s="256">
        <v>0</v>
      </c>
      <c r="D24" s="257">
        <v>0</v>
      </c>
      <c r="E24"/>
      <c r="F24"/>
      <c r="G24"/>
      <c r="H24"/>
    </row>
    <row r="25" spans="1:8" ht="14.4" x14ac:dyDescent="0.3">
      <c r="A25" s="254" t="s">
        <v>268</v>
      </c>
      <c r="B25" s="255"/>
      <c r="C25" s="256">
        <v>207679847</v>
      </c>
      <c r="D25" s="257">
        <v>-2840327000</v>
      </c>
      <c r="E25"/>
      <c r="F25"/>
      <c r="G25"/>
      <c r="H25"/>
    </row>
    <row r="26" spans="1:8" ht="14.4" x14ac:dyDescent="0.3">
      <c r="A26" s="254" t="s">
        <v>269</v>
      </c>
      <c r="B26" s="255"/>
      <c r="C26" s="256">
        <v>-2111088772</v>
      </c>
      <c r="D26" s="257">
        <v>-893120000</v>
      </c>
      <c r="E26"/>
      <c r="F26"/>
      <c r="G26"/>
      <c r="H26"/>
    </row>
    <row r="27" spans="1:8" ht="14.4" x14ac:dyDescent="0.3">
      <c r="A27" s="258"/>
      <c r="B27" s="259"/>
      <c r="C27" s="260"/>
      <c r="D27" s="260"/>
      <c r="E27"/>
      <c r="F27"/>
      <c r="G27"/>
      <c r="H27"/>
    </row>
    <row r="28" spans="1:8" ht="26.1" customHeight="1" x14ac:dyDescent="0.3">
      <c r="A28" s="69" t="s">
        <v>270</v>
      </c>
      <c r="B28" s="70" t="s">
        <v>360</v>
      </c>
      <c r="C28" s="261">
        <v>3001634289217.6943</v>
      </c>
      <c r="D28" s="261">
        <v>2956074627448.9443</v>
      </c>
      <c r="E28"/>
      <c r="F28"/>
      <c r="G28"/>
      <c r="H28"/>
    </row>
    <row r="29" spans="1:8" ht="8.1" customHeight="1" x14ac:dyDescent="0.3">
      <c r="A29" s="262"/>
      <c r="B29" s="263"/>
      <c r="C29" s="263"/>
      <c r="D29" s="90"/>
      <c r="E29"/>
      <c r="F29"/>
      <c r="G29"/>
      <c r="H29"/>
    </row>
    <row r="30" spans="1:8" ht="16.350000000000001" customHeight="1" x14ac:dyDescent="0.3">
      <c r="A30" s="333" t="s">
        <v>77</v>
      </c>
      <c r="B30" s="333"/>
      <c r="C30" s="333"/>
      <c r="D30" s="333"/>
      <c r="E30"/>
      <c r="F30"/>
      <c r="G30"/>
      <c r="H30"/>
    </row>
    <row r="31" spans="1:8" ht="16.350000000000001" customHeight="1" x14ac:dyDescent="0.3">
      <c r="A31" s="333"/>
      <c r="B31" s="333"/>
      <c r="C31" s="333"/>
      <c r="D31" s="333"/>
      <c r="E31"/>
      <c r="F31"/>
      <c r="G31"/>
      <c r="H31"/>
    </row>
    <row r="32" spans="1:8" ht="16.350000000000001" customHeight="1" x14ac:dyDescent="0.3">
      <c r="A32" s="89"/>
      <c r="B32" s="89"/>
      <c r="C32" s="89"/>
      <c r="D32" s="89"/>
      <c r="E32"/>
      <c r="F32"/>
      <c r="G32"/>
      <c r="H32"/>
    </row>
    <row r="33" spans="3:8" ht="14.4" x14ac:dyDescent="0.3">
      <c r="C33" s="90"/>
      <c r="E33"/>
      <c r="F33"/>
      <c r="G33"/>
      <c r="H33"/>
    </row>
    <row r="34" spans="3:8" ht="17.399999999999999" x14ac:dyDescent="0.3">
      <c r="C34" s="334" t="s">
        <v>276</v>
      </c>
      <c r="D34" s="335"/>
      <c r="E34"/>
      <c r="F34"/>
      <c r="G34"/>
      <c r="H34"/>
    </row>
    <row r="35" spans="3:8" ht="17.399999999999999" x14ac:dyDescent="0.3">
      <c r="C35" s="91"/>
      <c r="D35" s="91"/>
      <c r="E35"/>
      <c r="F35"/>
      <c r="G35"/>
      <c r="H35"/>
    </row>
    <row r="36" spans="3:8" ht="17.399999999999999" x14ac:dyDescent="0.3">
      <c r="C36" s="91"/>
      <c r="D36" s="91"/>
      <c r="E36"/>
      <c r="F36"/>
      <c r="G36"/>
      <c r="H36"/>
    </row>
    <row r="37" spans="3:8" ht="17.399999999999999" x14ac:dyDescent="0.3">
      <c r="C37" s="91"/>
      <c r="D37" s="91"/>
      <c r="E37"/>
      <c r="F37"/>
      <c r="G37"/>
      <c r="H37"/>
    </row>
    <row r="38" spans="3:8" ht="17.399999999999999" x14ac:dyDescent="0.3">
      <c r="C38" s="335"/>
      <c r="D38" s="335"/>
      <c r="E38"/>
      <c r="F38"/>
      <c r="G38"/>
      <c r="H38"/>
    </row>
    <row r="39" spans="3:8" ht="17.399999999999999" x14ac:dyDescent="0.3">
      <c r="C39" s="334">
        <v>0</v>
      </c>
      <c r="D39" s="335"/>
      <c r="E39"/>
      <c r="F39"/>
      <c r="G39"/>
      <c r="H39"/>
    </row>
    <row r="40" spans="3:8" ht="14.4" x14ac:dyDescent="0.3">
      <c r="C40" s="85"/>
      <c r="D40" s="85"/>
      <c r="E40"/>
      <c r="F40"/>
      <c r="G40"/>
      <c r="H40"/>
    </row>
    <row r="41" spans="3:8" ht="14.4" x14ac:dyDescent="0.3">
      <c r="E41"/>
      <c r="F41"/>
      <c r="G41"/>
      <c r="H41"/>
    </row>
    <row r="42" spans="3:8" ht="14.4" x14ac:dyDescent="0.3">
      <c r="E42"/>
      <c r="F42"/>
      <c r="G42"/>
      <c r="H42"/>
    </row>
    <row r="43" spans="3:8" ht="14.4" x14ac:dyDescent="0.3">
      <c r="E43"/>
      <c r="F43"/>
      <c r="G43"/>
      <c r="H43"/>
    </row>
    <row r="44" spans="3:8" ht="14.4" x14ac:dyDescent="0.3">
      <c r="E44"/>
      <c r="F44"/>
      <c r="G44"/>
      <c r="H44"/>
    </row>
    <row r="45" spans="3:8" ht="14.4" x14ac:dyDescent="0.3">
      <c r="E45"/>
      <c r="F45"/>
      <c r="G45"/>
      <c r="H45"/>
    </row>
    <row r="46" spans="3:8" ht="14.4" x14ac:dyDescent="0.3">
      <c r="E46"/>
      <c r="F46"/>
      <c r="G46"/>
      <c r="H46"/>
    </row>
    <row r="47" spans="3:8" ht="14.4" x14ac:dyDescent="0.3">
      <c r="E47"/>
      <c r="F47"/>
      <c r="G47"/>
      <c r="H47"/>
    </row>
    <row r="48" spans="3:8" ht="14.4" x14ac:dyDescent="0.3">
      <c r="E48"/>
      <c r="F48"/>
      <c r="G48"/>
      <c r="H48"/>
    </row>
    <row r="49" spans="5:8" ht="14.4" x14ac:dyDescent="0.3">
      <c r="E49"/>
      <c r="F49"/>
      <c r="G49"/>
      <c r="H49"/>
    </row>
    <row r="50" spans="5:8" ht="14.4" x14ac:dyDescent="0.3">
      <c r="E50"/>
      <c r="F50"/>
      <c r="G50"/>
      <c r="H50"/>
    </row>
    <row r="51" spans="5:8" ht="14.4" x14ac:dyDescent="0.3">
      <c r="E51"/>
      <c r="F51"/>
      <c r="G51"/>
      <c r="H51"/>
    </row>
    <row r="52" spans="5:8" ht="14.4" x14ac:dyDescent="0.3">
      <c r="E52"/>
      <c r="F52"/>
      <c r="G52"/>
      <c r="H52"/>
    </row>
  </sheetData>
  <mergeCells count="10">
    <mergeCell ref="A30:D31"/>
    <mergeCell ref="C34:D34"/>
    <mergeCell ref="C38:D38"/>
    <mergeCell ref="C39:D39"/>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78" fitToHeight="0" orientation="portrait" useFirstPageNumber="1" r:id="rId1"/>
  <headerFooter scaleWithDoc="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95AC2-CDE8-49D7-8F63-6E20F63CC8FF}">
  <sheetPr codeName="Sheet14">
    <pageSetUpPr fitToPage="1"/>
  </sheetPr>
  <dimension ref="A1:J113"/>
  <sheetViews>
    <sheetView topLeftCell="A12" zoomScale="80" zoomScaleNormal="80" workbookViewId="0">
      <pane xSplit="1" ySplit="1" topLeftCell="B77" activePane="bottomRight" state="frozen"/>
      <selection activeCell="A12" sqref="A12"/>
      <selection pane="topRight" activeCell="B12" sqref="B12"/>
      <selection pane="bottomLeft" activeCell="A13" sqref="A13"/>
      <selection pane="bottomRight" activeCell="D102" sqref="D102"/>
    </sheetView>
  </sheetViews>
  <sheetFormatPr defaultColWidth="9.21875" defaultRowHeight="13.8" x14ac:dyDescent="0.3"/>
  <cols>
    <col min="1" max="1" width="52" style="62" customWidth="1"/>
    <col min="2" max="2" width="12.109375" style="62" customWidth="1"/>
    <col min="3" max="3" width="24.21875" style="63" customWidth="1"/>
    <col min="4" max="4" width="22.44140625" style="64" customWidth="1"/>
    <col min="5" max="5" width="9.5546875" style="61" customWidth="1"/>
    <col min="6" max="6" width="22.44140625" style="2" bestFit="1" customWidth="1"/>
    <col min="7" max="7" width="3" style="1" customWidth="1"/>
    <col min="8" max="8" width="22.21875" style="1" customWidth="1"/>
    <col min="9" max="9" width="22.21875" style="1" bestFit="1" customWidth="1"/>
    <col min="10" max="10" width="29.77734375" style="2" customWidth="1"/>
    <col min="11" max="249" width="9.21875" style="2"/>
    <col min="250" max="250" width="1.44140625" style="2" customWidth="1"/>
    <col min="251" max="252" width="0.77734375" style="2" customWidth="1"/>
    <col min="253" max="254" width="1.21875" style="2" customWidth="1"/>
    <col min="255" max="255" width="43" style="2" bestFit="1" customWidth="1"/>
    <col min="256" max="256" width="9.77734375" style="2" bestFit="1" customWidth="1"/>
    <col min="257" max="258" width="18.44140625" style="2" bestFit="1" customWidth="1"/>
    <col min="259" max="259" width="8.44140625" style="2" bestFit="1" customWidth="1"/>
    <col min="260" max="260" width="18.44140625" style="2" bestFit="1" customWidth="1"/>
    <col min="261" max="505" width="9.21875" style="2"/>
    <col min="506" max="506" width="1.44140625" style="2" customWidth="1"/>
    <col min="507" max="508" width="0.77734375" style="2" customWidth="1"/>
    <col min="509" max="510" width="1.21875" style="2" customWidth="1"/>
    <col min="511" max="511" width="43" style="2" bestFit="1" customWidth="1"/>
    <col min="512" max="512" width="9.77734375" style="2" bestFit="1" customWidth="1"/>
    <col min="513" max="514" width="18.44140625" style="2" bestFit="1" customWidth="1"/>
    <col min="515" max="515" width="8.44140625" style="2" bestFit="1" customWidth="1"/>
    <col min="516" max="516" width="18.44140625" style="2" bestFit="1" customWidth="1"/>
    <col min="517" max="761" width="9.21875" style="2"/>
    <col min="762" max="762" width="1.44140625" style="2" customWidth="1"/>
    <col min="763" max="764" width="0.77734375" style="2" customWidth="1"/>
    <col min="765" max="766" width="1.21875" style="2" customWidth="1"/>
    <col min="767" max="767" width="43" style="2" bestFit="1" customWidth="1"/>
    <col min="768" max="768" width="9.77734375" style="2" bestFit="1" customWidth="1"/>
    <col min="769" max="770" width="18.44140625" style="2" bestFit="1" customWidth="1"/>
    <col min="771" max="771" width="8.44140625" style="2" bestFit="1" customWidth="1"/>
    <col min="772" max="772" width="18.44140625" style="2" bestFit="1" customWidth="1"/>
    <col min="773" max="1017" width="9.21875" style="2"/>
    <col min="1018" max="1018" width="1.44140625" style="2" customWidth="1"/>
    <col min="1019" max="1020" width="0.77734375" style="2" customWidth="1"/>
    <col min="1021" max="1022" width="1.21875" style="2" customWidth="1"/>
    <col min="1023" max="1023" width="43" style="2" bestFit="1" customWidth="1"/>
    <col min="1024" max="1024" width="9.77734375" style="2" bestFit="1" customWidth="1"/>
    <col min="1025" max="1026" width="18.44140625" style="2" bestFit="1" customWidth="1"/>
    <col min="1027" max="1027" width="8.44140625" style="2" bestFit="1" customWidth="1"/>
    <col min="1028" max="1028" width="18.44140625" style="2" bestFit="1" customWidth="1"/>
    <col min="1029" max="1273" width="9.21875" style="2"/>
    <col min="1274" max="1274" width="1.44140625" style="2" customWidth="1"/>
    <col min="1275" max="1276" width="0.77734375" style="2" customWidth="1"/>
    <col min="1277" max="1278" width="1.21875" style="2" customWidth="1"/>
    <col min="1279" max="1279" width="43" style="2" bestFit="1" customWidth="1"/>
    <col min="1280" max="1280" width="9.77734375" style="2" bestFit="1" customWidth="1"/>
    <col min="1281" max="1282" width="18.44140625" style="2" bestFit="1" customWidth="1"/>
    <col min="1283" max="1283" width="8.44140625" style="2" bestFit="1" customWidth="1"/>
    <col min="1284" max="1284" width="18.44140625" style="2" bestFit="1" customWidth="1"/>
    <col min="1285" max="1529" width="9.21875" style="2"/>
    <col min="1530" max="1530" width="1.44140625" style="2" customWidth="1"/>
    <col min="1531" max="1532" width="0.77734375" style="2" customWidth="1"/>
    <col min="1533" max="1534" width="1.21875" style="2" customWidth="1"/>
    <col min="1535" max="1535" width="43" style="2" bestFit="1" customWidth="1"/>
    <col min="1536" max="1536" width="9.77734375" style="2" bestFit="1" customWidth="1"/>
    <col min="1537" max="1538" width="18.44140625" style="2" bestFit="1" customWidth="1"/>
    <col min="1539" max="1539" width="8.44140625" style="2" bestFit="1" customWidth="1"/>
    <col min="1540" max="1540" width="18.44140625" style="2" bestFit="1" customWidth="1"/>
    <col min="1541" max="1785" width="9.21875" style="2"/>
    <col min="1786" max="1786" width="1.44140625" style="2" customWidth="1"/>
    <col min="1787" max="1788" width="0.77734375" style="2" customWidth="1"/>
    <col min="1789" max="1790" width="1.21875" style="2" customWidth="1"/>
    <col min="1791" max="1791" width="43" style="2" bestFit="1" customWidth="1"/>
    <col min="1792" max="1792" width="9.77734375" style="2" bestFit="1" customWidth="1"/>
    <col min="1793" max="1794" width="18.44140625" style="2" bestFit="1" customWidth="1"/>
    <col min="1795" max="1795" width="8.44140625" style="2" bestFit="1" customWidth="1"/>
    <col min="1796" max="1796" width="18.44140625" style="2" bestFit="1" customWidth="1"/>
    <col min="1797" max="2041" width="9.21875" style="2"/>
    <col min="2042" max="2042" width="1.44140625" style="2" customWidth="1"/>
    <col min="2043" max="2044" width="0.77734375" style="2" customWidth="1"/>
    <col min="2045" max="2046" width="1.21875" style="2" customWidth="1"/>
    <col min="2047" max="2047" width="43" style="2" bestFit="1" customWidth="1"/>
    <col min="2048" max="2048" width="9.77734375" style="2" bestFit="1" customWidth="1"/>
    <col min="2049" max="2050" width="18.44140625" style="2" bestFit="1" customWidth="1"/>
    <col min="2051" max="2051" width="8.44140625" style="2" bestFit="1" customWidth="1"/>
    <col min="2052" max="2052" width="18.44140625" style="2" bestFit="1" customWidth="1"/>
    <col min="2053" max="2297" width="9.21875" style="2"/>
    <col min="2298" max="2298" width="1.44140625" style="2" customWidth="1"/>
    <col min="2299" max="2300" width="0.77734375" style="2" customWidth="1"/>
    <col min="2301" max="2302" width="1.21875" style="2" customWidth="1"/>
    <col min="2303" max="2303" width="43" style="2" bestFit="1" customWidth="1"/>
    <col min="2304" max="2304" width="9.77734375" style="2" bestFit="1" customWidth="1"/>
    <col min="2305" max="2306" width="18.44140625" style="2" bestFit="1" customWidth="1"/>
    <col min="2307" max="2307" width="8.44140625" style="2" bestFit="1" customWidth="1"/>
    <col min="2308" max="2308" width="18.44140625" style="2" bestFit="1" customWidth="1"/>
    <col min="2309" max="2553" width="9.21875" style="2"/>
    <col min="2554" max="2554" width="1.44140625" style="2" customWidth="1"/>
    <col min="2555" max="2556" width="0.77734375" style="2" customWidth="1"/>
    <col min="2557" max="2558" width="1.21875" style="2" customWidth="1"/>
    <col min="2559" max="2559" width="43" style="2" bestFit="1" customWidth="1"/>
    <col min="2560" max="2560" width="9.77734375" style="2" bestFit="1" customWidth="1"/>
    <col min="2561" max="2562" width="18.44140625" style="2" bestFit="1" customWidth="1"/>
    <col min="2563" max="2563" width="8.44140625" style="2" bestFit="1" customWidth="1"/>
    <col min="2564" max="2564" width="18.44140625" style="2" bestFit="1" customWidth="1"/>
    <col min="2565" max="2809" width="9.21875" style="2"/>
    <col min="2810" max="2810" width="1.44140625" style="2" customWidth="1"/>
    <col min="2811" max="2812" width="0.77734375" style="2" customWidth="1"/>
    <col min="2813" max="2814" width="1.21875" style="2" customWidth="1"/>
    <col min="2815" max="2815" width="43" style="2" bestFit="1" customWidth="1"/>
    <col min="2816" max="2816" width="9.77734375" style="2" bestFit="1" customWidth="1"/>
    <col min="2817" max="2818" width="18.44140625" style="2" bestFit="1" customWidth="1"/>
    <col min="2819" max="2819" width="8.44140625" style="2" bestFit="1" customWidth="1"/>
    <col min="2820" max="2820" width="18.44140625" style="2" bestFit="1" customWidth="1"/>
    <col min="2821" max="3065" width="9.21875" style="2"/>
    <col min="3066" max="3066" width="1.44140625" style="2" customWidth="1"/>
    <col min="3067" max="3068" width="0.77734375" style="2" customWidth="1"/>
    <col min="3069" max="3070" width="1.21875" style="2" customWidth="1"/>
    <col min="3071" max="3071" width="43" style="2" bestFit="1" customWidth="1"/>
    <col min="3072" max="3072" width="9.77734375" style="2" bestFit="1" customWidth="1"/>
    <col min="3073" max="3074" width="18.44140625" style="2" bestFit="1" customWidth="1"/>
    <col min="3075" max="3075" width="8.44140625" style="2" bestFit="1" customWidth="1"/>
    <col min="3076" max="3076" width="18.44140625" style="2" bestFit="1" customWidth="1"/>
    <col min="3077" max="3321" width="9.21875" style="2"/>
    <col min="3322" max="3322" width="1.44140625" style="2" customWidth="1"/>
    <col min="3323" max="3324" width="0.77734375" style="2" customWidth="1"/>
    <col min="3325" max="3326" width="1.21875" style="2" customWidth="1"/>
    <col min="3327" max="3327" width="43" style="2" bestFit="1" customWidth="1"/>
    <col min="3328" max="3328" width="9.77734375" style="2" bestFit="1" customWidth="1"/>
    <col min="3329" max="3330" width="18.44140625" style="2" bestFit="1" customWidth="1"/>
    <col min="3331" max="3331" width="8.44140625" style="2" bestFit="1" customWidth="1"/>
    <col min="3332" max="3332" width="18.44140625" style="2" bestFit="1" customWidth="1"/>
    <col min="3333" max="3577" width="9.21875" style="2"/>
    <col min="3578" max="3578" width="1.44140625" style="2" customWidth="1"/>
    <col min="3579" max="3580" width="0.77734375" style="2" customWidth="1"/>
    <col min="3581" max="3582" width="1.21875" style="2" customWidth="1"/>
    <col min="3583" max="3583" width="43" style="2" bestFit="1" customWidth="1"/>
    <col min="3584" max="3584" width="9.77734375" style="2" bestFit="1" customWidth="1"/>
    <col min="3585" max="3586" width="18.44140625" style="2" bestFit="1" customWidth="1"/>
    <col min="3587" max="3587" width="8.44140625" style="2" bestFit="1" customWidth="1"/>
    <col min="3588" max="3588" width="18.44140625" style="2" bestFit="1" customWidth="1"/>
    <col min="3589" max="3833" width="9.21875" style="2"/>
    <col min="3834" max="3834" width="1.44140625" style="2" customWidth="1"/>
    <col min="3835" max="3836" width="0.77734375" style="2" customWidth="1"/>
    <col min="3837" max="3838" width="1.21875" style="2" customWidth="1"/>
    <col min="3839" max="3839" width="43" style="2" bestFit="1" customWidth="1"/>
    <col min="3840" max="3840" width="9.77734375" style="2" bestFit="1" customWidth="1"/>
    <col min="3841" max="3842" width="18.44140625" style="2" bestFit="1" customWidth="1"/>
    <col min="3843" max="3843" width="8.44140625" style="2" bestFit="1" customWidth="1"/>
    <col min="3844" max="3844" width="18.44140625" style="2" bestFit="1" customWidth="1"/>
    <col min="3845" max="4089" width="9.21875" style="2"/>
    <col min="4090" max="4090" width="1.44140625" style="2" customWidth="1"/>
    <col min="4091" max="4092" width="0.77734375" style="2" customWidth="1"/>
    <col min="4093" max="4094" width="1.21875" style="2" customWidth="1"/>
    <col min="4095" max="4095" width="43" style="2" bestFit="1" customWidth="1"/>
    <col min="4096" max="4096" width="9.77734375" style="2" bestFit="1" customWidth="1"/>
    <col min="4097" max="4098" width="18.44140625" style="2" bestFit="1" customWidth="1"/>
    <col min="4099" max="4099" width="8.44140625" style="2" bestFit="1" customWidth="1"/>
    <col min="4100" max="4100" width="18.44140625" style="2" bestFit="1" customWidth="1"/>
    <col min="4101" max="4345" width="9.21875" style="2"/>
    <col min="4346" max="4346" width="1.44140625" style="2" customWidth="1"/>
    <col min="4347" max="4348" width="0.77734375" style="2" customWidth="1"/>
    <col min="4349" max="4350" width="1.21875" style="2" customWidth="1"/>
    <col min="4351" max="4351" width="43" style="2" bestFit="1" customWidth="1"/>
    <col min="4352" max="4352" width="9.77734375" style="2" bestFit="1" customWidth="1"/>
    <col min="4353" max="4354" width="18.44140625" style="2" bestFit="1" customWidth="1"/>
    <col min="4355" max="4355" width="8.44140625" style="2" bestFit="1" customWidth="1"/>
    <col min="4356" max="4356" width="18.44140625" style="2" bestFit="1" customWidth="1"/>
    <col min="4357" max="4601" width="9.21875" style="2"/>
    <col min="4602" max="4602" width="1.44140625" style="2" customWidth="1"/>
    <col min="4603" max="4604" width="0.77734375" style="2" customWidth="1"/>
    <col min="4605" max="4606" width="1.21875" style="2" customWidth="1"/>
    <col min="4607" max="4607" width="43" style="2" bestFit="1" customWidth="1"/>
    <col min="4608" max="4608" width="9.77734375" style="2" bestFit="1" customWidth="1"/>
    <col min="4609" max="4610" width="18.44140625" style="2" bestFit="1" customWidth="1"/>
    <col min="4611" max="4611" width="8.44140625" style="2" bestFit="1" customWidth="1"/>
    <col min="4612" max="4612" width="18.44140625" style="2" bestFit="1" customWidth="1"/>
    <col min="4613" max="4857" width="9.21875" style="2"/>
    <col min="4858" max="4858" width="1.44140625" style="2" customWidth="1"/>
    <col min="4859" max="4860" width="0.77734375" style="2" customWidth="1"/>
    <col min="4861" max="4862" width="1.21875" style="2" customWidth="1"/>
    <col min="4863" max="4863" width="43" style="2" bestFit="1" customWidth="1"/>
    <col min="4864" max="4864" width="9.77734375" style="2" bestFit="1" customWidth="1"/>
    <col min="4865" max="4866" width="18.44140625" style="2" bestFit="1" customWidth="1"/>
    <col min="4867" max="4867" width="8.44140625" style="2" bestFit="1" customWidth="1"/>
    <col min="4868" max="4868" width="18.44140625" style="2" bestFit="1" customWidth="1"/>
    <col min="4869" max="5113" width="9.21875" style="2"/>
    <col min="5114" max="5114" width="1.44140625" style="2" customWidth="1"/>
    <col min="5115" max="5116" width="0.77734375" style="2" customWidth="1"/>
    <col min="5117" max="5118" width="1.21875" style="2" customWidth="1"/>
    <col min="5119" max="5119" width="43" style="2" bestFit="1" customWidth="1"/>
    <col min="5120" max="5120" width="9.77734375" style="2" bestFit="1" customWidth="1"/>
    <col min="5121" max="5122" width="18.44140625" style="2" bestFit="1" customWidth="1"/>
    <col min="5123" max="5123" width="8.44140625" style="2" bestFit="1" customWidth="1"/>
    <col min="5124" max="5124" width="18.44140625" style="2" bestFit="1" customWidth="1"/>
    <col min="5125" max="5369" width="9.21875" style="2"/>
    <col min="5370" max="5370" width="1.44140625" style="2" customWidth="1"/>
    <col min="5371" max="5372" width="0.77734375" style="2" customWidth="1"/>
    <col min="5373" max="5374" width="1.21875" style="2" customWidth="1"/>
    <col min="5375" max="5375" width="43" style="2" bestFit="1" customWidth="1"/>
    <col min="5376" max="5376" width="9.77734375" style="2" bestFit="1" customWidth="1"/>
    <col min="5377" max="5378" width="18.44140625" style="2" bestFit="1" customWidth="1"/>
    <col min="5379" max="5379" width="8.44140625" style="2" bestFit="1" customWidth="1"/>
    <col min="5380" max="5380" width="18.44140625" style="2" bestFit="1" customWidth="1"/>
    <col min="5381" max="5625" width="9.21875" style="2"/>
    <col min="5626" max="5626" width="1.44140625" style="2" customWidth="1"/>
    <col min="5627" max="5628" width="0.77734375" style="2" customWidth="1"/>
    <col min="5629" max="5630" width="1.21875" style="2" customWidth="1"/>
    <col min="5631" max="5631" width="43" style="2" bestFit="1" customWidth="1"/>
    <col min="5632" max="5632" width="9.77734375" style="2" bestFit="1" customWidth="1"/>
    <col min="5633" max="5634" width="18.44140625" style="2" bestFit="1" customWidth="1"/>
    <col min="5635" max="5635" width="8.44140625" style="2" bestFit="1" customWidth="1"/>
    <col min="5636" max="5636" width="18.44140625" style="2" bestFit="1" customWidth="1"/>
    <col min="5637" max="5881" width="9.21875" style="2"/>
    <col min="5882" max="5882" width="1.44140625" style="2" customWidth="1"/>
    <col min="5883" max="5884" width="0.77734375" style="2" customWidth="1"/>
    <col min="5885" max="5886" width="1.21875" style="2" customWidth="1"/>
    <col min="5887" max="5887" width="43" style="2" bestFit="1" customWidth="1"/>
    <col min="5888" max="5888" width="9.77734375" style="2" bestFit="1" customWidth="1"/>
    <col min="5889" max="5890" width="18.44140625" style="2" bestFit="1" customWidth="1"/>
    <col min="5891" max="5891" width="8.44140625" style="2" bestFit="1" customWidth="1"/>
    <col min="5892" max="5892" width="18.44140625" style="2" bestFit="1" customWidth="1"/>
    <col min="5893" max="6137" width="9.21875" style="2"/>
    <col min="6138" max="6138" width="1.44140625" style="2" customWidth="1"/>
    <col min="6139" max="6140" width="0.77734375" style="2" customWidth="1"/>
    <col min="6141" max="6142" width="1.21875" style="2" customWidth="1"/>
    <col min="6143" max="6143" width="43" style="2" bestFit="1" customWidth="1"/>
    <col min="6144" max="6144" width="9.77734375" style="2" bestFit="1" customWidth="1"/>
    <col min="6145" max="6146" width="18.44140625" style="2" bestFit="1" customWidth="1"/>
    <col min="6147" max="6147" width="8.44140625" style="2" bestFit="1" customWidth="1"/>
    <col min="6148" max="6148" width="18.44140625" style="2" bestFit="1" customWidth="1"/>
    <col min="6149" max="6393" width="9.21875" style="2"/>
    <col min="6394" max="6394" width="1.44140625" style="2" customWidth="1"/>
    <col min="6395" max="6396" width="0.77734375" style="2" customWidth="1"/>
    <col min="6397" max="6398" width="1.21875" style="2" customWidth="1"/>
    <col min="6399" max="6399" width="43" style="2" bestFit="1" customWidth="1"/>
    <col min="6400" max="6400" width="9.77734375" style="2" bestFit="1" customWidth="1"/>
    <col min="6401" max="6402" width="18.44140625" style="2" bestFit="1" customWidth="1"/>
    <col min="6403" max="6403" width="8.44140625" style="2" bestFit="1" customWidth="1"/>
    <col min="6404" max="6404" width="18.44140625" style="2" bestFit="1" customWidth="1"/>
    <col min="6405" max="6649" width="9.21875" style="2"/>
    <col min="6650" max="6650" width="1.44140625" style="2" customWidth="1"/>
    <col min="6651" max="6652" width="0.77734375" style="2" customWidth="1"/>
    <col min="6653" max="6654" width="1.21875" style="2" customWidth="1"/>
    <col min="6655" max="6655" width="43" style="2" bestFit="1" customWidth="1"/>
    <col min="6656" max="6656" width="9.77734375" style="2" bestFit="1" customWidth="1"/>
    <col min="6657" max="6658" width="18.44140625" style="2" bestFit="1" customWidth="1"/>
    <col min="6659" max="6659" width="8.44140625" style="2" bestFit="1" customWidth="1"/>
    <col min="6660" max="6660" width="18.44140625" style="2" bestFit="1" customWidth="1"/>
    <col min="6661" max="6905" width="9.21875" style="2"/>
    <col min="6906" max="6906" width="1.44140625" style="2" customWidth="1"/>
    <col min="6907" max="6908" width="0.77734375" style="2" customWidth="1"/>
    <col min="6909" max="6910" width="1.21875" style="2" customWidth="1"/>
    <col min="6911" max="6911" width="43" style="2" bestFit="1" customWidth="1"/>
    <col min="6912" max="6912" width="9.77734375" style="2" bestFit="1" customWidth="1"/>
    <col min="6913" max="6914" width="18.44140625" style="2" bestFit="1" customWidth="1"/>
    <col min="6915" max="6915" width="8.44140625" style="2" bestFit="1" customWidth="1"/>
    <col min="6916" max="6916" width="18.44140625" style="2" bestFit="1" customWidth="1"/>
    <col min="6917" max="7161" width="9.21875" style="2"/>
    <col min="7162" max="7162" width="1.44140625" style="2" customWidth="1"/>
    <col min="7163" max="7164" width="0.77734375" style="2" customWidth="1"/>
    <col min="7165" max="7166" width="1.21875" style="2" customWidth="1"/>
    <col min="7167" max="7167" width="43" style="2" bestFit="1" customWidth="1"/>
    <col min="7168" max="7168" width="9.77734375" style="2" bestFit="1" customWidth="1"/>
    <col min="7169" max="7170" width="18.44140625" style="2" bestFit="1" customWidth="1"/>
    <col min="7171" max="7171" width="8.44140625" style="2" bestFit="1" customWidth="1"/>
    <col min="7172" max="7172" width="18.44140625" style="2" bestFit="1" customWidth="1"/>
    <col min="7173" max="7417" width="9.21875" style="2"/>
    <col min="7418" max="7418" width="1.44140625" style="2" customWidth="1"/>
    <col min="7419" max="7420" width="0.77734375" style="2" customWidth="1"/>
    <col min="7421" max="7422" width="1.21875" style="2" customWidth="1"/>
    <col min="7423" max="7423" width="43" style="2" bestFit="1" customWidth="1"/>
    <col min="7424" max="7424" width="9.77734375" style="2" bestFit="1" customWidth="1"/>
    <col min="7425" max="7426" width="18.44140625" style="2" bestFit="1" customWidth="1"/>
    <col min="7427" max="7427" width="8.44140625" style="2" bestFit="1" customWidth="1"/>
    <col min="7428" max="7428" width="18.44140625" style="2" bestFit="1" customWidth="1"/>
    <col min="7429" max="7673" width="9.21875" style="2"/>
    <col min="7674" max="7674" width="1.44140625" style="2" customWidth="1"/>
    <col min="7675" max="7676" width="0.77734375" style="2" customWidth="1"/>
    <col min="7677" max="7678" width="1.21875" style="2" customWidth="1"/>
    <col min="7679" max="7679" width="43" style="2" bestFit="1" customWidth="1"/>
    <col min="7680" max="7680" width="9.77734375" style="2" bestFit="1" customWidth="1"/>
    <col min="7681" max="7682" width="18.44140625" style="2" bestFit="1" customWidth="1"/>
    <col min="7683" max="7683" width="8.44140625" style="2" bestFit="1" customWidth="1"/>
    <col min="7684" max="7684" width="18.44140625" style="2" bestFit="1" customWidth="1"/>
    <col min="7685" max="7929" width="9.21875" style="2"/>
    <col min="7930" max="7930" width="1.44140625" style="2" customWidth="1"/>
    <col min="7931" max="7932" width="0.77734375" style="2" customWidth="1"/>
    <col min="7933" max="7934" width="1.21875" style="2" customWidth="1"/>
    <col min="7935" max="7935" width="43" style="2" bestFit="1" customWidth="1"/>
    <col min="7936" max="7936" width="9.77734375" style="2" bestFit="1" customWidth="1"/>
    <col min="7937" max="7938" width="18.44140625" style="2" bestFit="1" customWidth="1"/>
    <col min="7939" max="7939" width="8.44140625" style="2" bestFit="1" customWidth="1"/>
    <col min="7940" max="7940" width="18.44140625" style="2" bestFit="1" customWidth="1"/>
    <col min="7941" max="8185" width="9.21875" style="2"/>
    <col min="8186" max="8186" width="1.44140625" style="2" customWidth="1"/>
    <col min="8187" max="8188" width="0.77734375" style="2" customWidth="1"/>
    <col min="8189" max="8190" width="1.21875" style="2" customWidth="1"/>
    <col min="8191" max="8191" width="43" style="2" bestFit="1" customWidth="1"/>
    <col min="8192" max="8192" width="9.77734375" style="2" bestFit="1" customWidth="1"/>
    <col min="8193" max="8194" width="18.44140625" style="2" bestFit="1" customWidth="1"/>
    <col min="8195" max="8195" width="8.44140625" style="2" bestFit="1" customWidth="1"/>
    <col min="8196" max="8196" width="18.44140625" style="2" bestFit="1" customWidth="1"/>
    <col min="8197" max="8441" width="9.21875" style="2"/>
    <col min="8442" max="8442" width="1.44140625" style="2" customWidth="1"/>
    <col min="8443" max="8444" width="0.77734375" style="2" customWidth="1"/>
    <col min="8445" max="8446" width="1.21875" style="2" customWidth="1"/>
    <col min="8447" max="8447" width="43" style="2" bestFit="1" customWidth="1"/>
    <col min="8448" max="8448" width="9.77734375" style="2" bestFit="1" customWidth="1"/>
    <col min="8449" max="8450" width="18.44140625" style="2" bestFit="1" customWidth="1"/>
    <col min="8451" max="8451" width="8.44140625" style="2" bestFit="1" customWidth="1"/>
    <col min="8452" max="8452" width="18.44140625" style="2" bestFit="1" customWidth="1"/>
    <col min="8453" max="8697" width="9.21875" style="2"/>
    <col min="8698" max="8698" width="1.44140625" style="2" customWidth="1"/>
    <col min="8699" max="8700" width="0.77734375" style="2" customWidth="1"/>
    <col min="8701" max="8702" width="1.21875" style="2" customWidth="1"/>
    <col min="8703" max="8703" width="43" style="2" bestFit="1" customWidth="1"/>
    <col min="8704" max="8704" width="9.77734375" style="2" bestFit="1" customWidth="1"/>
    <col min="8705" max="8706" width="18.44140625" style="2" bestFit="1" customWidth="1"/>
    <col min="8707" max="8707" width="8.44140625" style="2" bestFit="1" customWidth="1"/>
    <col min="8708" max="8708" width="18.44140625" style="2" bestFit="1" customWidth="1"/>
    <col min="8709" max="8953" width="9.21875" style="2"/>
    <col min="8954" max="8954" width="1.44140625" style="2" customWidth="1"/>
    <col min="8955" max="8956" width="0.77734375" style="2" customWidth="1"/>
    <col min="8957" max="8958" width="1.21875" style="2" customWidth="1"/>
    <col min="8959" max="8959" width="43" style="2" bestFit="1" customWidth="1"/>
    <col min="8960" max="8960" width="9.77734375" style="2" bestFit="1" customWidth="1"/>
    <col min="8961" max="8962" width="18.44140625" style="2" bestFit="1" customWidth="1"/>
    <col min="8963" max="8963" width="8.44140625" style="2" bestFit="1" customWidth="1"/>
    <col min="8964" max="8964" width="18.44140625" style="2" bestFit="1" customWidth="1"/>
    <col min="8965" max="9209" width="9.21875" style="2"/>
    <col min="9210" max="9210" width="1.44140625" style="2" customWidth="1"/>
    <col min="9211" max="9212" width="0.77734375" style="2" customWidth="1"/>
    <col min="9213" max="9214" width="1.21875" style="2" customWidth="1"/>
    <col min="9215" max="9215" width="43" style="2" bestFit="1" customWidth="1"/>
    <col min="9216" max="9216" width="9.77734375" style="2" bestFit="1" customWidth="1"/>
    <col min="9217" max="9218" width="18.44140625" style="2" bestFit="1" customWidth="1"/>
    <col min="9219" max="9219" width="8.44140625" style="2" bestFit="1" customWidth="1"/>
    <col min="9220" max="9220" width="18.44140625" style="2" bestFit="1" customWidth="1"/>
    <col min="9221" max="9465" width="9.21875" style="2"/>
    <col min="9466" max="9466" width="1.44140625" style="2" customWidth="1"/>
    <col min="9467" max="9468" width="0.77734375" style="2" customWidth="1"/>
    <col min="9469" max="9470" width="1.21875" style="2" customWidth="1"/>
    <col min="9471" max="9471" width="43" style="2" bestFit="1" customWidth="1"/>
    <col min="9472" max="9472" width="9.77734375" style="2" bestFit="1" customWidth="1"/>
    <col min="9473" max="9474" width="18.44140625" style="2" bestFit="1" customWidth="1"/>
    <col min="9475" max="9475" width="8.44140625" style="2" bestFit="1" customWidth="1"/>
    <col min="9476" max="9476" width="18.44140625" style="2" bestFit="1" customWidth="1"/>
    <col min="9477" max="9721" width="9.21875" style="2"/>
    <col min="9722" max="9722" width="1.44140625" style="2" customWidth="1"/>
    <col min="9723" max="9724" width="0.77734375" style="2" customWidth="1"/>
    <col min="9725" max="9726" width="1.21875" style="2" customWidth="1"/>
    <col min="9727" max="9727" width="43" style="2" bestFit="1" customWidth="1"/>
    <col min="9728" max="9728" width="9.77734375" style="2" bestFit="1" customWidth="1"/>
    <col min="9729" max="9730" width="18.44140625" style="2" bestFit="1" customWidth="1"/>
    <col min="9731" max="9731" width="8.44140625" style="2" bestFit="1" customWidth="1"/>
    <col min="9732" max="9732" width="18.44140625" style="2" bestFit="1" customWidth="1"/>
    <col min="9733" max="9977" width="9.21875" style="2"/>
    <col min="9978" max="9978" width="1.44140625" style="2" customWidth="1"/>
    <col min="9979" max="9980" width="0.77734375" style="2" customWidth="1"/>
    <col min="9981" max="9982" width="1.21875" style="2" customWidth="1"/>
    <col min="9983" max="9983" width="43" style="2" bestFit="1" customWidth="1"/>
    <col min="9984" max="9984" width="9.77734375" style="2" bestFit="1" customWidth="1"/>
    <col min="9985" max="9986" width="18.44140625" style="2" bestFit="1" customWidth="1"/>
    <col min="9987" max="9987" width="8.44140625" style="2" bestFit="1" customWidth="1"/>
    <col min="9988" max="9988" width="18.44140625" style="2" bestFit="1" customWidth="1"/>
    <col min="9989" max="10233" width="9.21875" style="2"/>
    <col min="10234" max="10234" width="1.44140625" style="2" customWidth="1"/>
    <col min="10235" max="10236" width="0.77734375" style="2" customWidth="1"/>
    <col min="10237" max="10238" width="1.21875" style="2" customWidth="1"/>
    <col min="10239" max="10239" width="43" style="2" bestFit="1" customWidth="1"/>
    <col min="10240" max="10240" width="9.77734375" style="2" bestFit="1" customWidth="1"/>
    <col min="10241" max="10242" width="18.44140625" style="2" bestFit="1" customWidth="1"/>
    <col min="10243" max="10243" width="8.44140625" style="2" bestFit="1" customWidth="1"/>
    <col min="10244" max="10244" width="18.44140625" style="2" bestFit="1" customWidth="1"/>
    <col min="10245" max="10489" width="9.21875" style="2"/>
    <col min="10490" max="10490" width="1.44140625" style="2" customWidth="1"/>
    <col min="10491" max="10492" width="0.77734375" style="2" customWidth="1"/>
    <col min="10493" max="10494" width="1.21875" style="2" customWidth="1"/>
    <col min="10495" max="10495" width="43" style="2" bestFit="1" customWidth="1"/>
    <col min="10496" max="10496" width="9.77734375" style="2" bestFit="1" customWidth="1"/>
    <col min="10497" max="10498" width="18.44140625" style="2" bestFit="1" customWidth="1"/>
    <col min="10499" max="10499" width="8.44140625" style="2" bestFit="1" customWidth="1"/>
    <col min="10500" max="10500" width="18.44140625" style="2" bestFit="1" customWidth="1"/>
    <col min="10501" max="10745" width="9.21875" style="2"/>
    <col min="10746" max="10746" width="1.44140625" style="2" customWidth="1"/>
    <col min="10747" max="10748" width="0.77734375" style="2" customWidth="1"/>
    <col min="10749" max="10750" width="1.21875" style="2" customWidth="1"/>
    <col min="10751" max="10751" width="43" style="2" bestFit="1" customWidth="1"/>
    <col min="10752" max="10752" width="9.77734375" style="2" bestFit="1" customWidth="1"/>
    <col min="10753" max="10754" width="18.44140625" style="2" bestFit="1" customWidth="1"/>
    <col min="10755" max="10755" width="8.44140625" style="2" bestFit="1" customWidth="1"/>
    <col min="10756" max="10756" width="18.44140625" style="2" bestFit="1" customWidth="1"/>
    <col min="10757" max="11001" width="9.21875" style="2"/>
    <col min="11002" max="11002" width="1.44140625" style="2" customWidth="1"/>
    <col min="11003" max="11004" width="0.77734375" style="2" customWidth="1"/>
    <col min="11005" max="11006" width="1.21875" style="2" customWidth="1"/>
    <col min="11007" max="11007" width="43" style="2" bestFit="1" customWidth="1"/>
    <col min="11008" max="11008" width="9.77734375" style="2" bestFit="1" customWidth="1"/>
    <col min="11009" max="11010" width="18.44140625" style="2" bestFit="1" customWidth="1"/>
    <col min="11011" max="11011" width="8.44140625" style="2" bestFit="1" customWidth="1"/>
    <col min="11012" max="11012" width="18.44140625" style="2" bestFit="1" customWidth="1"/>
    <col min="11013" max="11257" width="9.21875" style="2"/>
    <col min="11258" max="11258" width="1.44140625" style="2" customWidth="1"/>
    <col min="11259" max="11260" width="0.77734375" style="2" customWidth="1"/>
    <col min="11261" max="11262" width="1.21875" style="2" customWidth="1"/>
    <col min="11263" max="11263" width="43" style="2" bestFit="1" customWidth="1"/>
    <col min="11264" max="11264" width="9.77734375" style="2" bestFit="1" customWidth="1"/>
    <col min="11265" max="11266" width="18.44140625" style="2" bestFit="1" customWidth="1"/>
    <col min="11267" max="11267" width="8.44140625" style="2" bestFit="1" customWidth="1"/>
    <col min="11268" max="11268" width="18.44140625" style="2" bestFit="1" customWidth="1"/>
    <col min="11269" max="11513" width="9.21875" style="2"/>
    <col min="11514" max="11514" width="1.44140625" style="2" customWidth="1"/>
    <col min="11515" max="11516" width="0.77734375" style="2" customWidth="1"/>
    <col min="11517" max="11518" width="1.21875" style="2" customWidth="1"/>
    <col min="11519" max="11519" width="43" style="2" bestFit="1" customWidth="1"/>
    <col min="11520" max="11520" width="9.77734375" style="2" bestFit="1" customWidth="1"/>
    <col min="11521" max="11522" width="18.44140625" style="2" bestFit="1" customWidth="1"/>
    <col min="11523" max="11523" width="8.44140625" style="2" bestFit="1" customWidth="1"/>
    <col min="11524" max="11524" width="18.44140625" style="2" bestFit="1" customWidth="1"/>
    <col min="11525" max="11769" width="9.21875" style="2"/>
    <col min="11770" max="11770" width="1.44140625" style="2" customWidth="1"/>
    <col min="11771" max="11772" width="0.77734375" style="2" customWidth="1"/>
    <col min="11773" max="11774" width="1.21875" style="2" customWidth="1"/>
    <col min="11775" max="11775" width="43" style="2" bestFit="1" customWidth="1"/>
    <col min="11776" max="11776" width="9.77734375" style="2" bestFit="1" customWidth="1"/>
    <col min="11777" max="11778" width="18.44140625" style="2" bestFit="1" customWidth="1"/>
    <col min="11779" max="11779" width="8.44140625" style="2" bestFit="1" customWidth="1"/>
    <col min="11780" max="11780" width="18.44140625" style="2" bestFit="1" customWidth="1"/>
    <col min="11781" max="12025" width="9.21875" style="2"/>
    <col min="12026" max="12026" width="1.44140625" style="2" customWidth="1"/>
    <col min="12027" max="12028" width="0.77734375" style="2" customWidth="1"/>
    <col min="12029" max="12030" width="1.21875" style="2" customWidth="1"/>
    <col min="12031" max="12031" width="43" style="2" bestFit="1" customWidth="1"/>
    <col min="12032" max="12032" width="9.77734375" style="2" bestFit="1" customWidth="1"/>
    <col min="12033" max="12034" width="18.44140625" style="2" bestFit="1" customWidth="1"/>
    <col min="12035" max="12035" width="8.44140625" style="2" bestFit="1" customWidth="1"/>
    <col min="12036" max="12036" width="18.44140625" style="2" bestFit="1" customWidth="1"/>
    <col min="12037" max="12281" width="9.21875" style="2"/>
    <col min="12282" max="12282" width="1.44140625" style="2" customWidth="1"/>
    <col min="12283" max="12284" width="0.77734375" style="2" customWidth="1"/>
    <col min="12285" max="12286" width="1.21875" style="2" customWidth="1"/>
    <col min="12287" max="12287" width="43" style="2" bestFit="1" customWidth="1"/>
    <col min="12288" max="12288" width="9.77734375" style="2" bestFit="1" customWidth="1"/>
    <col min="12289" max="12290" width="18.44140625" style="2" bestFit="1" customWidth="1"/>
    <col min="12291" max="12291" width="8.44140625" style="2" bestFit="1" customWidth="1"/>
    <col min="12292" max="12292" width="18.44140625" style="2" bestFit="1" customWidth="1"/>
    <col min="12293" max="12537" width="9.21875" style="2"/>
    <col min="12538" max="12538" width="1.44140625" style="2" customWidth="1"/>
    <col min="12539" max="12540" width="0.77734375" style="2" customWidth="1"/>
    <col min="12541" max="12542" width="1.21875" style="2" customWidth="1"/>
    <col min="12543" max="12543" width="43" style="2" bestFit="1" customWidth="1"/>
    <col min="12544" max="12544" width="9.77734375" style="2" bestFit="1" customWidth="1"/>
    <col min="12545" max="12546" width="18.44140625" style="2" bestFit="1" customWidth="1"/>
    <col min="12547" max="12547" width="8.44140625" style="2" bestFit="1" customWidth="1"/>
    <col min="12548" max="12548" width="18.44140625" style="2" bestFit="1" customWidth="1"/>
    <col min="12549" max="12793" width="9.21875" style="2"/>
    <col min="12794" max="12794" width="1.44140625" style="2" customWidth="1"/>
    <col min="12795" max="12796" width="0.77734375" style="2" customWidth="1"/>
    <col min="12797" max="12798" width="1.21875" style="2" customWidth="1"/>
    <col min="12799" max="12799" width="43" style="2" bestFit="1" customWidth="1"/>
    <col min="12800" max="12800" width="9.77734375" style="2" bestFit="1" customWidth="1"/>
    <col min="12801" max="12802" width="18.44140625" style="2" bestFit="1" customWidth="1"/>
    <col min="12803" max="12803" width="8.44140625" style="2" bestFit="1" customWidth="1"/>
    <col min="12804" max="12804" width="18.44140625" style="2" bestFit="1" customWidth="1"/>
    <col min="12805" max="13049" width="9.21875" style="2"/>
    <col min="13050" max="13050" width="1.44140625" style="2" customWidth="1"/>
    <col min="13051" max="13052" width="0.77734375" style="2" customWidth="1"/>
    <col min="13053" max="13054" width="1.21875" style="2" customWidth="1"/>
    <col min="13055" max="13055" width="43" style="2" bestFit="1" customWidth="1"/>
    <col min="13056" max="13056" width="9.77734375" style="2" bestFit="1" customWidth="1"/>
    <col min="13057" max="13058" width="18.44140625" style="2" bestFit="1" customWidth="1"/>
    <col min="13059" max="13059" width="8.44140625" style="2" bestFit="1" customWidth="1"/>
    <col min="13060" max="13060" width="18.44140625" style="2" bestFit="1" customWidth="1"/>
    <col min="13061" max="13305" width="9.21875" style="2"/>
    <col min="13306" max="13306" width="1.44140625" style="2" customWidth="1"/>
    <col min="13307" max="13308" width="0.77734375" style="2" customWidth="1"/>
    <col min="13309" max="13310" width="1.21875" style="2" customWidth="1"/>
    <col min="13311" max="13311" width="43" style="2" bestFit="1" customWidth="1"/>
    <col min="13312" max="13312" width="9.77734375" style="2" bestFit="1" customWidth="1"/>
    <col min="13313" max="13314" width="18.44140625" style="2" bestFit="1" customWidth="1"/>
    <col min="13315" max="13315" width="8.44140625" style="2" bestFit="1" customWidth="1"/>
    <col min="13316" max="13316" width="18.44140625" style="2" bestFit="1" customWidth="1"/>
    <col min="13317" max="13561" width="9.21875" style="2"/>
    <col min="13562" max="13562" width="1.44140625" style="2" customWidth="1"/>
    <col min="13563" max="13564" width="0.77734375" style="2" customWidth="1"/>
    <col min="13565" max="13566" width="1.21875" style="2" customWidth="1"/>
    <col min="13567" max="13567" width="43" style="2" bestFit="1" customWidth="1"/>
    <col min="13568" max="13568" width="9.77734375" style="2" bestFit="1" customWidth="1"/>
    <col min="13569" max="13570" width="18.44140625" style="2" bestFit="1" customWidth="1"/>
    <col min="13571" max="13571" width="8.44140625" style="2" bestFit="1" customWidth="1"/>
    <col min="13572" max="13572" width="18.44140625" style="2" bestFit="1" customWidth="1"/>
    <col min="13573" max="13817" width="9.21875" style="2"/>
    <col min="13818" max="13818" width="1.44140625" style="2" customWidth="1"/>
    <col min="13819" max="13820" width="0.77734375" style="2" customWidth="1"/>
    <col min="13821" max="13822" width="1.21875" style="2" customWidth="1"/>
    <col min="13823" max="13823" width="43" style="2" bestFit="1" customWidth="1"/>
    <col min="13824" max="13824" width="9.77734375" style="2" bestFit="1" customWidth="1"/>
    <col min="13825" max="13826" width="18.44140625" style="2" bestFit="1" customWidth="1"/>
    <col min="13827" max="13827" width="8.44140625" style="2" bestFit="1" customWidth="1"/>
    <col min="13828" max="13828" width="18.44140625" style="2" bestFit="1" customWidth="1"/>
    <col min="13829" max="14073" width="9.21875" style="2"/>
    <col min="14074" max="14074" width="1.44140625" style="2" customWidth="1"/>
    <col min="14075" max="14076" width="0.77734375" style="2" customWidth="1"/>
    <col min="14077" max="14078" width="1.21875" style="2" customWidth="1"/>
    <col min="14079" max="14079" width="43" style="2" bestFit="1" customWidth="1"/>
    <col min="14080" max="14080" width="9.77734375" style="2" bestFit="1" customWidth="1"/>
    <col min="14081" max="14082" width="18.44140625" style="2" bestFit="1" customWidth="1"/>
    <col min="14083" max="14083" width="8.44140625" style="2" bestFit="1" customWidth="1"/>
    <col min="14084" max="14084" width="18.44140625" style="2" bestFit="1" customWidth="1"/>
    <col min="14085" max="14329" width="9.21875" style="2"/>
    <col min="14330" max="14330" width="1.44140625" style="2" customWidth="1"/>
    <col min="14331" max="14332" width="0.77734375" style="2" customWidth="1"/>
    <col min="14333" max="14334" width="1.21875" style="2" customWidth="1"/>
    <col min="14335" max="14335" width="43" style="2" bestFit="1" customWidth="1"/>
    <col min="14336" max="14336" width="9.77734375" style="2" bestFit="1" customWidth="1"/>
    <col min="14337" max="14338" width="18.44140625" style="2" bestFit="1" customWidth="1"/>
    <col min="14339" max="14339" width="8.44140625" style="2" bestFit="1" customWidth="1"/>
    <col min="14340" max="14340" width="18.44140625" style="2" bestFit="1" customWidth="1"/>
    <col min="14341" max="14585" width="9.21875" style="2"/>
    <col min="14586" max="14586" width="1.44140625" style="2" customWidth="1"/>
    <col min="14587" max="14588" width="0.77734375" style="2" customWidth="1"/>
    <col min="14589" max="14590" width="1.21875" style="2" customWidth="1"/>
    <col min="14591" max="14591" width="43" style="2" bestFit="1" customWidth="1"/>
    <col min="14592" max="14592" width="9.77734375" style="2" bestFit="1" customWidth="1"/>
    <col min="14593" max="14594" width="18.44140625" style="2" bestFit="1" customWidth="1"/>
    <col min="14595" max="14595" width="8.44140625" style="2" bestFit="1" customWidth="1"/>
    <col min="14596" max="14596" width="18.44140625" style="2" bestFit="1" customWidth="1"/>
    <col min="14597" max="14841" width="9.21875" style="2"/>
    <col min="14842" max="14842" width="1.44140625" style="2" customWidth="1"/>
    <col min="14843" max="14844" width="0.77734375" style="2" customWidth="1"/>
    <col min="14845" max="14846" width="1.21875" style="2" customWidth="1"/>
    <col min="14847" max="14847" width="43" style="2" bestFit="1" customWidth="1"/>
    <col min="14848" max="14848" width="9.77734375" style="2" bestFit="1" customWidth="1"/>
    <col min="14849" max="14850" width="18.44140625" style="2" bestFit="1" customWidth="1"/>
    <col min="14851" max="14851" width="8.44140625" style="2" bestFit="1" customWidth="1"/>
    <col min="14852" max="14852" width="18.44140625" style="2" bestFit="1" customWidth="1"/>
    <col min="14853" max="15097" width="9.21875" style="2"/>
    <col min="15098" max="15098" width="1.44140625" style="2" customWidth="1"/>
    <col min="15099" max="15100" width="0.77734375" style="2" customWidth="1"/>
    <col min="15101" max="15102" width="1.21875" style="2" customWidth="1"/>
    <col min="15103" max="15103" width="43" style="2" bestFit="1" customWidth="1"/>
    <col min="15104" max="15104" width="9.77734375" style="2" bestFit="1" customWidth="1"/>
    <col min="15105" max="15106" width="18.44140625" style="2" bestFit="1" customWidth="1"/>
    <col min="15107" max="15107" width="8.44140625" style="2" bestFit="1" customWidth="1"/>
    <col min="15108" max="15108" width="18.44140625" style="2" bestFit="1" customWidth="1"/>
    <col min="15109" max="15353" width="9.21875" style="2"/>
    <col min="15354" max="15354" width="1.44140625" style="2" customWidth="1"/>
    <col min="15355" max="15356" width="0.77734375" style="2" customWidth="1"/>
    <col min="15357" max="15358" width="1.21875" style="2" customWidth="1"/>
    <col min="15359" max="15359" width="43" style="2" bestFit="1" customWidth="1"/>
    <col min="15360" max="15360" width="9.77734375" style="2" bestFit="1" customWidth="1"/>
    <col min="15361" max="15362" width="18.44140625" style="2" bestFit="1" customWidth="1"/>
    <col min="15363" max="15363" width="8.44140625" style="2" bestFit="1" customWidth="1"/>
    <col min="15364" max="15364" width="18.44140625" style="2" bestFit="1" customWidth="1"/>
    <col min="15365" max="15609" width="9.21875" style="2"/>
    <col min="15610" max="15610" width="1.44140625" style="2" customWidth="1"/>
    <col min="15611" max="15612" width="0.77734375" style="2" customWidth="1"/>
    <col min="15613" max="15614" width="1.21875" style="2" customWidth="1"/>
    <col min="15615" max="15615" width="43" style="2" bestFit="1" customWidth="1"/>
    <col min="15616" max="15616" width="9.77734375" style="2" bestFit="1" customWidth="1"/>
    <col min="15617" max="15618" width="18.44140625" style="2" bestFit="1" customWidth="1"/>
    <col min="15619" max="15619" width="8.44140625" style="2" bestFit="1" customWidth="1"/>
    <col min="15620" max="15620" width="18.44140625" style="2" bestFit="1" customWidth="1"/>
    <col min="15621" max="15865" width="9.21875" style="2"/>
    <col min="15866" max="15866" width="1.44140625" style="2" customWidth="1"/>
    <col min="15867" max="15868" width="0.77734375" style="2" customWidth="1"/>
    <col min="15869" max="15870" width="1.21875" style="2" customWidth="1"/>
    <col min="15871" max="15871" width="43" style="2" bestFit="1" customWidth="1"/>
    <col min="15872" max="15872" width="9.77734375" style="2" bestFit="1" customWidth="1"/>
    <col min="15873" max="15874" width="18.44140625" style="2" bestFit="1" customWidth="1"/>
    <col min="15875" max="15875" width="8.44140625" style="2" bestFit="1" customWidth="1"/>
    <col min="15876" max="15876" width="18.44140625" style="2" bestFit="1" customWidth="1"/>
    <col min="15877" max="16121" width="9.21875" style="2"/>
    <col min="16122" max="16122" width="1.44140625" style="2" customWidth="1"/>
    <col min="16123" max="16124" width="0.77734375" style="2" customWidth="1"/>
    <col min="16125" max="16126" width="1.21875" style="2" customWidth="1"/>
    <col min="16127" max="16127" width="43" style="2" bestFit="1" customWidth="1"/>
    <col min="16128" max="16128" width="9.77734375" style="2" bestFit="1" customWidth="1"/>
    <col min="16129" max="16130" width="18.44140625" style="2" bestFit="1" customWidth="1"/>
    <col min="16131" max="16131" width="8.44140625" style="2" bestFit="1" customWidth="1"/>
    <col min="16132" max="16132" width="18.44140625" style="2" bestFit="1" customWidth="1"/>
    <col min="16133" max="16384" width="9.21875" style="2"/>
  </cols>
  <sheetData>
    <row r="1" spans="1:10" ht="14.85" customHeight="1" x14ac:dyDescent="0.3">
      <c r="A1" s="329" t="e" vm="1">
        <v>#VALUE!</v>
      </c>
      <c r="B1" s="329"/>
      <c r="C1" s="329"/>
      <c r="D1" s="329"/>
      <c r="E1" s="329"/>
      <c r="F1" s="329"/>
    </row>
    <row r="2" spans="1:10" x14ac:dyDescent="0.3">
      <c r="A2" s="329"/>
      <c r="B2" s="329"/>
      <c r="C2" s="329"/>
      <c r="D2" s="329"/>
      <c r="E2" s="329"/>
      <c r="F2" s="329"/>
    </row>
    <row r="3" spans="1:10" x14ac:dyDescent="0.3">
      <c r="A3" s="329"/>
      <c r="B3" s="329"/>
      <c r="C3" s="329"/>
      <c r="D3" s="329"/>
      <c r="E3" s="329"/>
      <c r="F3" s="329"/>
    </row>
    <row r="4" spans="1:10" x14ac:dyDescent="0.3">
      <c r="A4" s="329"/>
      <c r="B4" s="329"/>
      <c r="C4" s="329"/>
      <c r="D4" s="329"/>
      <c r="E4" s="329"/>
      <c r="F4" s="329"/>
    </row>
    <row r="5" spans="1:10" x14ac:dyDescent="0.3">
      <c r="A5" s="329"/>
      <c r="B5" s="329"/>
      <c r="C5" s="329"/>
      <c r="D5" s="329"/>
      <c r="E5" s="329"/>
      <c r="F5" s="329"/>
    </row>
    <row r="6" spans="1:10" x14ac:dyDescent="0.3">
      <c r="A6" s="329"/>
      <c r="B6" s="329"/>
      <c r="C6" s="329"/>
      <c r="D6" s="329"/>
      <c r="E6" s="329"/>
      <c r="F6" s="329"/>
    </row>
    <row r="7" spans="1:10" x14ac:dyDescent="0.3">
      <c r="A7" s="330" t="s">
        <v>271</v>
      </c>
      <c r="B7" s="330"/>
      <c r="C7" s="330"/>
      <c r="D7" s="330"/>
      <c r="E7" s="330"/>
      <c r="F7" s="330"/>
    </row>
    <row r="8" spans="1:10" x14ac:dyDescent="0.3">
      <c r="A8" s="330" t="s">
        <v>0</v>
      </c>
      <c r="B8" s="330"/>
      <c r="C8" s="330"/>
      <c r="D8" s="330"/>
      <c r="E8" s="330"/>
      <c r="F8" s="330"/>
    </row>
    <row r="9" spans="1:10" x14ac:dyDescent="0.3">
      <c r="A9" s="330" t="s">
        <v>272</v>
      </c>
      <c r="B9" s="330"/>
      <c r="C9" s="330"/>
      <c r="D9" s="330"/>
      <c r="E9" s="330"/>
      <c r="F9" s="330"/>
    </row>
    <row r="10" spans="1:10" s="4" customFormat="1" x14ac:dyDescent="0.3">
      <c r="A10" s="331"/>
      <c r="B10" s="331"/>
      <c r="C10" s="331"/>
      <c r="D10" s="331"/>
      <c r="E10" s="331"/>
      <c r="F10" s="331"/>
      <c r="G10" s="3"/>
      <c r="H10" s="3"/>
      <c r="I10" s="3"/>
    </row>
    <row r="11" spans="1:10" s="4" customFormat="1" x14ac:dyDescent="0.3">
      <c r="A11" s="332"/>
      <c r="B11" s="332"/>
      <c r="C11" s="332"/>
      <c r="D11" s="332"/>
      <c r="E11" s="332" t="s">
        <v>1</v>
      </c>
      <c r="F11" s="332"/>
      <c r="G11" s="3"/>
      <c r="H11" s="326"/>
      <c r="I11" s="326"/>
    </row>
    <row r="12" spans="1:10" ht="26.1" customHeight="1" x14ac:dyDescent="0.3">
      <c r="A12" s="5" t="s">
        <v>2</v>
      </c>
      <c r="B12" s="6" t="s">
        <v>3</v>
      </c>
      <c r="C12" s="7" t="s">
        <v>273</v>
      </c>
      <c r="D12" s="7" t="s">
        <v>274</v>
      </c>
      <c r="E12" s="7" t="s">
        <v>4</v>
      </c>
      <c r="F12" s="6" t="s">
        <v>275</v>
      </c>
      <c r="H12" s="8"/>
      <c r="I12" s="9"/>
    </row>
    <row r="13" spans="1:10" ht="14.4" x14ac:dyDescent="0.3">
      <c r="A13" s="10"/>
      <c r="B13" s="11"/>
      <c r="C13" s="12"/>
      <c r="D13" s="13"/>
      <c r="E13" s="14"/>
      <c r="F13" s="15"/>
      <c r="H13" s="8"/>
      <c r="I13" s="9"/>
    </row>
    <row r="14" spans="1:10" ht="14.4" x14ac:dyDescent="0.3">
      <c r="A14" s="16" t="s">
        <v>5</v>
      </c>
      <c r="B14" s="17" t="s">
        <v>313</v>
      </c>
      <c r="C14" s="18">
        <f>C16+C22+C38</f>
        <v>2081414946120</v>
      </c>
      <c r="D14" s="18">
        <f>D16+D22+D38</f>
        <v>2060940144640.1201</v>
      </c>
      <c r="E14" s="18">
        <f>IFERROR(ROUND(D14/C14*100,2),0)</f>
        <v>99.02</v>
      </c>
      <c r="F14" s="18">
        <f>F16+F22+F38</f>
        <v>2090724830810.4299</v>
      </c>
      <c r="H14" s="19"/>
      <c r="I14" s="20"/>
      <c r="J14" s="21"/>
    </row>
    <row r="15" spans="1:10" x14ac:dyDescent="0.3">
      <c r="A15" s="22"/>
      <c r="B15" s="23"/>
      <c r="C15" s="24"/>
      <c r="D15" s="24"/>
      <c r="E15" s="24"/>
      <c r="F15" s="24"/>
      <c r="J15" s="21"/>
    </row>
    <row r="16" spans="1:10" ht="14.4" x14ac:dyDescent="0.3">
      <c r="A16" s="25" t="s">
        <v>6</v>
      </c>
      <c r="B16" s="26" t="s">
        <v>314</v>
      </c>
      <c r="C16" s="27">
        <f>SUM(C17:C20)</f>
        <v>220092202270</v>
      </c>
      <c r="D16" s="27">
        <f>SUM(D17:D20)</f>
        <v>209559079716.12</v>
      </c>
      <c r="E16" s="27">
        <f>IFERROR(ROUND(D16/C16*100,2),0)</f>
        <v>95.21</v>
      </c>
      <c r="F16" s="27">
        <f>SUM(F17:F20)</f>
        <v>169925922940.42999</v>
      </c>
      <c r="H16" s="19"/>
      <c r="I16" s="20"/>
      <c r="J16" s="21"/>
    </row>
    <row r="17" spans="1:10" ht="14.4" x14ac:dyDescent="0.3">
      <c r="A17" s="28" t="s">
        <v>7</v>
      </c>
      <c r="B17" s="29" t="s">
        <v>315</v>
      </c>
      <c r="C17" s="30">
        <v>42085649257</v>
      </c>
      <c r="D17" s="30">
        <v>35786367464.910004</v>
      </c>
      <c r="E17" s="30">
        <f>IFERROR(ROUND(D17/C17*100,2),0)</f>
        <v>85.03</v>
      </c>
      <c r="F17" s="30">
        <v>16684150219.549999</v>
      </c>
      <c r="H17"/>
      <c r="I17" s="31"/>
      <c r="J17" s="21"/>
    </row>
    <row r="18" spans="1:10" ht="14.4" x14ac:dyDescent="0.3">
      <c r="A18" s="28" t="s">
        <v>8</v>
      </c>
      <c r="B18" s="29" t="s">
        <v>316</v>
      </c>
      <c r="C18" s="30">
        <v>155006553013</v>
      </c>
      <c r="D18" s="30">
        <v>156436905965.89999</v>
      </c>
      <c r="E18" s="30">
        <f>IFERROR(ROUND(D18/C18*100,2),0)</f>
        <v>100.92</v>
      </c>
      <c r="F18" s="30">
        <v>17699305005</v>
      </c>
      <c r="H18"/>
      <c r="I18" s="31"/>
      <c r="J18" s="21"/>
    </row>
    <row r="19" spans="1:10" ht="14.4" x14ac:dyDescent="0.3">
      <c r="A19" s="28" t="s">
        <v>9</v>
      </c>
      <c r="B19" s="29" t="s">
        <v>317</v>
      </c>
      <c r="C19" s="30">
        <v>7510000000</v>
      </c>
      <c r="D19" s="30">
        <v>8443342308</v>
      </c>
      <c r="E19" s="30">
        <f>IFERROR(ROUND(D19/C19*100,2),0)</f>
        <v>112.43</v>
      </c>
      <c r="F19" s="30">
        <v>8152466371</v>
      </c>
      <c r="H19" s="33"/>
      <c r="I19" s="31"/>
      <c r="J19" s="21"/>
    </row>
    <row r="20" spans="1:10" ht="14.4" x14ac:dyDescent="0.3">
      <c r="A20" s="28" t="s">
        <v>10</v>
      </c>
      <c r="B20" s="29" t="s">
        <v>318</v>
      </c>
      <c r="C20" s="30">
        <v>15490000000</v>
      </c>
      <c r="D20" s="32">
        <v>8892463977.3100014</v>
      </c>
      <c r="E20" s="32">
        <f>IFERROR(ROUND(D20/C20*100,2),0)</f>
        <v>57.41</v>
      </c>
      <c r="F20" s="32">
        <v>127390001344.87999</v>
      </c>
      <c r="H20" s="33"/>
      <c r="I20" s="31"/>
      <c r="J20" s="21"/>
    </row>
    <row r="21" spans="1:10" ht="14.4" x14ac:dyDescent="0.3">
      <c r="A21" s="34"/>
      <c r="B21" s="35"/>
      <c r="C21" s="30"/>
      <c r="D21" s="30"/>
      <c r="E21" s="30"/>
      <c r="F21" s="30"/>
      <c r="H21" s="19"/>
      <c r="I21" s="20"/>
      <c r="J21" s="21"/>
    </row>
    <row r="22" spans="1:10" ht="14.4" x14ac:dyDescent="0.3">
      <c r="A22" s="25" t="s">
        <v>11</v>
      </c>
      <c r="B22" s="26" t="s">
        <v>319</v>
      </c>
      <c r="C22" s="27">
        <f>C23+C31+C34</f>
        <v>1834998222557</v>
      </c>
      <c r="D22" s="27">
        <f>D23+D31+D34</f>
        <v>1825056543631</v>
      </c>
      <c r="E22" s="27">
        <f t="shared" ref="E22:E36" si="0">IFERROR(ROUND(D22/C22*100,2),0)</f>
        <v>99.46</v>
      </c>
      <c r="F22" s="27">
        <f>F23+F31+F34</f>
        <v>1832006301746</v>
      </c>
      <c r="H22" s="19"/>
      <c r="I22" s="20"/>
      <c r="J22" s="21"/>
    </row>
    <row r="23" spans="1:10" ht="14.4" x14ac:dyDescent="0.3">
      <c r="A23" s="36" t="s">
        <v>12</v>
      </c>
      <c r="B23" s="37" t="s">
        <v>320</v>
      </c>
      <c r="C23" s="38">
        <f>SUM(C24:C30)</f>
        <v>1588998746000</v>
      </c>
      <c r="D23" s="38">
        <f>SUM(D24:D30)</f>
        <v>1606622496700</v>
      </c>
      <c r="E23" s="38">
        <f t="shared" si="0"/>
        <v>101.11</v>
      </c>
      <c r="F23" s="38">
        <f>SUM(F24:F30)</f>
        <v>1559907817899</v>
      </c>
      <c r="H23" s="19"/>
      <c r="I23" s="20"/>
      <c r="J23" s="21"/>
    </row>
    <row r="24" spans="1:10" ht="14.4" hidden="1" x14ac:dyDescent="0.3">
      <c r="A24" s="40" t="s">
        <v>13</v>
      </c>
      <c r="B24" s="35"/>
      <c r="C24" s="30">
        <v>0</v>
      </c>
      <c r="D24" s="30">
        <v>0</v>
      </c>
      <c r="E24" s="30">
        <f t="shared" si="0"/>
        <v>0</v>
      </c>
      <c r="F24" s="30"/>
      <c r="G24" s="294" t="s">
        <v>327</v>
      </c>
      <c r="H24"/>
      <c r="I24" s="31"/>
      <c r="J24" s="21"/>
    </row>
    <row r="25" spans="1:10" ht="14.4" hidden="1" x14ac:dyDescent="0.3">
      <c r="A25" s="40" t="s">
        <v>14</v>
      </c>
      <c r="B25" s="35"/>
      <c r="C25" s="30">
        <v>0</v>
      </c>
      <c r="D25" s="32">
        <v>0</v>
      </c>
      <c r="E25" s="32">
        <f t="shared" si="0"/>
        <v>0</v>
      </c>
      <c r="F25" s="32">
        <v>0</v>
      </c>
      <c r="H25"/>
      <c r="I25" s="31"/>
      <c r="J25" s="21"/>
    </row>
    <row r="26" spans="1:10" ht="27.6" hidden="1" x14ac:dyDescent="0.3">
      <c r="A26" s="40" t="s">
        <v>15</v>
      </c>
      <c r="B26" s="35"/>
      <c r="C26" s="30">
        <v>0</v>
      </c>
      <c r="D26" s="30">
        <v>0</v>
      </c>
      <c r="E26" s="30">
        <f t="shared" si="0"/>
        <v>0</v>
      </c>
      <c r="F26" s="30">
        <v>0</v>
      </c>
      <c r="H26"/>
      <c r="I26" s="31"/>
      <c r="J26" s="21"/>
    </row>
    <row r="27" spans="1:10" ht="14.4" hidden="1" x14ac:dyDescent="0.3">
      <c r="A27" s="40" t="s">
        <v>16</v>
      </c>
      <c r="B27" s="35"/>
      <c r="C27" s="30">
        <v>0</v>
      </c>
      <c r="D27" s="30">
        <v>0</v>
      </c>
      <c r="E27" s="30">
        <f t="shared" si="0"/>
        <v>0</v>
      </c>
      <c r="F27" s="30">
        <v>0</v>
      </c>
      <c r="H27"/>
      <c r="I27" s="31"/>
      <c r="J27" s="21"/>
    </row>
    <row r="28" spans="1:10" ht="14.4" x14ac:dyDescent="0.3">
      <c r="A28" s="40" t="s">
        <v>19</v>
      </c>
      <c r="B28" s="29" t="s">
        <v>321</v>
      </c>
      <c r="C28" s="30">
        <v>103870024000</v>
      </c>
      <c r="D28" s="30">
        <v>102288736300</v>
      </c>
      <c r="E28" s="30">
        <f t="shared" si="0"/>
        <v>98.48</v>
      </c>
      <c r="F28" s="30">
        <v>71419690000</v>
      </c>
      <c r="H28"/>
      <c r="I28" s="31"/>
      <c r="J28" s="21"/>
    </row>
    <row r="29" spans="1:10" ht="14.4" x14ac:dyDescent="0.3">
      <c r="A29" s="40" t="s">
        <v>20</v>
      </c>
      <c r="B29" s="29" t="s">
        <v>322</v>
      </c>
      <c r="C29" s="30">
        <v>1130073280000</v>
      </c>
      <c r="D29" s="30">
        <v>1160437521669</v>
      </c>
      <c r="E29" s="30">
        <f t="shared" si="0"/>
        <v>102.69</v>
      </c>
      <c r="F29" s="30">
        <v>1069469209836</v>
      </c>
      <c r="H29"/>
      <c r="I29" s="31"/>
      <c r="J29" s="21"/>
    </row>
    <row r="30" spans="1:10" ht="14.4" x14ac:dyDescent="0.3">
      <c r="A30" s="40" t="s">
        <v>21</v>
      </c>
      <c r="B30" s="29" t="s">
        <v>323</v>
      </c>
      <c r="C30" s="30">
        <v>355055442000</v>
      </c>
      <c r="D30" s="30">
        <v>343896238731</v>
      </c>
      <c r="E30" s="30">
        <f t="shared" si="0"/>
        <v>96.86</v>
      </c>
      <c r="F30" s="30">
        <f>160918308551+258100609512</f>
        <v>419018918063</v>
      </c>
      <c r="H30"/>
      <c r="I30" s="31"/>
      <c r="J30" s="21"/>
    </row>
    <row r="31" spans="1:10" s="51" customFormat="1" ht="14.4" x14ac:dyDescent="0.3">
      <c r="A31" s="36" t="s">
        <v>283</v>
      </c>
      <c r="B31" s="37" t="s">
        <v>324</v>
      </c>
      <c r="C31" s="39">
        <f>SUM(C32:C33)</f>
        <v>180596441000</v>
      </c>
      <c r="D31" s="39">
        <f>SUM(D32:D33)</f>
        <v>154098266180</v>
      </c>
      <c r="E31" s="39">
        <f t="shared" si="0"/>
        <v>85.33</v>
      </c>
      <c r="F31" s="39">
        <f>SUM(F32:F33)</f>
        <v>193976859000</v>
      </c>
      <c r="G31" s="273"/>
      <c r="H31" s="274"/>
      <c r="I31" s="275"/>
      <c r="J31" s="276"/>
    </row>
    <row r="32" spans="1:10" ht="14.4" x14ac:dyDescent="0.3">
      <c r="A32" s="40" t="s">
        <v>17</v>
      </c>
      <c r="B32" s="35" t="s">
        <v>326</v>
      </c>
      <c r="C32" s="30">
        <v>180596441000</v>
      </c>
      <c r="D32" s="30">
        <v>154098266180</v>
      </c>
      <c r="E32" s="30">
        <f>IFERROR(ROUND(D32/C32*100,2),0)</f>
        <v>85.33</v>
      </c>
      <c r="F32" s="30">
        <v>187145184000</v>
      </c>
      <c r="H32"/>
      <c r="I32" s="31"/>
      <c r="J32" s="21"/>
    </row>
    <row r="33" spans="1:10" ht="14.4" x14ac:dyDescent="0.3">
      <c r="A33" s="40" t="s">
        <v>18</v>
      </c>
      <c r="B33" s="35" t="s">
        <v>328</v>
      </c>
      <c r="C33" s="30">
        <v>0</v>
      </c>
      <c r="D33" s="30">
        <v>0</v>
      </c>
      <c r="E33" s="30">
        <f>IFERROR(ROUND(D33/C33*100,2),0)</f>
        <v>0</v>
      </c>
      <c r="F33" s="30">
        <v>6831675000</v>
      </c>
      <c r="H33"/>
      <c r="I33" s="31"/>
      <c r="J33" s="21"/>
    </row>
    <row r="34" spans="1:10" ht="14.4" x14ac:dyDescent="0.3">
      <c r="A34" s="36" t="s">
        <v>22</v>
      </c>
      <c r="B34" s="37" t="s">
        <v>325</v>
      </c>
      <c r="C34" s="38">
        <f>SUM(C35:C36)</f>
        <v>65403035557</v>
      </c>
      <c r="D34" s="38">
        <f>SUM(D35:D36)</f>
        <v>64335780751</v>
      </c>
      <c r="E34" s="38">
        <f t="shared" si="0"/>
        <v>98.37</v>
      </c>
      <c r="F34" s="38">
        <f>SUM(F35:F36)</f>
        <v>78121624847</v>
      </c>
      <c r="H34"/>
      <c r="I34" s="31"/>
      <c r="J34" s="21"/>
    </row>
    <row r="35" spans="1:10" ht="14.4" x14ac:dyDescent="0.3">
      <c r="A35" s="40" t="s">
        <v>23</v>
      </c>
      <c r="B35" s="29" t="s">
        <v>329</v>
      </c>
      <c r="C35" s="30">
        <v>65403035557</v>
      </c>
      <c r="D35" s="32">
        <v>64144780751</v>
      </c>
      <c r="E35" s="32">
        <f t="shared" si="0"/>
        <v>98.08</v>
      </c>
      <c r="F35" s="32">
        <v>78121624847</v>
      </c>
      <c r="H35"/>
      <c r="I35" s="31"/>
      <c r="J35" s="21"/>
    </row>
    <row r="36" spans="1:10" ht="14.4" x14ac:dyDescent="0.3">
      <c r="A36" s="40" t="s">
        <v>24</v>
      </c>
      <c r="B36" s="29" t="s">
        <v>330</v>
      </c>
      <c r="C36" s="30">
        <v>0</v>
      </c>
      <c r="D36" s="32">
        <v>191000000</v>
      </c>
      <c r="E36" s="32">
        <f t="shared" si="0"/>
        <v>0</v>
      </c>
      <c r="F36" s="32">
        <v>0</v>
      </c>
      <c r="H36"/>
      <c r="I36" s="31"/>
      <c r="J36" s="21"/>
    </row>
    <row r="37" spans="1:10" ht="14.4" x14ac:dyDescent="0.3">
      <c r="A37" s="34"/>
      <c r="B37" s="35"/>
      <c r="C37" s="30"/>
      <c r="D37" s="30"/>
      <c r="E37" s="30"/>
      <c r="F37" s="30"/>
      <c r="H37" s="19"/>
      <c r="I37" s="20"/>
      <c r="J37" s="21"/>
    </row>
    <row r="38" spans="1:10" ht="14.4" x14ac:dyDescent="0.3">
      <c r="A38" s="25" t="s">
        <v>25</v>
      </c>
      <c r="B38" s="26" t="s">
        <v>331</v>
      </c>
      <c r="C38" s="27">
        <f>SUM(C39:C41)</f>
        <v>26324521293</v>
      </c>
      <c r="D38" s="27">
        <f>SUM(D39:D41)</f>
        <v>26324521293</v>
      </c>
      <c r="E38" s="27">
        <f>IFERROR(ROUND(D38/C38*100,2),0)</f>
        <v>100</v>
      </c>
      <c r="F38" s="27">
        <f>SUM(F39:F41)</f>
        <v>88792606124</v>
      </c>
      <c r="H38" s="19"/>
      <c r="I38" s="20"/>
      <c r="J38" s="21"/>
    </row>
    <row r="39" spans="1:10" ht="14.4" x14ac:dyDescent="0.3">
      <c r="A39" s="28" t="s">
        <v>26</v>
      </c>
      <c r="B39" s="35" t="s">
        <v>332</v>
      </c>
      <c r="C39" s="30">
        <v>0</v>
      </c>
      <c r="D39" s="32">
        <v>0</v>
      </c>
      <c r="E39" s="32">
        <f>IFERROR(ROUND(D39/C39*100,2),0)</f>
        <v>0</v>
      </c>
      <c r="F39" s="32">
        <v>18572830000</v>
      </c>
      <c r="H39"/>
      <c r="I39" s="31"/>
      <c r="J39" s="21"/>
    </row>
    <row r="40" spans="1:10" hidden="1" x14ac:dyDescent="0.3">
      <c r="A40" s="28" t="s">
        <v>27</v>
      </c>
      <c r="B40" s="35"/>
      <c r="C40" s="30">
        <v>0</v>
      </c>
      <c r="D40" s="32">
        <v>0</v>
      </c>
      <c r="E40" s="32">
        <f>IFERROR(ROUND(D40/C40*100,2),0)</f>
        <v>0</v>
      </c>
      <c r="F40" s="32">
        <v>0</v>
      </c>
      <c r="J40" s="21"/>
    </row>
    <row r="41" spans="1:10" ht="27.6" x14ac:dyDescent="0.3">
      <c r="A41" s="28" t="s">
        <v>28</v>
      </c>
      <c r="B41" s="35" t="s">
        <v>333</v>
      </c>
      <c r="C41" s="30">
        <v>26324521293</v>
      </c>
      <c r="D41" s="32">
        <v>26324521293</v>
      </c>
      <c r="E41" s="32">
        <f>IFERROR(ROUND(D41/C41*100,2),0)</f>
        <v>100</v>
      </c>
      <c r="F41" s="32">
        <v>70219776124</v>
      </c>
      <c r="H41"/>
      <c r="I41" s="31"/>
      <c r="J41" s="21"/>
    </row>
    <row r="42" spans="1:10" x14ac:dyDescent="0.3">
      <c r="A42" s="41"/>
      <c r="B42" s="42"/>
      <c r="C42" s="30"/>
      <c r="D42" s="30"/>
      <c r="E42" s="30"/>
      <c r="F42" s="30"/>
      <c r="J42" s="21"/>
    </row>
    <row r="43" spans="1:10" ht="14.4" x14ac:dyDescent="0.3">
      <c r="A43" s="16" t="s">
        <v>29</v>
      </c>
      <c r="B43" s="17" t="s">
        <v>334</v>
      </c>
      <c r="C43" s="18">
        <f>C45+C54+C62+C65</f>
        <v>2120341439656.96</v>
      </c>
      <c r="D43" s="18">
        <f>D45+D54+D62+D65</f>
        <v>2032254013530.9399</v>
      </c>
      <c r="E43" s="18">
        <f>IFERROR(ROUND(D43/C43*100,2),0)</f>
        <v>95.85</v>
      </c>
      <c r="F43" s="18">
        <f>F45+F54+F62+F65</f>
        <v>2079876540631.9199</v>
      </c>
      <c r="H43" s="19"/>
      <c r="I43" s="20"/>
      <c r="J43" s="21"/>
    </row>
    <row r="44" spans="1:10" x14ac:dyDescent="0.3">
      <c r="A44" s="41"/>
      <c r="B44" s="42"/>
      <c r="C44" s="30"/>
      <c r="D44" s="30"/>
      <c r="E44" s="30"/>
      <c r="F44" s="30"/>
      <c r="J44" s="21"/>
    </row>
    <row r="45" spans="1:10" ht="14.4" x14ac:dyDescent="0.3">
      <c r="A45" s="296" t="s">
        <v>30</v>
      </c>
      <c r="B45" s="37" t="s">
        <v>335</v>
      </c>
      <c r="C45" s="38">
        <f>SUM(C46:C52)</f>
        <v>1620643248454.8599</v>
      </c>
      <c r="D45" s="38">
        <f>SUM(D46:D52)</f>
        <v>1579146679246.9399</v>
      </c>
      <c r="E45" s="38">
        <f t="shared" ref="E45:E52" si="1">IFERROR(ROUND(D45/C45*100,2),0)</f>
        <v>97.44</v>
      </c>
      <c r="F45" s="38">
        <f>SUM(F46:F52)</f>
        <v>1567972000927.9199</v>
      </c>
      <c r="H45" s="295"/>
      <c r="I45" s="20"/>
      <c r="J45" s="21"/>
    </row>
    <row r="46" spans="1:10" ht="14.4" x14ac:dyDescent="0.3">
      <c r="A46" s="28" t="s">
        <v>31</v>
      </c>
      <c r="B46" s="29" t="s">
        <v>336</v>
      </c>
      <c r="C46" s="30">
        <v>1083594408101.8599</v>
      </c>
      <c r="D46" s="32">
        <v>1059733779975</v>
      </c>
      <c r="E46" s="32">
        <f t="shared" si="1"/>
        <v>97.8</v>
      </c>
      <c r="F46" s="32">
        <v>959315205223.09998</v>
      </c>
      <c r="H46"/>
      <c r="I46" s="31"/>
      <c r="J46" s="21"/>
    </row>
    <row r="47" spans="1:10" ht="14.4" x14ac:dyDescent="0.3">
      <c r="A47" s="28" t="s">
        <v>32</v>
      </c>
      <c r="B47" s="29" t="s">
        <v>337</v>
      </c>
      <c r="C47" s="30">
        <v>505098630353</v>
      </c>
      <c r="D47" s="32">
        <v>488796577286.94</v>
      </c>
      <c r="E47" s="32">
        <f t="shared" si="1"/>
        <v>96.77</v>
      </c>
      <c r="F47" s="32">
        <v>543166017911.81995</v>
      </c>
      <c r="H47"/>
      <c r="I47" s="31"/>
      <c r="J47" s="21"/>
    </row>
    <row r="48" spans="1:10" hidden="1" x14ac:dyDescent="0.3">
      <c r="A48" s="28" t="s">
        <v>33</v>
      </c>
      <c r="B48" s="35"/>
      <c r="C48" s="30">
        <v>0</v>
      </c>
      <c r="D48" s="32">
        <v>0</v>
      </c>
      <c r="E48" s="32">
        <f t="shared" si="1"/>
        <v>0</v>
      </c>
      <c r="F48" s="32">
        <v>0</v>
      </c>
      <c r="J48" s="21"/>
    </row>
    <row r="49" spans="1:10" ht="14.4" hidden="1" x14ac:dyDescent="0.3">
      <c r="A49" s="28" t="s">
        <v>34</v>
      </c>
      <c r="B49" s="29"/>
      <c r="C49" s="30">
        <v>0</v>
      </c>
      <c r="D49" s="32">
        <v>0</v>
      </c>
      <c r="E49" s="32">
        <f t="shared" si="1"/>
        <v>0</v>
      </c>
      <c r="F49" s="32">
        <v>0</v>
      </c>
      <c r="H49"/>
      <c r="I49" s="31"/>
      <c r="J49" s="21"/>
    </row>
    <row r="50" spans="1:10" ht="14.4" x14ac:dyDescent="0.3">
      <c r="A50" s="28" t="s">
        <v>35</v>
      </c>
      <c r="B50" s="29" t="s">
        <v>338</v>
      </c>
      <c r="C50" s="30">
        <v>31499210000</v>
      </c>
      <c r="D50" s="32">
        <v>30165321985</v>
      </c>
      <c r="E50" s="32">
        <f t="shared" si="1"/>
        <v>95.77</v>
      </c>
      <c r="F50" s="32">
        <v>65180177793</v>
      </c>
      <c r="H50"/>
      <c r="I50" s="31"/>
      <c r="J50" s="21"/>
    </row>
    <row r="51" spans="1:10" ht="14.4" x14ac:dyDescent="0.3">
      <c r="A51" s="28" t="s">
        <v>36</v>
      </c>
      <c r="B51" s="29" t="s">
        <v>339</v>
      </c>
      <c r="C51" s="30">
        <v>451000000</v>
      </c>
      <c r="D51" s="32">
        <v>451000000</v>
      </c>
      <c r="E51" s="32">
        <f t="shared" si="1"/>
        <v>100</v>
      </c>
      <c r="F51" s="32">
        <v>310600000</v>
      </c>
      <c r="H51"/>
      <c r="I51" s="31"/>
      <c r="J51" s="21"/>
    </row>
    <row r="52" spans="1:10" ht="14.4" hidden="1" x14ac:dyDescent="0.3">
      <c r="A52" s="28" t="s">
        <v>37</v>
      </c>
      <c r="B52" s="29"/>
      <c r="C52" s="30">
        <v>0</v>
      </c>
      <c r="D52" s="32">
        <v>0</v>
      </c>
      <c r="E52" s="32">
        <f t="shared" si="1"/>
        <v>0</v>
      </c>
      <c r="F52" s="32">
        <v>0</v>
      </c>
      <c r="H52"/>
      <c r="I52" s="31"/>
      <c r="J52" s="21"/>
    </row>
    <row r="53" spans="1:10" ht="14.4" x14ac:dyDescent="0.3">
      <c r="A53" s="41"/>
      <c r="B53" s="43"/>
      <c r="C53" s="30"/>
      <c r="D53" s="30"/>
      <c r="E53" s="30"/>
      <c r="F53" s="30"/>
      <c r="H53" s="19"/>
      <c r="I53" s="20"/>
      <c r="J53" s="21"/>
    </row>
    <row r="54" spans="1:10" ht="14.4" x14ac:dyDescent="0.3">
      <c r="A54" s="296" t="s">
        <v>38</v>
      </c>
      <c r="B54" s="37" t="s">
        <v>340</v>
      </c>
      <c r="C54" s="38">
        <f>SUM(C55:C60)</f>
        <v>181580744245.79999</v>
      </c>
      <c r="D54" s="38">
        <f>SUM(D55:D60)</f>
        <v>163126710730</v>
      </c>
      <c r="E54" s="38">
        <f t="shared" ref="E54:E60" si="2">IFERROR(ROUND(D54/C54*100,2),0)</f>
        <v>89.84</v>
      </c>
      <c r="F54" s="38">
        <f>SUM(F55:F60)</f>
        <v>212987711149</v>
      </c>
      <c r="H54" s="19"/>
      <c r="I54" s="20"/>
      <c r="J54" s="21"/>
    </row>
    <row r="55" spans="1:10" ht="14.4" x14ac:dyDescent="0.3">
      <c r="A55" s="28" t="s">
        <v>39</v>
      </c>
      <c r="B55" s="29" t="s">
        <v>341</v>
      </c>
      <c r="C55" s="30">
        <v>276500000</v>
      </c>
      <c r="D55" s="32">
        <v>273738000</v>
      </c>
      <c r="E55" s="32">
        <f t="shared" si="2"/>
        <v>99</v>
      </c>
      <c r="F55" s="32">
        <v>241362000</v>
      </c>
      <c r="H55"/>
      <c r="I55" s="31"/>
      <c r="J55" s="21"/>
    </row>
    <row r="56" spans="1:10" ht="14.4" x14ac:dyDescent="0.3">
      <c r="A56" s="28" t="s">
        <v>40</v>
      </c>
      <c r="B56" s="29" t="s">
        <v>342</v>
      </c>
      <c r="C56" s="30">
        <v>39525733415.800003</v>
      </c>
      <c r="D56" s="32">
        <v>36383268312</v>
      </c>
      <c r="E56" s="32">
        <f t="shared" si="2"/>
        <v>92.05</v>
      </c>
      <c r="F56" s="32">
        <v>45626675608</v>
      </c>
      <c r="H56"/>
      <c r="I56" s="31"/>
      <c r="J56" s="21"/>
    </row>
    <row r="57" spans="1:10" ht="14.4" x14ac:dyDescent="0.3">
      <c r="A57" s="28" t="s">
        <v>41</v>
      </c>
      <c r="B57" s="29" t="s">
        <v>343</v>
      </c>
      <c r="C57" s="30">
        <v>80385336167</v>
      </c>
      <c r="D57" s="32">
        <v>70165358002</v>
      </c>
      <c r="E57" s="32">
        <f t="shared" si="2"/>
        <v>87.29</v>
      </c>
      <c r="F57" s="32">
        <v>111617512105</v>
      </c>
      <c r="H57"/>
      <c r="I57" s="31"/>
      <c r="J57" s="21"/>
    </row>
    <row r="58" spans="1:10" ht="14.4" x14ac:dyDescent="0.3">
      <c r="A58" s="28" t="s">
        <v>42</v>
      </c>
      <c r="B58" s="29" t="s">
        <v>344</v>
      </c>
      <c r="C58" s="30">
        <v>53730804468</v>
      </c>
      <c r="D58" s="32">
        <v>48711569675</v>
      </c>
      <c r="E58" s="32">
        <f t="shared" si="2"/>
        <v>90.66</v>
      </c>
      <c r="F58" s="32">
        <v>52778791401</v>
      </c>
      <c r="H58"/>
      <c r="I58" s="31"/>
      <c r="J58" s="21"/>
    </row>
    <row r="59" spans="1:10" ht="14.4" x14ac:dyDescent="0.3">
      <c r="A59" s="28" t="s">
        <v>43</v>
      </c>
      <c r="B59" s="29" t="s">
        <v>345</v>
      </c>
      <c r="C59" s="30">
        <v>7662370195</v>
      </c>
      <c r="D59" s="32">
        <v>7592776741</v>
      </c>
      <c r="E59" s="32">
        <f t="shared" si="2"/>
        <v>99.09</v>
      </c>
      <c r="F59" s="32">
        <v>2667420035</v>
      </c>
      <c r="H59"/>
      <c r="I59" s="31"/>
      <c r="J59" s="21"/>
    </row>
    <row r="60" spans="1:10" ht="14.4" x14ac:dyDescent="0.3">
      <c r="A60" s="28" t="s">
        <v>44</v>
      </c>
      <c r="B60" s="29" t="s">
        <v>346</v>
      </c>
      <c r="C60" s="30">
        <v>0</v>
      </c>
      <c r="D60" s="32">
        <v>0</v>
      </c>
      <c r="E60" s="32">
        <f t="shared" si="2"/>
        <v>0</v>
      </c>
      <c r="F60" s="32">
        <v>55950000</v>
      </c>
      <c r="H60"/>
      <c r="I60" s="31"/>
      <c r="J60" s="21"/>
    </row>
    <row r="61" spans="1:10" ht="14.4" x14ac:dyDescent="0.3">
      <c r="A61" s="44"/>
      <c r="B61" s="42"/>
      <c r="C61" s="30"/>
      <c r="D61" s="30"/>
      <c r="E61" s="30"/>
      <c r="F61" s="30"/>
      <c r="H61"/>
      <c r="I61" s="31"/>
      <c r="J61" s="21"/>
    </row>
    <row r="62" spans="1:10" ht="14.4" x14ac:dyDescent="0.3">
      <c r="A62" s="296" t="s">
        <v>45</v>
      </c>
      <c r="B62" s="37" t="s">
        <v>347</v>
      </c>
      <c r="C62" s="38">
        <f>C63</f>
        <v>4500000000</v>
      </c>
      <c r="D62" s="38">
        <f>D63</f>
        <v>3938150000</v>
      </c>
      <c r="E62" s="38">
        <f>IFERROR(ROUND(D62/C62*100,2),0)</f>
        <v>87.51</v>
      </c>
      <c r="F62" s="38">
        <f>F63</f>
        <v>1621640000</v>
      </c>
      <c r="H62" s="19"/>
      <c r="I62" s="20"/>
      <c r="J62" s="21"/>
    </row>
    <row r="63" spans="1:10" ht="14.4" x14ac:dyDescent="0.3">
      <c r="A63" s="28" t="s">
        <v>46</v>
      </c>
      <c r="B63" s="29" t="s">
        <v>348</v>
      </c>
      <c r="C63" s="30">
        <v>4500000000</v>
      </c>
      <c r="D63" s="32">
        <v>3938150000</v>
      </c>
      <c r="E63" s="32">
        <f>IFERROR(ROUND(D63/C63*100,2),0)</f>
        <v>87.51</v>
      </c>
      <c r="F63" s="32">
        <v>1621640000</v>
      </c>
      <c r="H63"/>
      <c r="I63" s="31"/>
      <c r="J63" s="21"/>
    </row>
    <row r="64" spans="1:10" ht="14.4" x14ac:dyDescent="0.3">
      <c r="A64" s="44"/>
      <c r="B64" s="42"/>
      <c r="C64" s="30"/>
      <c r="D64" s="30"/>
      <c r="E64" s="30"/>
      <c r="F64" s="30"/>
      <c r="H64" s="19"/>
      <c r="I64" s="20"/>
      <c r="J64" s="21"/>
    </row>
    <row r="65" spans="1:10" ht="14.4" x14ac:dyDescent="0.3">
      <c r="A65" s="296" t="s">
        <v>47</v>
      </c>
      <c r="B65" s="37" t="s">
        <v>349</v>
      </c>
      <c r="C65" s="38">
        <f>C66+C69</f>
        <v>313617446956.29999</v>
      </c>
      <c r="D65" s="38">
        <f>D66+D69</f>
        <v>286042473554</v>
      </c>
      <c r="E65" s="38">
        <f t="shared" ref="E65:E86" si="3">IFERROR(ROUND(D65/C65*100,2),0)</f>
        <v>91.21</v>
      </c>
      <c r="F65" s="38">
        <f>F66+F69</f>
        <v>297295188555</v>
      </c>
      <c r="H65" s="19"/>
      <c r="I65" s="20"/>
      <c r="J65" s="21"/>
    </row>
    <row r="66" spans="1:10" ht="14.4" x14ac:dyDescent="0.3">
      <c r="A66" s="36" t="s">
        <v>48</v>
      </c>
      <c r="B66" s="29" t="s">
        <v>350</v>
      </c>
      <c r="C66" s="38">
        <f>SUM(C67:C68)</f>
        <v>5750828136.3000002</v>
      </c>
      <c r="D66" s="38">
        <f>SUM(D67:D68)</f>
        <v>4252200290</v>
      </c>
      <c r="E66" s="38">
        <f t="shared" si="3"/>
        <v>73.94</v>
      </c>
      <c r="F66" s="38">
        <f>SUM(F67:F68)</f>
        <v>3318345692</v>
      </c>
      <c r="H66" s="19"/>
      <c r="I66" s="20"/>
      <c r="J66" s="21"/>
    </row>
    <row r="67" spans="1:10" ht="27.6" x14ac:dyDescent="0.3">
      <c r="A67" s="40" t="s">
        <v>49</v>
      </c>
      <c r="B67" s="35"/>
      <c r="C67" s="30">
        <v>4271136636.3000002</v>
      </c>
      <c r="D67" s="30">
        <v>2983619018</v>
      </c>
      <c r="E67" s="30">
        <f t="shared" si="3"/>
        <v>69.86</v>
      </c>
      <c r="F67" s="30">
        <v>0</v>
      </c>
      <c r="H67"/>
      <c r="I67" s="31"/>
      <c r="J67" s="21"/>
    </row>
    <row r="68" spans="1:10" ht="27.6" x14ac:dyDescent="0.3">
      <c r="A68" s="40" t="s">
        <v>50</v>
      </c>
      <c r="B68" s="35"/>
      <c r="C68" s="30">
        <v>1479691500</v>
      </c>
      <c r="D68" s="30">
        <v>1268581272</v>
      </c>
      <c r="E68" s="30">
        <f t="shared" si="3"/>
        <v>85.73</v>
      </c>
      <c r="F68" s="30">
        <v>3318345692</v>
      </c>
      <c r="H68"/>
      <c r="I68" s="31"/>
      <c r="J68" s="21"/>
    </row>
    <row r="69" spans="1:10" ht="14.4" x14ac:dyDescent="0.3">
      <c r="A69" s="36" t="s">
        <v>51</v>
      </c>
      <c r="B69" s="29" t="s">
        <v>351</v>
      </c>
      <c r="C69" s="38">
        <f>SUM(C70:C75)</f>
        <v>307866618820</v>
      </c>
      <c r="D69" s="38">
        <f>SUM(D70:D75)</f>
        <v>281790273264</v>
      </c>
      <c r="E69" s="38">
        <f t="shared" si="3"/>
        <v>91.53</v>
      </c>
      <c r="F69" s="38">
        <f>SUM(F70:F75)</f>
        <v>293976842863</v>
      </c>
      <c r="H69"/>
      <c r="I69" s="31"/>
      <c r="J69" s="21"/>
    </row>
    <row r="70" spans="1:10" ht="14.4" hidden="1" x14ac:dyDescent="0.3">
      <c r="A70" s="40" t="s">
        <v>52</v>
      </c>
      <c r="B70" s="35"/>
      <c r="C70" s="30">
        <v>0</v>
      </c>
      <c r="D70" s="30">
        <v>0</v>
      </c>
      <c r="E70" s="30">
        <f t="shared" si="3"/>
        <v>0</v>
      </c>
      <c r="F70" s="30">
        <v>0</v>
      </c>
      <c r="H70"/>
      <c r="I70" s="31"/>
      <c r="J70" s="21"/>
    </row>
    <row r="71" spans="1:10" ht="27.6" hidden="1" x14ac:dyDescent="0.3">
      <c r="A71" s="40" t="s">
        <v>53</v>
      </c>
      <c r="B71" s="35"/>
      <c r="C71" s="30">
        <v>0</v>
      </c>
      <c r="D71" s="30">
        <v>0</v>
      </c>
      <c r="E71" s="30">
        <f t="shared" si="3"/>
        <v>0</v>
      </c>
      <c r="F71" s="30">
        <v>0</v>
      </c>
      <c r="H71" s="19"/>
      <c r="I71" s="20"/>
      <c r="J71" s="21"/>
    </row>
    <row r="72" spans="1:10" ht="27.6" hidden="1" x14ac:dyDescent="0.3">
      <c r="A72" s="40" t="s">
        <v>54</v>
      </c>
      <c r="B72" s="35"/>
      <c r="C72" s="30">
        <v>0</v>
      </c>
      <c r="D72" s="30">
        <v>0</v>
      </c>
      <c r="E72" s="30">
        <f t="shared" si="3"/>
        <v>0</v>
      </c>
      <c r="F72" s="30">
        <v>0</v>
      </c>
      <c r="H72" s="19"/>
      <c r="I72" s="20"/>
      <c r="J72" s="21"/>
    </row>
    <row r="73" spans="1:10" ht="27.6" hidden="1" x14ac:dyDescent="0.3">
      <c r="A73" s="40" t="s">
        <v>55</v>
      </c>
      <c r="B73" s="35"/>
      <c r="C73" s="30">
        <v>0</v>
      </c>
      <c r="D73" s="30">
        <v>0</v>
      </c>
      <c r="E73" s="30">
        <f t="shared" si="3"/>
        <v>0</v>
      </c>
      <c r="F73" s="30">
        <v>0</v>
      </c>
      <c r="H73" s="19"/>
      <c r="I73" s="20"/>
      <c r="J73" s="21"/>
    </row>
    <row r="74" spans="1:10" ht="27.6" x14ac:dyDescent="0.3">
      <c r="A74" s="40" t="s">
        <v>56</v>
      </c>
      <c r="B74" s="35"/>
      <c r="C74" s="30">
        <v>307866618820</v>
      </c>
      <c r="D74" s="30">
        <v>281790273264</v>
      </c>
      <c r="E74" s="30">
        <f t="shared" si="3"/>
        <v>91.53</v>
      </c>
      <c r="F74" s="30">
        <v>293976842863</v>
      </c>
      <c r="H74" s="19"/>
      <c r="I74" s="20"/>
      <c r="J74" s="21"/>
    </row>
    <row r="75" spans="1:10" ht="27.6" hidden="1" x14ac:dyDescent="0.3">
      <c r="A75" s="40" t="s">
        <v>57</v>
      </c>
      <c r="B75" s="35"/>
      <c r="C75" s="30">
        <v>0</v>
      </c>
      <c r="D75" s="30">
        <v>0</v>
      </c>
      <c r="E75" s="30">
        <f t="shared" si="3"/>
        <v>0</v>
      </c>
      <c r="F75" s="30">
        <v>0</v>
      </c>
      <c r="H75" s="19"/>
      <c r="I75" s="20"/>
      <c r="J75" s="21"/>
    </row>
    <row r="76" spans="1:10" ht="14.4" x14ac:dyDescent="0.3">
      <c r="A76" s="41"/>
      <c r="B76" s="42"/>
      <c r="C76" s="30"/>
      <c r="D76" s="30"/>
      <c r="E76" s="30"/>
      <c r="F76" s="30"/>
      <c r="H76"/>
      <c r="I76" s="31"/>
      <c r="J76" s="21"/>
    </row>
    <row r="77" spans="1:10" ht="14.4" x14ac:dyDescent="0.3">
      <c r="A77" s="297" t="s">
        <v>58</v>
      </c>
      <c r="B77" s="298"/>
      <c r="C77" s="299">
        <f>C14-C43</f>
        <v>-38926493536.959961</v>
      </c>
      <c r="D77" s="299">
        <f>D14-D43</f>
        <v>28686131109.180176</v>
      </c>
      <c r="E77" s="299">
        <f>IFERROR(ROUND(D77/C77*100,2),0)</f>
        <v>-73.69</v>
      </c>
      <c r="F77" s="299">
        <f>F14-F43</f>
        <v>10848290178.51001</v>
      </c>
      <c r="H77" s="19"/>
      <c r="I77" s="20"/>
      <c r="J77" s="21"/>
    </row>
    <row r="78" spans="1:10" ht="14.4" x14ac:dyDescent="0.3">
      <c r="A78" s="45"/>
      <c r="B78" s="46"/>
      <c r="C78" s="24"/>
      <c r="D78" s="24"/>
      <c r="E78" s="24"/>
      <c r="F78" s="30"/>
      <c r="H78" s="19"/>
      <c r="I78" s="20"/>
      <c r="J78" s="21"/>
    </row>
    <row r="79" spans="1:10" ht="14.4" x14ac:dyDescent="0.3">
      <c r="A79" s="300" t="s">
        <v>59</v>
      </c>
      <c r="B79" s="301" t="s">
        <v>352</v>
      </c>
      <c r="C79" s="302">
        <f>C81-C89</f>
        <v>38926493536.959999</v>
      </c>
      <c r="D79" s="302">
        <f>D81-D89</f>
        <v>39729751363.520004</v>
      </c>
      <c r="E79" s="302">
        <f t="shared" si="3"/>
        <v>102.06</v>
      </c>
      <c r="F79" s="302">
        <f>F81-F89</f>
        <v>29078203358.449997</v>
      </c>
      <c r="H79" s="19"/>
      <c r="I79" s="20"/>
      <c r="J79" s="21"/>
    </row>
    <row r="80" spans="1:10" ht="14.4" x14ac:dyDescent="0.3">
      <c r="A80" s="41"/>
      <c r="B80" s="42"/>
      <c r="C80" s="30"/>
      <c r="D80" s="30"/>
      <c r="E80" s="30"/>
      <c r="F80" s="30"/>
      <c r="H80" s="19"/>
      <c r="I80" s="20"/>
      <c r="J80" s="21"/>
    </row>
    <row r="81" spans="1:10" ht="14.4" x14ac:dyDescent="0.3">
      <c r="A81" s="296" t="s">
        <v>60</v>
      </c>
      <c r="B81" s="37" t="s">
        <v>353</v>
      </c>
      <c r="C81" s="38">
        <f>SUM(C82:C87)</f>
        <v>39926493536.959999</v>
      </c>
      <c r="D81" s="38">
        <f>SUM(D82:D87)</f>
        <v>39929751363.520004</v>
      </c>
      <c r="E81" s="38">
        <f t="shared" si="3"/>
        <v>100.01</v>
      </c>
      <c r="F81" s="38">
        <f>SUM(F82:F87)</f>
        <v>30078203358.449997</v>
      </c>
      <c r="H81" s="19"/>
      <c r="I81" s="20"/>
      <c r="J81" s="21"/>
    </row>
    <row r="82" spans="1:10" ht="14.4" x14ac:dyDescent="0.3">
      <c r="A82" s="28" t="s">
        <v>61</v>
      </c>
      <c r="B82" s="35" t="s">
        <v>354</v>
      </c>
      <c r="C82" s="30">
        <v>39926493536.959999</v>
      </c>
      <c r="D82" s="32">
        <f>F102+D100</f>
        <v>39926272899.520004</v>
      </c>
      <c r="E82" s="32">
        <f t="shared" si="3"/>
        <v>100</v>
      </c>
      <c r="F82" s="32">
        <v>30071323358.449997</v>
      </c>
      <c r="H82"/>
      <c r="I82" s="31"/>
      <c r="J82" s="21"/>
    </row>
    <row r="83" spans="1:10" ht="14.4" hidden="1" x14ac:dyDescent="0.3">
      <c r="A83" s="28" t="s">
        <v>62</v>
      </c>
      <c r="B83" s="35"/>
      <c r="C83" s="30">
        <v>0</v>
      </c>
      <c r="D83" s="32">
        <v>0</v>
      </c>
      <c r="E83" s="32">
        <f t="shared" si="3"/>
        <v>0</v>
      </c>
      <c r="F83" s="32">
        <v>0</v>
      </c>
      <c r="H83" s="19"/>
      <c r="I83" s="20"/>
      <c r="J83" s="21"/>
    </row>
    <row r="84" spans="1:10" ht="14.4" hidden="1" x14ac:dyDescent="0.3">
      <c r="A84" s="28" t="s">
        <v>63</v>
      </c>
      <c r="B84" s="35"/>
      <c r="C84" s="30">
        <v>0</v>
      </c>
      <c r="D84" s="32">
        <v>0</v>
      </c>
      <c r="E84" s="32">
        <f t="shared" si="3"/>
        <v>0</v>
      </c>
      <c r="F84" s="32">
        <v>0</v>
      </c>
      <c r="H84" s="19"/>
      <c r="I84" s="20"/>
      <c r="J84" s="21"/>
    </row>
    <row r="85" spans="1:10" hidden="1" x14ac:dyDescent="0.3">
      <c r="A85" s="28" t="s">
        <v>64</v>
      </c>
      <c r="B85" s="35"/>
      <c r="C85" s="30">
        <v>0</v>
      </c>
      <c r="D85" s="32">
        <v>0</v>
      </c>
      <c r="E85" s="32">
        <f t="shared" si="3"/>
        <v>0</v>
      </c>
      <c r="F85" s="32">
        <v>0</v>
      </c>
      <c r="J85" s="21"/>
    </row>
    <row r="86" spans="1:10" x14ac:dyDescent="0.3">
      <c r="A86" s="28" t="s">
        <v>65</v>
      </c>
      <c r="B86" s="35" t="s">
        <v>355</v>
      </c>
      <c r="C86" s="30">
        <v>0</v>
      </c>
      <c r="D86" s="32">
        <v>3478464</v>
      </c>
      <c r="E86" s="32">
        <f t="shared" si="3"/>
        <v>0</v>
      </c>
      <c r="F86" s="32">
        <v>6880000</v>
      </c>
      <c r="J86" s="21"/>
    </row>
    <row r="87" spans="1:10" ht="27.6" hidden="1" x14ac:dyDescent="0.3">
      <c r="A87" s="28" t="s">
        <v>66</v>
      </c>
      <c r="B87" s="47"/>
      <c r="C87" s="30">
        <v>0</v>
      </c>
      <c r="D87" s="32">
        <v>0</v>
      </c>
      <c r="E87" s="30">
        <f>IFERROR(ROUND(D87/C87*100,2),0)</f>
        <v>0</v>
      </c>
      <c r="F87" s="32">
        <v>0</v>
      </c>
      <c r="H87" s="19"/>
      <c r="I87" s="20"/>
      <c r="J87" s="21"/>
    </row>
    <row r="88" spans="1:10" x14ac:dyDescent="0.3">
      <c r="A88" s="48"/>
      <c r="B88" s="47"/>
      <c r="C88" s="30"/>
      <c r="D88" s="30"/>
      <c r="E88" s="30"/>
      <c r="F88" s="30"/>
      <c r="J88" s="21"/>
    </row>
    <row r="89" spans="1:10" ht="14.4" x14ac:dyDescent="0.3">
      <c r="A89" s="296" t="s">
        <v>67</v>
      </c>
      <c r="B89" s="37" t="s">
        <v>356</v>
      </c>
      <c r="C89" s="38">
        <v>1000000000</v>
      </c>
      <c r="D89" s="38">
        <v>200000000</v>
      </c>
      <c r="E89" s="38">
        <f t="shared" ref="E89:E94" si="4">IFERROR(ROUND(D89/C89*100,2),0)</f>
        <v>20</v>
      </c>
      <c r="F89" s="38">
        <v>1000000000</v>
      </c>
      <c r="H89" s="19"/>
      <c r="I89" s="20"/>
      <c r="J89" s="21"/>
    </row>
    <row r="90" spans="1:10" ht="14.4" hidden="1" x14ac:dyDescent="0.3">
      <c r="A90" s="28" t="s">
        <v>68</v>
      </c>
      <c r="B90" s="35"/>
      <c r="C90" s="30">
        <v>0</v>
      </c>
      <c r="D90" s="32">
        <v>0</v>
      </c>
      <c r="E90" s="32">
        <f t="shared" si="4"/>
        <v>0</v>
      </c>
      <c r="F90" s="32">
        <v>0</v>
      </c>
      <c r="H90" s="19"/>
      <c r="I90" s="20"/>
      <c r="J90" s="21"/>
    </row>
    <row r="91" spans="1:10" ht="14.4" x14ac:dyDescent="0.3">
      <c r="A91" s="28" t="s">
        <v>69</v>
      </c>
      <c r="B91" s="35" t="s">
        <v>357</v>
      </c>
      <c r="C91" s="30">
        <v>1000000000</v>
      </c>
      <c r="D91" s="32">
        <v>200000000</v>
      </c>
      <c r="E91" s="32">
        <f t="shared" si="4"/>
        <v>20</v>
      </c>
      <c r="F91" s="32">
        <v>1000000000</v>
      </c>
      <c r="H91"/>
      <c r="I91" s="31"/>
      <c r="J91" s="21"/>
    </row>
    <row r="92" spans="1:10" hidden="1" x14ac:dyDescent="0.3">
      <c r="A92" s="28" t="s">
        <v>70</v>
      </c>
      <c r="B92" s="35"/>
      <c r="C92" s="30">
        <v>0</v>
      </c>
      <c r="D92" s="32">
        <v>0</v>
      </c>
      <c r="E92" s="32">
        <f t="shared" si="4"/>
        <v>0</v>
      </c>
      <c r="F92" s="32">
        <v>0</v>
      </c>
      <c r="J92" s="21"/>
    </row>
    <row r="93" spans="1:10" ht="14.4" hidden="1" x14ac:dyDescent="0.3">
      <c r="A93" s="28" t="s">
        <v>71</v>
      </c>
      <c r="B93" s="35"/>
      <c r="C93" s="30">
        <v>0</v>
      </c>
      <c r="D93" s="32">
        <v>0</v>
      </c>
      <c r="E93" s="32">
        <f t="shared" si="4"/>
        <v>0</v>
      </c>
      <c r="F93" s="32">
        <v>0</v>
      </c>
      <c r="H93" s="19"/>
      <c r="I93" s="20"/>
      <c r="J93" s="21"/>
    </row>
    <row r="94" spans="1:10" ht="27.6" hidden="1" x14ac:dyDescent="0.3">
      <c r="A94" s="28" t="s">
        <v>72</v>
      </c>
      <c r="B94" s="35"/>
      <c r="C94" s="30">
        <v>0</v>
      </c>
      <c r="D94" s="32">
        <v>0</v>
      </c>
      <c r="E94" s="32">
        <f t="shared" si="4"/>
        <v>0</v>
      </c>
      <c r="F94" s="32">
        <v>0</v>
      </c>
      <c r="H94" s="19"/>
      <c r="I94" s="20"/>
      <c r="J94" s="21"/>
    </row>
    <row r="95" spans="1:10" x14ac:dyDescent="0.3">
      <c r="A95" s="44"/>
      <c r="B95" s="42"/>
      <c r="C95" s="30"/>
      <c r="D95" s="30"/>
      <c r="E95" s="30"/>
      <c r="F95" s="303"/>
      <c r="I95" s="49"/>
      <c r="J95" s="21"/>
    </row>
    <row r="96" spans="1:10" ht="14.4" x14ac:dyDescent="0.3">
      <c r="A96" s="297" t="s">
        <v>73</v>
      </c>
      <c r="B96" s="298"/>
      <c r="C96" s="299">
        <f>C79</f>
        <v>38926493536.959999</v>
      </c>
      <c r="D96" s="299">
        <f>D79</f>
        <v>39729751363.520004</v>
      </c>
      <c r="E96" s="299">
        <f>IFERROR(ROUND(D96/C96*100,2),0)</f>
        <v>102.06</v>
      </c>
      <c r="F96" s="299">
        <f>F79</f>
        <v>29078203358.449997</v>
      </c>
      <c r="H96" s="19"/>
      <c r="I96" s="20"/>
      <c r="J96" s="21"/>
    </row>
    <row r="97" spans="1:10" ht="14.4" x14ac:dyDescent="0.3">
      <c r="A97" s="28"/>
      <c r="B97" s="35"/>
      <c r="C97" s="30"/>
      <c r="D97" s="32"/>
      <c r="E97" s="32"/>
      <c r="F97" s="32"/>
      <c r="H97" s="19"/>
      <c r="I97" s="20"/>
      <c r="J97" s="21"/>
    </row>
    <row r="98" spans="1:10" ht="27.6" x14ac:dyDescent="0.3">
      <c r="A98" s="297" t="s">
        <v>74</v>
      </c>
      <c r="B98" s="298"/>
      <c r="C98" s="299">
        <f>C77+C96</f>
        <v>0</v>
      </c>
      <c r="D98" s="299">
        <f>D77+D96</f>
        <v>68415882472.70018</v>
      </c>
      <c r="E98" s="299">
        <f>IFERROR(ROUND(D98/C98*100,2),0)</f>
        <v>0</v>
      </c>
      <c r="F98" s="299">
        <v>39926493536.960007</v>
      </c>
      <c r="H98" s="19"/>
      <c r="I98" s="20"/>
      <c r="J98" s="21"/>
    </row>
    <row r="99" spans="1:10" ht="14.4" x14ac:dyDescent="0.3">
      <c r="A99" s="28"/>
      <c r="B99" s="35"/>
      <c r="C99" s="30"/>
      <c r="D99" s="32"/>
      <c r="E99" s="32"/>
      <c r="F99" s="32"/>
      <c r="H99" s="19"/>
      <c r="I99" s="20"/>
      <c r="J99" s="21"/>
    </row>
    <row r="100" spans="1:10" ht="14.4" x14ac:dyDescent="0.3">
      <c r="A100" s="304" t="s">
        <v>75</v>
      </c>
      <c r="B100" s="298" t="s">
        <v>358</v>
      </c>
      <c r="C100" s="299">
        <v>0</v>
      </c>
      <c r="D100" s="299">
        <v>-220637.44</v>
      </c>
      <c r="E100" s="299">
        <f>IFERROR(ROUND(D100/C100*100,2),0)</f>
        <v>0</v>
      </c>
      <c r="F100" s="299">
        <v>0</v>
      </c>
      <c r="H100" s="19"/>
      <c r="I100" s="20"/>
      <c r="J100" s="21"/>
    </row>
    <row r="101" spans="1:10" ht="14.4" x14ac:dyDescent="0.3">
      <c r="A101" s="28"/>
      <c r="B101" s="35"/>
      <c r="C101" s="30"/>
      <c r="D101" s="32"/>
      <c r="E101" s="32"/>
      <c r="F101" s="32"/>
      <c r="H101" s="19"/>
      <c r="I101" s="20"/>
      <c r="J101" s="21"/>
    </row>
    <row r="102" spans="1:10" ht="47.1" customHeight="1" x14ac:dyDescent="0.3">
      <c r="A102" s="305" t="s">
        <v>76</v>
      </c>
      <c r="B102" s="306" t="s">
        <v>358</v>
      </c>
      <c r="C102" s="307">
        <f>C98+C100</f>
        <v>0</v>
      </c>
      <c r="D102" s="307">
        <f>D98</f>
        <v>68415882472.70018</v>
      </c>
      <c r="E102" s="307">
        <f>IFERROR(ROUND(D102/C102*100,2),0)</f>
        <v>0</v>
      </c>
      <c r="F102" s="307">
        <v>39926493536.960007</v>
      </c>
      <c r="H102" s="50"/>
      <c r="I102" s="20"/>
      <c r="J102" s="21"/>
    </row>
    <row r="103" spans="1:10" ht="5.0999999999999996" customHeight="1" x14ac:dyDescent="0.3">
      <c r="A103" s="51"/>
      <c r="B103" s="52"/>
      <c r="C103" s="53"/>
      <c r="D103" s="53"/>
      <c r="E103" s="54"/>
      <c r="F103" s="55"/>
    </row>
    <row r="104" spans="1:10" x14ac:dyDescent="0.3">
      <c r="A104" s="327" t="s">
        <v>77</v>
      </c>
      <c r="B104" s="327"/>
      <c r="C104" s="327"/>
      <c r="D104" s="327"/>
      <c r="E104" s="327"/>
      <c r="F104" s="327"/>
    </row>
    <row r="105" spans="1:10" x14ac:dyDescent="0.3">
      <c r="A105" s="327"/>
      <c r="B105" s="327"/>
      <c r="C105" s="327"/>
      <c r="D105" s="327"/>
      <c r="E105" s="327"/>
      <c r="F105" s="327"/>
    </row>
    <row r="106" spans="1:10" x14ac:dyDescent="0.3">
      <c r="A106" s="51"/>
      <c r="B106" s="52"/>
      <c r="C106" s="53"/>
      <c r="D106" s="53"/>
      <c r="E106" s="54"/>
      <c r="F106" s="55"/>
    </row>
    <row r="107" spans="1:10" ht="17.399999999999999" x14ac:dyDescent="0.3">
      <c r="A107" s="51"/>
      <c r="B107" s="52"/>
      <c r="C107" s="53"/>
      <c r="D107" s="328" t="s">
        <v>276</v>
      </c>
      <c r="E107" s="328"/>
      <c r="F107" s="328"/>
    </row>
    <row r="108" spans="1:10" ht="17.399999999999999" x14ac:dyDescent="0.3">
      <c r="A108" s="51"/>
      <c r="B108" s="52"/>
      <c r="C108" s="53"/>
      <c r="D108" s="56"/>
      <c r="E108" s="57"/>
      <c r="F108" s="58"/>
    </row>
    <row r="109" spans="1:10" ht="17.399999999999999" x14ac:dyDescent="0.3">
      <c r="A109" s="51"/>
      <c r="B109" s="52"/>
      <c r="C109" s="53"/>
      <c r="D109" s="56"/>
      <c r="E109" s="57"/>
      <c r="F109" s="58"/>
    </row>
    <row r="110" spans="1:10" ht="17.399999999999999" x14ac:dyDescent="0.3">
      <c r="A110" s="51"/>
      <c r="B110" s="52"/>
      <c r="C110" s="53"/>
      <c r="D110" s="56"/>
      <c r="E110" s="57"/>
      <c r="F110" s="58"/>
    </row>
    <row r="111" spans="1:10" ht="17.399999999999999" x14ac:dyDescent="0.3">
      <c r="A111" s="51"/>
      <c r="B111" s="52"/>
      <c r="C111" s="53"/>
      <c r="D111" s="56"/>
      <c r="E111" s="57"/>
      <c r="F111" s="58"/>
    </row>
    <row r="112" spans="1:10" ht="17.399999999999999" x14ac:dyDescent="0.3">
      <c r="A112" s="51"/>
      <c r="B112" s="52"/>
      <c r="C112" s="53"/>
      <c r="D112" s="328">
        <v>0</v>
      </c>
      <c r="E112" s="328"/>
      <c r="F112" s="328"/>
    </row>
    <row r="113" spans="1:6" x14ac:dyDescent="0.3">
      <c r="A113" s="51"/>
      <c r="B113" s="52"/>
      <c r="C113" s="59"/>
      <c r="D113" s="60"/>
      <c r="F113" s="55"/>
    </row>
  </sheetData>
  <sheetProtection formatCells="0" formatColumns="0" formatRows="0"/>
  <mergeCells count="12">
    <mergeCell ref="H11:I11"/>
    <mergeCell ref="A104:F105"/>
    <mergeCell ref="D107:F107"/>
    <mergeCell ref="D112:F112"/>
    <mergeCell ref="A1:F6"/>
    <mergeCell ref="A7:F7"/>
    <mergeCell ref="A8:F8"/>
    <mergeCell ref="A9:F9"/>
    <mergeCell ref="A10:F10"/>
    <mergeCell ref="A11:B11"/>
    <mergeCell ref="C11:D11"/>
    <mergeCell ref="E11:F11"/>
  </mergeCells>
  <printOptions horizontalCentered="1"/>
  <pageMargins left="1.1811023622047245" right="0.78740157480314965" top="0.59055118110236227" bottom="1.1811023622047245" header="0.39370078740157483" footer="0.59055118110236227"/>
  <pageSetup paperSize="9" scale="69" fitToHeight="0" orientation="portrait" useFirstPageNumber="1" r:id="rId1"/>
  <headerFooter scaleWithDoc="0"/>
  <rowBreaks count="1" manualBreakCount="1">
    <brk id="77" max="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LRA</vt:lpstr>
      <vt:lpstr>LPSAL</vt:lpstr>
      <vt:lpstr>Neraca</vt:lpstr>
      <vt:lpstr>LO</vt:lpstr>
      <vt:lpstr>LAK</vt:lpstr>
      <vt:lpstr>LPE</vt:lpstr>
      <vt:lpstr>LRA salah</vt:lpstr>
      <vt:lpstr>LAK!Print_Area</vt:lpstr>
      <vt:lpstr>LO!Print_Area</vt:lpstr>
      <vt:lpstr>LPE!Print_Area</vt:lpstr>
      <vt:lpstr>LPSAL!Print_Area</vt:lpstr>
      <vt:lpstr>LRA!Print_Area</vt:lpstr>
      <vt:lpstr>'LRA salah'!Print_Area</vt:lpstr>
      <vt:lpstr>Neraca!Print_Area</vt:lpstr>
      <vt:lpstr>LAK!Print_Titles</vt:lpstr>
      <vt:lpstr>LO!Print_Titles</vt:lpstr>
      <vt:lpstr>LRA!Print_Titles</vt:lpstr>
      <vt:lpstr>'LRA salah'!Print_Titles</vt:lpstr>
      <vt:lpstr>Neraca!Print_Titles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Birgitta Laksmi Widya Apsari</dc:creator>
  <cp:lastModifiedBy>Muhammad Ridho Alqudri</cp:lastModifiedBy>
  <cp:lastPrinted>2026-05-23T04:52:07Z</cp:lastPrinted>
  <dcterms:created xsi:type="dcterms:W3CDTF">2026-05-20T07:43:10Z</dcterms:created>
  <dcterms:modified xsi:type="dcterms:W3CDTF">2026-06-23T09:59:16Z</dcterms:modified>
</cp:coreProperties>
</file>