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6F2314EB-219F-44BD-B250-B3B1035CF2BC}" xr6:coauthVersionLast="47" xr6:coauthVersionMax="47" xr10:uidLastSave="{00000000-0000-0000-0000-000000000000}"/>
  <bookViews>
    <workbookView xWindow="-132" yWindow="-132" windowWidth="23304" windowHeight="13944" activeTab="5" xr2:uid="{9385AB0B-DEDA-457C-84E4-02004E114C10}"/>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[1]Worksheet!$C$3714:$C$3819</definedName>
    <definedName name="nmakun_neracalralo">[1]Worksheet!$C$12:$C$3713</definedName>
    <definedName name="_xlnm.Print_Area" localSheetId="4">LAK!$A$1:$D$86</definedName>
    <definedName name="_xlnm.Print_Area" localSheetId="3">LO!$A$1:$F$91</definedName>
    <definedName name="_xlnm.Print_Area" localSheetId="5">LPE!$A$1:$D$40</definedName>
    <definedName name="_xlnm.Print_Area" localSheetId="1">LPSAL!$A$1:$D$45</definedName>
    <definedName name="_xlnm.Print_Area" localSheetId="0">LRA!$A$1:$F$91</definedName>
    <definedName name="_xlnm.Print_Area" localSheetId="2">Neraca!$A$1:$D$90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[1]Worksheet!$C$3714:$J$3819</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6" l="1"/>
  <c r="C34" i="6"/>
  <c r="D12" i="6"/>
  <c r="C12" i="6"/>
  <c r="A9" i="6"/>
  <c r="A7" i="6"/>
  <c r="C86" i="5"/>
  <c r="C79" i="5"/>
  <c r="D12" i="5"/>
  <c r="C12" i="5"/>
  <c r="A9" i="5"/>
  <c r="A7" i="5"/>
  <c r="D83" i="4"/>
  <c r="D77" i="4"/>
  <c r="D12" i="4"/>
  <c r="C12" i="4"/>
  <c r="A9" i="4"/>
  <c r="A7" i="4"/>
</calcChain>
</file>

<file path=xl/sharedStrings.xml><?xml version="1.0" encoding="utf-8"?>
<sst xmlns="http://schemas.openxmlformats.org/spreadsheetml/2006/main" count="476" uniqueCount="422">
  <si>
    <t>LAPORAN REALISASI ANGGARAN PENDAPATAN DAN BELANJA</t>
  </si>
  <si>
    <t>URAIAN</t>
  </si>
  <si>
    <t>REF CALK</t>
  </si>
  <si>
    <t>%</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</si>
  <si>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</si>
  <si>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</si>
  <si>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</si>
  <si>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</si>
  <si>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</si>
  <si>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</si>
  <si>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</si>
  <si>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</si>
  <si>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</si>
  <si>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</si>
  <si>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</si>
  <si>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</si>
  <si>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</si>
  <si>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</si>
  <si>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</si>
  <si>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</si>
  <si>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</si>
  <si>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</si>
  <si>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</si>
  <si>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Lain-lain Pendapatan Sesuai dengan Ketentuan Peraturan Perundang-Undangan</t>
  </si>
  <si>
    <t>BELANJA DAERAH</t>
  </si>
  <si>
    <t>BELANJA OPERASI</t>
  </si>
  <si>
    <t>Belanja Pegawai</t>
  </si>
  <si>
    <t>Belanja Barang dan Jasa</t>
  </si>
  <si>
    <t>Belanja Hibah</t>
  </si>
  <si>
    <t>Belanja Bantuan Sosial</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</si>
  <si>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</si>
  <si>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</si>
  <si>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</si>
  <si>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</si>
  <si>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</si>
  <si>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</si>
  <si>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</si>
  <si>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</si>
  <si>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</si>
  <si>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</si>
  <si>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</si>
  <si>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</si>
  <si>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Bantuan Keuangan</t>
  </si>
  <si>
    <t>Belanja Bantuan Keuangan Daerah Provinsi atau Kabupaten/Kota kepada Desa</t>
  </si>
  <si>
    <t>SURPLUS/(DEFISIT)</t>
  </si>
  <si>
    <t>PEMBIAYAAN DAERAH</t>
  </si>
  <si>
    <t>PENERIMAAN PEMBIAYAAN</t>
  </si>
  <si>
    <t>Sisa Lebih Perhitungan Anggaran Tahun Sebelumnya</t>
  </si>
  <si>
    <t>Penerimaan Kembali Pemberian Pinjaman Daerah</t>
  </si>
  <si>
    <t>PENGELUARAN PEMBIAYAAN</t>
  </si>
  <si>
    <t>Penyertaan Modal Daerah</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</si>
  <si>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</si>
  <si>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</si>
  <si>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</si>
  <si>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</si>
  <si>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</si>
  <si>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</si>
  <si>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(DALAM RUPIAH)</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</si>
  <si>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</si>
  <si>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</si>
  <si>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</si>
  <si>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</si>
  <si>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</si>
  <si>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</si>
  <si>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</si>
  <si>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</si>
  <si>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</si>
  <si>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</si>
  <si>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</si>
  <si>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ASET</t>
  </si>
  <si>
    <t>ASET LANCAR</t>
  </si>
  <si>
    <t>Kas dan Setara Kas</t>
  </si>
  <si>
    <t>Kas di Kas Daerah</t>
  </si>
  <si>
    <t>Kas di Bendahara Penerimaan</t>
  </si>
  <si>
    <t>Kas di Bendahara Pengeluaran</t>
  </si>
  <si>
    <t>Kas di BLUD</t>
  </si>
  <si>
    <t>Kas Lainnya</t>
  </si>
  <si>
    <t>Kas Dana BOSP</t>
  </si>
  <si>
    <t>Kas Dana BOK Puskesmas</t>
  </si>
  <si>
    <t>Piutang Pajak Daerah</t>
  </si>
  <si>
    <t>Piutang Retribusi Daerah</t>
  </si>
  <si>
    <t>Piutang Lain-lain PAD yang Sah</t>
  </si>
  <si>
    <t>Piutang Transfer Antar Daerah</t>
  </si>
  <si>
    <t>Piutang Lainnya</t>
  </si>
  <si>
    <t>Penyisihan Piutang</t>
  </si>
  <si>
    <t>Beban Dibayar Dimuka</t>
  </si>
  <si>
    <t>Persediaan</t>
  </si>
  <si>
    <t>INVESTASI JANGKA PANJANG</t>
  </si>
  <si>
    <t>Investasi Jangka Panjang Permanen</t>
  </si>
  <si>
    <t>ASET TETAP</t>
  </si>
  <si>
    <t>Tanah</t>
  </si>
  <si>
    <t>Peralatan dan Mesin</t>
  </si>
  <si>
    <t>Gedung dan Bangunan</t>
  </si>
  <si>
    <t>Jalan, Jaringan, dan Irigasi</t>
  </si>
  <si>
    <t>Aset Tetap Lainnya</t>
  </si>
  <si>
    <t>Konstruksi Dalam Pengerjaan</t>
  </si>
  <si>
    <t>Akumulasi Penyusutan</t>
  </si>
  <si>
    <t>ASET LAINNYA</t>
  </si>
  <si>
    <t>Tagihan Jangka Panjang</t>
  </si>
  <si>
    <t>Kemitraan dengan Pihak Ketiga</t>
  </si>
  <si>
    <t>Aset Tidak Berwujud</t>
  </si>
  <si>
    <t>Aset Lain-lain</t>
  </si>
  <si>
    <t>Akumulasi Amortisasi Aset Tidak Berwujud</t>
  </si>
  <si>
    <t>Akumulasi Penyusutan Aset Lainnya</t>
  </si>
  <si>
    <t>Dana Transfer Treasury Deposit Facility (TDF)</t>
  </si>
  <si>
    <t>PROPERTI INVESTASI</t>
  </si>
  <si>
    <t>Properti Investasi Tanah</t>
  </si>
  <si>
    <t>Properti Investasi Gedung dan Bangunan</t>
  </si>
  <si>
    <t>Akumulasi Penyusutan Properti Investasi</t>
  </si>
  <si>
    <t>JUMLAH ASET</t>
  </si>
  <si>
    <t>KEWAJIBAN</t>
  </si>
  <si>
    <t>KEWAJIBAN JANGKA PENDEK</t>
  </si>
  <si>
    <t>Utang Perhitungan Pihak Ketiga (PFK)</t>
  </si>
  <si>
    <t>Pendapatan Diterima Dimuka</t>
  </si>
  <si>
    <t>Utang Belanja</t>
  </si>
  <si>
    <t>Utang Jangka Pendek Lainnya</t>
  </si>
  <si>
    <t>KEWAJIBAN JANGKA PANJANG</t>
  </si>
  <si>
    <t>EKUITAS</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</si>
  <si>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</si>
  <si>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</si>
  <si>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</si>
  <si>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</si>
  <si>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</si>
  <si>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</si>
  <si>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</si>
  <si>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</si>
  <si>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</si>
  <si>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</si>
  <si>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</si>
  <si>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</si>
  <si>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</si>
  <si>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</si>
  <si>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</si>
  <si>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</si>
  <si>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</si>
  <si>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Insentif Fiskal-LO</t>
  </si>
  <si>
    <t>Pendapatan Transfer Antar Daerah-LO</t>
  </si>
  <si>
    <t>Pendapatan Bagi Hasil-LO</t>
  </si>
  <si>
    <t>Bantuan Keuangan-LO</t>
  </si>
  <si>
    <t>LAIN-LAIN PENDAPATAN DAERAH YANG SAH-LO</t>
  </si>
  <si>
    <t>Pendapatan Hibah-LO</t>
  </si>
  <si>
    <t>Lain-lain Pendapatan Sesuai dengan Ketentuan Peraturan Perundang-Undangan-LO</t>
  </si>
  <si>
    <t>BEBAN DAERAH</t>
  </si>
  <si>
    <t>BEBAN OPERASI</t>
  </si>
  <si>
    <t>Beban Pegawai</t>
  </si>
  <si>
    <t>Beban Barang dan Jasa</t>
  </si>
  <si>
    <t>Beban Hibah</t>
  </si>
  <si>
    <t>Beban Bantuan Sosial</t>
  </si>
  <si>
    <t>Beban Penyisihan Piutang</t>
  </si>
  <si>
    <t>Beban Penyusutan dan Amortisasi</t>
  </si>
  <si>
    <t>BEBAN TRANSFER</t>
  </si>
  <si>
    <t>Beban Bagi Hasil</t>
  </si>
  <si>
    <t>Beban Bantuan Keuangan</t>
  </si>
  <si>
    <t>SURPLUS/(DEFISIT) DARI KEGIATAN OPERASIONAL</t>
  </si>
  <si>
    <t>KEGIATAN NON OPERASIONAL</t>
  </si>
  <si>
    <t>SURPLUS NON OPERASIONAL-LO</t>
  </si>
  <si>
    <t>Surplus Penjualan/Pertukaran/Pelepasan Aset Non Lancar-LO</t>
  </si>
  <si>
    <t>Surplus dari Kegiatan Non Operasional Lainnya-LO</t>
  </si>
  <si>
    <t>DEFISIT NON OPERASIONAL-LO</t>
  </si>
  <si>
    <t>Defisit Penjualan/Pertukaran/Pelepasan Aset Non Lancar-LO</t>
  </si>
  <si>
    <t>Defisit dari Kegiatan Non Operasional Lainnya-LO</t>
  </si>
  <si>
    <t>SURPLUS/(DEFISIT) DARI KEGIATAN NON OPERASIONAL</t>
  </si>
  <si>
    <t>SURPLUS/(DEFISIT) SEBELUM POS LUAR BIASA</t>
  </si>
  <si>
    <t>POS LUAR BIASA</t>
  </si>
  <si>
    <t>PENDAPATAN LUAR BIASA-LO</t>
  </si>
  <si>
    <t>BEBAN LUAR BIASA</t>
  </si>
  <si>
    <t>Beban Luar Biasa</t>
  </si>
  <si>
    <t>SURPLUS/(DEFISIT)-LO</t>
  </si>
  <si>
    <t>LAPORAN ARUS KAS</t>
  </si>
  <si>
    <t>ARUS KAS DARI AKTIVITAS OPERASI</t>
  </si>
  <si>
    <t>Arus Masuk Kas dari Aktivitas Operasi</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</si>
  <si>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</si>
  <si>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</si>
  <si>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</si>
  <si>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</si>
  <si>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</si>
  <si>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</si>
  <si>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</si>
  <si>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</si>
  <si>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</si>
  <si>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</si>
  <si>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</si>
  <si>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</si>
  <si>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</si>
  <si>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</si>
  <si>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</si>
  <si>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</si>
  <si>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</si>
  <si>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</si>
  <si>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</si>
  <si>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</si>
  <si>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</si>
  <si>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</si>
  <si>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</si>
  <si>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t>
  </si>
  <si>
    <t>KOREKSI SILPA TAHUN LALU</t>
  </si>
  <si>
    <t>KAS LAINNYA DI BENDAHARA (SELAIN BUD)</t>
  </si>
  <si>
    <t>SALDO AKHIR KAS</t>
  </si>
  <si>
    <t>LAPORAN PERUBAHAN EKUITAS</t>
  </si>
  <si>
    <t>EKUITAS AWAL</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</si>
  <si>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</si>
  <si>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</si>
  <si>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</si>
  <si>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</si>
  <si>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</si>
  <si>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</si>
  <si>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</si>
  <si>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</si>
  <si>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</si>
  <si>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</si>
  <si>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5.1.1</t>
  </si>
  <si>
    <t>5.1.1.1</t>
  </si>
  <si>
    <t>5.1.1.1.1</t>
  </si>
  <si>
    <t>5.1.1.1.2</t>
  </si>
  <si>
    <t>5.1.1.1.3</t>
  </si>
  <si>
    <t>5.1.1.1.4</t>
  </si>
  <si>
    <t>5.1.1.2</t>
  </si>
  <si>
    <t>5.1.1.2.1</t>
  </si>
  <si>
    <t>5.1.1.2.2</t>
  </si>
  <si>
    <t>5.1.1.2.1.1</t>
  </si>
  <si>
    <t>5.1.1.2.1.2</t>
  </si>
  <si>
    <t>5.1.1.2.1.3</t>
  </si>
  <si>
    <t>5.1.1.2.1.4</t>
  </si>
  <si>
    <t>5.1.1.2.1.5</t>
  </si>
  <si>
    <t>5.1.1.2.1.6</t>
  </si>
  <si>
    <t>5.1.1.2.2.1</t>
  </si>
  <si>
    <t>5.1.1.2.2.2</t>
  </si>
  <si>
    <t>5.1.1.3</t>
  </si>
  <si>
    <t>5.1.1.3.1</t>
  </si>
  <si>
    <t>5.1.1.3.2</t>
  </si>
  <si>
    <t>5.1.2</t>
  </si>
  <si>
    <t>5.1.2.1</t>
  </si>
  <si>
    <t>5.1.2.1.1</t>
  </si>
  <si>
    <t>5.1.2.1.2</t>
  </si>
  <si>
    <t>5.1.2.1.3</t>
  </si>
  <si>
    <t>5.1.2.1.4</t>
  </si>
  <si>
    <t>5.1.2.2</t>
  </si>
  <si>
    <t>5.1.2.2.1</t>
  </si>
  <si>
    <t>5.1.2.2.2</t>
  </si>
  <si>
    <t>5.1.2.2.3</t>
  </si>
  <si>
    <t>5.1.2.2.4</t>
  </si>
  <si>
    <t>5.1.2.2.5</t>
  </si>
  <si>
    <t>5.1.2.2.6</t>
  </si>
  <si>
    <t>5.1.2.3</t>
  </si>
  <si>
    <t>5.1.2.3.1</t>
  </si>
  <si>
    <t>5.1.2.4</t>
  </si>
  <si>
    <t>5.1.2.4.1</t>
  </si>
  <si>
    <t>5.1.2.4.2</t>
  </si>
  <si>
    <t>5.1.2.4.2.1</t>
  </si>
  <si>
    <t>5.1.2.4.1.1</t>
  </si>
  <si>
    <t>5.1.3</t>
  </si>
  <si>
    <t>5.1.3.1</t>
  </si>
  <si>
    <t>5.1.3.2</t>
  </si>
  <si>
    <t>5.1.3.1.1</t>
  </si>
  <si>
    <t>5.1.3.1.2</t>
  </si>
  <si>
    <t>5.1.3.2.1</t>
  </si>
  <si>
    <t>5.1.4</t>
  </si>
  <si>
    <t>5.2.1</t>
  </si>
  <si>
    <t>5.2.2</t>
  </si>
  <si>
    <t>5.2.3</t>
  </si>
  <si>
    <t>5.2.4</t>
  </si>
  <si>
    <t>5.2.5</t>
  </si>
  <si>
    <t>5.3.1</t>
  </si>
  <si>
    <t>5.3.1.1</t>
  </si>
  <si>
    <t>5.3.1.2</t>
  </si>
  <si>
    <t>5.3.1.3</t>
  </si>
  <si>
    <t>5.3.1.4</t>
  </si>
  <si>
    <t>5.3.1.5</t>
  </si>
  <si>
    <t>5.3.1.1.1</t>
  </si>
  <si>
    <t>5.3.1.1.2</t>
  </si>
  <si>
    <t>5.3.1.1.1,1</t>
  </si>
  <si>
    <t>5.3.1.1.1,2</t>
  </si>
  <si>
    <t>5.3.1.1.1,3</t>
  </si>
  <si>
    <t>5.3.1.1.1,4</t>
  </si>
  <si>
    <t>5.3.1.1.1,5</t>
  </si>
  <si>
    <t>5.3.1.1.1,6</t>
  </si>
  <si>
    <t>5.3.1.1.1,7</t>
  </si>
  <si>
    <t>5.3.1.1.3</t>
  </si>
  <si>
    <t>5.3.1.1.4</t>
  </si>
  <si>
    <t>5.3.1.1.5</t>
  </si>
  <si>
    <t>5.3.1.1.6</t>
  </si>
  <si>
    <t>5.3.1.1.7</t>
  </si>
  <si>
    <t>5.3.1.1.8</t>
  </si>
  <si>
    <t>5.3.1.1.9</t>
  </si>
  <si>
    <t>5.3.1.2.1</t>
  </si>
  <si>
    <t>5.3.1.3.1</t>
  </si>
  <si>
    <t>5.3.1.3.2</t>
  </si>
  <si>
    <t>5.3.1.3.3</t>
  </si>
  <si>
    <t>5.3.1.3.4</t>
  </si>
  <si>
    <t>5.3.1.3.5</t>
  </si>
  <si>
    <t>5.3.1.3.6</t>
  </si>
  <si>
    <t>5.3.1.3.7</t>
  </si>
  <si>
    <t>5.3.1.4.1</t>
  </si>
  <si>
    <t>5.3.1.4.2</t>
  </si>
  <si>
    <t>5.3.1.4.3</t>
  </si>
  <si>
    <t>5.3.1.5.1</t>
  </si>
  <si>
    <t>5.3.1.5.2</t>
  </si>
  <si>
    <t>5.3.1.5.3</t>
  </si>
  <si>
    <t>5.3.2</t>
  </si>
  <si>
    <t>5.3.2.1</t>
  </si>
  <si>
    <t>5.3.2.2</t>
  </si>
  <si>
    <t>5.3.2.1.1</t>
  </si>
  <si>
    <t>5.3.2.1.2</t>
  </si>
  <si>
    <t>5.3.2.1.3</t>
  </si>
  <si>
    <t>5.3.2.1.4</t>
  </si>
  <si>
    <t>5.3.3</t>
  </si>
  <si>
    <t>5.4.1</t>
  </si>
  <si>
    <t>5.4.1.1</t>
  </si>
  <si>
    <t>5.4.1.2</t>
  </si>
  <si>
    <t>5.4.1.3</t>
  </si>
  <si>
    <t>5.4.1.1.1</t>
  </si>
  <si>
    <t>5.4.1.1.2</t>
  </si>
  <si>
    <t>5.4.1.1.3</t>
  </si>
  <si>
    <t>5.4.1.1.4</t>
  </si>
  <si>
    <t>5.4.1.2.1</t>
  </si>
  <si>
    <t>5.4.1.2.2</t>
  </si>
  <si>
    <t>5.4.1.2.1.1</t>
  </si>
  <si>
    <t>5.4.1.2.1.2</t>
  </si>
  <si>
    <t>5.4.1.2.1.3</t>
  </si>
  <si>
    <t>5.4.1.2.1.4</t>
  </si>
  <si>
    <t>5.4.1.2.1.5</t>
  </si>
  <si>
    <t>5.4.1.3.1</t>
  </si>
  <si>
    <t>5.4.1.3.2</t>
  </si>
  <si>
    <t>5.4.2</t>
  </si>
  <si>
    <t>5.4.2.1</t>
  </si>
  <si>
    <t>5.4.2.1.1</t>
  </si>
  <si>
    <t>5.4.2.1.2</t>
  </si>
  <si>
    <t>5.4.2.1.3</t>
  </si>
  <si>
    <t>5.4.2.1.4</t>
  </si>
  <si>
    <t>5.4.2.1.5</t>
  </si>
  <si>
    <t>5.4.2.1.6</t>
  </si>
  <si>
    <t>5.4.2.2</t>
  </si>
  <si>
    <t>5.4.2.2.1</t>
  </si>
  <si>
    <t>5.4.2.2.2</t>
  </si>
  <si>
    <t>5.4.3</t>
  </si>
  <si>
    <t>5.4.4</t>
  </si>
  <si>
    <t>5.4.3.1</t>
  </si>
  <si>
    <t>5.4.3.2</t>
  </si>
  <si>
    <t>5.4.4.1</t>
  </si>
  <si>
    <t>5.4.4.2</t>
  </si>
  <si>
    <t>5.4.5</t>
  </si>
  <si>
    <t>5.4.6</t>
  </si>
  <si>
    <t>5.4.5.1</t>
  </si>
  <si>
    <t>5.4.5.2</t>
  </si>
  <si>
    <t>5.4.5.2.1</t>
  </si>
  <si>
    <t>5.5.1</t>
  </si>
  <si>
    <t>5.5.1.1</t>
  </si>
  <si>
    <t>5.5.1.2</t>
  </si>
  <si>
    <t>5.5.1.1.1</t>
  </si>
  <si>
    <t>5.5.1.1.2</t>
  </si>
  <si>
    <t>5.5.1.1.3</t>
  </si>
  <si>
    <t>5.5.1.1.4</t>
  </si>
  <si>
    <t>5.5.1.1.5</t>
  </si>
  <si>
    <t>5.5.1.1.6</t>
  </si>
  <si>
    <t>5.5.1.1.7</t>
  </si>
  <si>
    <t>5.5.1.1.8</t>
  </si>
  <si>
    <t>5.5.1.2.1</t>
  </si>
  <si>
    <t>5.5.1.2.2</t>
  </si>
  <si>
    <t>5.5.1.2.3</t>
  </si>
  <si>
    <t>5.5.1.2.4</t>
  </si>
  <si>
    <t>5.5.1.2.5</t>
  </si>
  <si>
    <t>5.5.1.2.6</t>
  </si>
  <si>
    <t>5.5.1.2.7</t>
  </si>
  <si>
    <t>5.5.2</t>
  </si>
  <si>
    <t>5.5.3</t>
  </si>
  <si>
    <t>5.5.4</t>
  </si>
  <si>
    <t>5.5.2.1</t>
  </si>
  <si>
    <t>5.5.2.2</t>
  </si>
  <si>
    <t>5.5.2.1.1</t>
  </si>
  <si>
    <t>5.5.2.2.1</t>
  </si>
  <si>
    <t>5.5.2.2.2</t>
  </si>
  <si>
    <t>5.5.2.2.3</t>
  </si>
  <si>
    <t>5.5.2.2.4</t>
  </si>
  <si>
    <t>5.5.2.2.5</t>
  </si>
  <si>
    <t>5.5.2.2.6</t>
  </si>
  <si>
    <t>5.5.2.2.7</t>
  </si>
  <si>
    <t>5.5.3.1</t>
  </si>
  <si>
    <t>5.5.3.2</t>
  </si>
  <si>
    <t>5.5.3.1.1</t>
  </si>
  <si>
    <t>5.5.4.1</t>
  </si>
  <si>
    <t>5.5.4.2</t>
  </si>
  <si>
    <t>5.5.4.1.1</t>
  </si>
  <si>
    <t>5.5.4.1.2</t>
  </si>
  <si>
    <t>5.5.4.1.3</t>
  </si>
  <si>
    <t>5.5.4.2.1</t>
  </si>
  <si>
    <t>5.5.4.2.2</t>
  </si>
  <si>
    <t>5.5.4.2.3</t>
  </si>
  <si>
    <t>5.5.5</t>
  </si>
  <si>
    <t>5.5.6</t>
  </si>
  <si>
    <t>5.5.7</t>
  </si>
  <si>
    <t>5.5.8</t>
  </si>
  <si>
    <t>5.6.1</t>
  </si>
  <si>
    <t>5.6.2</t>
  </si>
  <si>
    <t>5.6.3</t>
  </si>
  <si>
    <t>5.6.4</t>
  </si>
  <si>
    <t>5.4.1.2.2.1</t>
  </si>
  <si>
    <t>5.4.1.2.2.2</t>
  </si>
  <si>
    <t>5.6.3.1</t>
  </si>
  <si>
    <t>5.6.3.2</t>
  </si>
  <si>
    <t>5.6.3.3</t>
  </si>
  <si>
    <t>5.6.3.4</t>
  </si>
  <si>
    <t>5.6.3.5</t>
  </si>
  <si>
    <t>5.6.3.6</t>
  </si>
  <si>
    <t>5.6.3.7</t>
  </si>
  <si>
    <t>5.6.3.8</t>
  </si>
  <si>
    <t>Piutang Transfer Pemerintah Pusat</t>
  </si>
  <si>
    <t>5.3.1.1.10</t>
  </si>
  <si>
    <t>5.3.1.5.4</t>
  </si>
  <si>
    <t>5.3.1.5.5</t>
  </si>
  <si>
    <t>5.3.1.5.6</t>
  </si>
  <si>
    <t>5.3.1.5.7</t>
  </si>
  <si>
    <t>PEMERINTAH KABUPATEN SUMBAWA BARAT</t>
  </si>
  <si>
    <t>UNTUK TAHUN YANG BERAKHIR SAMPAI DENGAN 31 DESEMBER 2025 DAN 2024</t>
  </si>
  <si>
    <t>ANGGARAN TA 2025</t>
  </si>
  <si>
    <t>REALISASI TA 2025</t>
  </si>
  <si>
    <t>REALISASI TA 2024</t>
  </si>
  <si>
    <t>BUPATI SUMBAWA BARAT</t>
  </si>
  <si>
    <t>H. AMAR NURMANSYAH, ST.,M.Si</t>
  </si>
  <si>
    <t>PER 31 DESEMBER 2025 DAN 2024</t>
  </si>
  <si>
    <t>TAHUN 2025</t>
  </si>
  <si>
    <t>TAHUN 2024</t>
  </si>
  <si>
    <t>PER 31 DESEMBER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</si>
</sst>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0.00;\(\ #,##0.00\ \)"/>
    <numFmt numFmtId="166" formatCode="#,##0.00;\(#,##0.00\);&quot;-&quot;"/>
    <numFmt numFmtId="167" formatCode="_-* #,##0_-;\-* #,##0_-;_-* &quot;-&quot;_-;_-@_-"/>
    <numFmt numFmtId="168" formatCode="_(* #,##0.00_);_(* \(#,##0.00\);_(* \-??_);_(@_)"/>
    <numFmt numFmtId="169" formatCode="_(* #,##0_);_(* \(#,##0\);_(* \-??_);_(@_)"/>
    <numFmt numFmtId="170" formatCode="_(* #,##0.00_);_(* \(#,##0.00\);_(* \-_);_(@_)"/>
    <numFmt numFmtId="172" formatCode="_-* #,##0_-;\-* #,##0_-;_-* &quot;-&quot;??_-;_-@_-"/>
  </numFmts>
  <fonts count="22" x14ac:knownFonts="1">
    <font>
      <sz val="11"/>
      <color theme="1"/>
      <name val="Calibri"/>
      <family val="2"/>
      <charset val="1"/>
      <scheme val="minor"/>
    </font>
    <font>
      <sz val="11"/>
      <color theme="1"/>
      <name val="Calibri"/>
      <family val="2"/>
      <charset val="1"/>
      <scheme val="minor"/>
    </font>
    <font>
      <sz val="10"/>
      <name val="Arial"/>
      <family val="2"/>
    </font>
    <font>
      <sz val="11"/>
      <name val="Cambria"/>
      <family val="1"/>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11"/>
      <color rgb="FF000000"/>
      <name val="Cambria"/>
      <family val="1"/>
    </font>
    <font>
      <sz val="14"/>
      <name val="Cambria"/>
      <family val="1"/>
    </font>
    <font>
      <sz val="11"/>
      <color indexed="10"/>
      <name val="Cambria"/>
      <family val="1"/>
    </font>
    <font>
      <b/>
      <u/>
      <sz val="14"/>
      <name val="Cambria"/>
      <family val="1"/>
    </font>
  </fonts>
  <fills count="7">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4" fontId="1" fillId="0" borderId="0" applyFont="0" applyFill="0" applyBorder="0" applyAlignment="0" applyProtection="0"/>
    <xf numFmtId="167" fontId="1" fillId="0" borderId="0" applyFont="0" applyFill="0" applyBorder="0" applyAlignment="0" applyProtection="0"/>
    <xf numFmtId="0" fontId="2" fillId="0" borderId="0"/>
    <xf numFmtId="0" fontId="2" fillId="0" borderId="0"/>
  </cellStyleXfs>
  <cellXfs count="315">
    <xf numFmtId="0" fontId="0" fillId="0" borderId="0" xfId="0"/>
    <xf numFmtId="4" fontId="3" fillId="0" borderId="0" xfId="0" applyNumberFormat="1" applyFont="1" applyAlignment="1" applyProtection="1">
      <alignment vertical="top" wrapText="1"/>
      <protection hidden="1"/>
    </xf>
    <xf numFmtId="0" fontId="3"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5" fontId="10" fillId="0" borderId="0" xfId="0" applyNumberFormat="1" applyFont="1" applyAlignment="1">
      <alignment horizontal="center" vertical="center"/>
    </xf>
    <xf numFmtId="0" fontId="3" fillId="0" borderId="2" xfId="3" applyFont="1" applyBorder="1" applyAlignment="1" applyProtection="1">
      <alignment horizontal="center" vertical="top" wrapText="1"/>
      <protection hidden="1"/>
    </xf>
    <xf numFmtId="49" fontId="3" fillId="0" borderId="2" xfId="3" applyNumberFormat="1" applyFont="1" applyBorder="1" applyAlignment="1" applyProtection="1">
      <alignment horizontal="center" vertical="top" wrapText="1"/>
      <protection hidden="1"/>
    </xf>
    <xf numFmtId="166" fontId="3" fillId="0" borderId="2" xfId="3" applyNumberFormat="1" applyFont="1" applyBorder="1" applyAlignment="1" applyProtection="1">
      <alignment horizontal="right" vertical="top" wrapText="1"/>
      <protection hidden="1"/>
    </xf>
    <xf numFmtId="166" fontId="3" fillId="0" borderId="2" xfId="1" applyNumberFormat="1" applyFont="1" applyBorder="1" applyAlignment="1" applyProtection="1">
      <alignment horizontal="right" vertical="top" wrapText="1"/>
      <protection hidden="1"/>
    </xf>
    <xf numFmtId="166" fontId="11" fillId="0" borderId="2" xfId="1" applyNumberFormat="1" applyFont="1" applyBorder="1" applyAlignment="1" applyProtection="1">
      <alignment horizontal="right" vertical="top" wrapText="1"/>
      <protection hidden="1"/>
    </xf>
    <xf numFmtId="166" fontId="3"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6" fontId="12" fillId="3" borderId="1" xfId="2" applyNumberFormat="1" applyFont="1" applyFill="1" applyBorder="1" applyAlignment="1" applyProtection="1">
      <alignment horizontal="right" vertical="top" wrapText="1"/>
      <protection hidden="1"/>
    </xf>
    <xf numFmtId="0" fontId="10" fillId="0" borderId="0" xfId="0" applyFont="1"/>
    <xf numFmtId="165" fontId="10" fillId="0" borderId="0" xfId="0" applyNumberFormat="1" applyFont="1" applyAlignment="1">
      <alignment horizontal="right"/>
    </xf>
    <xf numFmtId="39" fontId="3"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6" fontId="3"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166" fontId="13" fillId="0" borderId="4" xfId="2" applyNumberFormat="1" applyFont="1" applyFill="1" applyBorder="1" applyAlignment="1" applyProtection="1">
      <alignment horizontal="right" vertical="top" wrapText="1"/>
      <protection hidden="1"/>
    </xf>
    <xf numFmtId="0" fontId="3" fillId="0" borderId="4" xfId="0" applyFont="1" applyBorder="1" applyAlignment="1" applyProtection="1">
      <alignment horizontal="left" vertical="top" wrapText="1" indent="2"/>
      <protection hidden="1"/>
    </xf>
    <xf numFmtId="168" fontId="3" fillId="0" borderId="4" xfId="3" quotePrefix="1" applyNumberFormat="1" applyFont="1" applyBorder="1" applyAlignment="1" applyProtection="1">
      <alignment vertical="top" wrapText="1"/>
      <protection hidden="1"/>
    </xf>
    <xf numFmtId="166" fontId="3" fillId="0" borderId="4" xfId="2" applyNumberFormat="1" applyFont="1" applyBorder="1" applyAlignment="1" applyProtection="1">
      <alignment horizontal="right" vertical="top" wrapText="1"/>
      <protection hidden="1"/>
    </xf>
    <xf numFmtId="165" fontId="0" fillId="0" borderId="0" xfId="0" applyNumberFormat="1" applyAlignment="1">
      <alignment horizontal="right"/>
    </xf>
    <xf numFmtId="166" fontId="3"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3"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166" fontId="11" fillId="0" borderId="4" xfId="2" applyNumberFormat="1" applyFont="1" applyFill="1" applyBorder="1" applyAlignment="1" applyProtection="1">
      <alignment horizontal="right" vertical="top" wrapText="1"/>
      <protection hidden="1"/>
    </xf>
    <xf numFmtId="166" fontId="11" fillId="0" borderId="4" xfId="2" applyNumberFormat="1" applyFont="1" applyBorder="1" applyAlignment="1" applyProtection="1">
      <alignment horizontal="right" vertical="top" wrapText="1"/>
      <protection hidden="1"/>
    </xf>
    <xf numFmtId="0" fontId="3" fillId="0" borderId="4" xfId="0" applyFont="1" applyBorder="1" applyAlignment="1" applyProtection="1">
      <alignment horizontal="left" vertical="top" wrapText="1" indent="3"/>
      <protection hidden="1"/>
    </xf>
    <xf numFmtId="0" fontId="3" fillId="0" borderId="4" xfId="0" applyFont="1" applyBorder="1" applyAlignment="1" applyProtection="1">
      <alignment vertical="top" wrapText="1"/>
      <protection hidden="1"/>
    </xf>
    <xf numFmtId="169" fontId="3" fillId="0" borderId="4" xfId="3" applyNumberFormat="1" applyFont="1" applyBorder="1" applyAlignment="1" applyProtection="1">
      <alignment vertical="top" wrapText="1"/>
      <protection hidden="1"/>
    </xf>
    <xf numFmtId="169" fontId="11" fillId="0" borderId="4" xfId="3" applyNumberFormat="1" applyFont="1" applyBorder="1" applyAlignment="1" applyProtection="1">
      <alignment vertical="top" wrapText="1"/>
      <protection hidden="1"/>
    </xf>
    <xf numFmtId="0" fontId="3"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166" fontId="12" fillId="5" borderId="1" xfId="2" applyNumberFormat="1" applyFont="1" applyFill="1" applyBorder="1" applyAlignment="1" applyProtection="1">
      <alignment horizontal="right" vertical="top" wrapText="1"/>
      <protection hidden="1"/>
    </xf>
    <xf numFmtId="0" fontId="3" fillId="0" borderId="3" xfId="0" applyFont="1" applyBorder="1" applyAlignment="1" applyProtection="1">
      <alignment vertical="top" wrapText="1"/>
      <protection hidden="1"/>
    </xf>
    <xf numFmtId="169" fontId="3" fillId="0" borderId="3" xfId="3" applyNumberFormat="1" applyFont="1" applyBorder="1" applyAlignment="1" applyProtection="1">
      <alignment vertical="top" wrapText="1"/>
      <protection hidden="1"/>
    </xf>
    <xf numFmtId="169" fontId="3" fillId="0" borderId="4" xfId="3" quotePrefix="1" applyNumberFormat="1" applyFont="1" applyBorder="1" applyAlignment="1" applyProtection="1">
      <alignment vertical="top" wrapText="1"/>
      <protection hidden="1"/>
    </xf>
    <xf numFmtId="0" fontId="3" fillId="0" borderId="4" xfId="0" applyFont="1" applyBorder="1" applyAlignment="1" applyProtection="1">
      <alignment horizontal="justify" vertical="top" wrapText="1"/>
      <protection hidden="1"/>
    </xf>
    <xf numFmtId="166" fontId="14" fillId="0" borderId="4" xfId="0" applyNumberFormat="1" applyFont="1" applyBorder="1" applyAlignment="1" applyProtection="1">
      <alignment horizontal="right" vertical="top" wrapText="1"/>
      <protection hidden="1"/>
    </xf>
    <xf numFmtId="43" fontId="3" fillId="0" borderId="0" xfId="0" applyNumberFormat="1" applyFont="1" applyAlignment="1" applyProtection="1">
      <alignmen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166" fontId="9" fillId="2" borderId="1" xfId="2" applyNumberFormat="1" applyFont="1" applyFill="1" applyBorder="1" applyAlignment="1" applyProtection="1">
      <alignment horizontal="right" vertical="center" wrapText="1"/>
      <protection hidden="1"/>
    </xf>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3" fillId="0" borderId="0" xfId="3" applyFont="1" applyAlignment="1" applyProtection="1">
      <alignment vertical="top" wrapText="1"/>
      <protection hidden="1"/>
    </xf>
    <xf numFmtId="4" fontId="3" fillId="0" borderId="0" xfId="3" applyNumberFormat="1" applyFont="1" applyAlignment="1" applyProtection="1">
      <alignment vertical="top" wrapText="1"/>
      <protection hidden="1"/>
    </xf>
    <xf numFmtId="164" fontId="3" fillId="0" borderId="0" xfId="1" applyFont="1" applyAlignment="1" applyProtection="1">
      <alignment horizontal="center" vertical="top" wrapText="1"/>
      <protection hidden="1"/>
    </xf>
    <xf numFmtId="0" fontId="3" fillId="0" borderId="0" xfId="0" applyFont="1" applyAlignment="1">
      <alignment vertical="top"/>
    </xf>
    <xf numFmtId="164" fontId="3" fillId="0" borderId="0" xfId="1" applyFont="1" applyAlignment="1">
      <alignment vertical="top"/>
    </xf>
    <xf numFmtId="0" fontId="6" fillId="0" borderId="0" xfId="0" applyFont="1" applyAlignment="1">
      <alignment vertical="top"/>
    </xf>
    <xf numFmtId="164"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3" fillId="0" borderId="5" xfId="0" applyFont="1" applyBorder="1" applyAlignment="1">
      <alignment vertical="top"/>
    </xf>
    <xf numFmtId="166" fontId="3"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horizontal="center" wrapText="1"/>
    </xf>
    <xf numFmtId="166" fontId="12" fillId="5" borderId="5" xfId="2" applyNumberFormat="1" applyFont="1" applyFill="1" applyBorder="1" applyAlignment="1">
      <alignment horizontal="right" vertical="top" wrapText="1"/>
    </xf>
    <xf numFmtId="0" fontId="3" fillId="0" borderId="5" xfId="0" applyFont="1" applyBorder="1" applyAlignment="1">
      <alignment horizontal="center" vertical="top"/>
    </xf>
    <xf numFmtId="166" fontId="3" fillId="0" borderId="5" xfId="2" applyNumberFormat="1" applyFont="1" applyBorder="1" applyAlignment="1">
      <alignment horizontal="right" vertical="top"/>
    </xf>
    <xf numFmtId="0" fontId="11" fillId="0" borderId="5" xfId="0" applyFont="1" applyBorder="1" applyAlignment="1">
      <alignment vertical="top"/>
    </xf>
    <xf numFmtId="166"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0" fontId="3" fillId="0" borderId="5" xfId="0" quotePrefix="1" applyFont="1" applyBorder="1" applyAlignment="1">
      <alignment horizontal="center" vertical="top"/>
    </xf>
    <xf numFmtId="21" fontId="3" fillId="0" borderId="5" xfId="0" quotePrefix="1" applyNumberFormat="1" applyFont="1" applyBorder="1" applyAlignment="1">
      <alignment horizontal="center" vertical="top"/>
    </xf>
    <xf numFmtId="21" fontId="9" fillId="2" borderId="5" xfId="0" quotePrefix="1" applyNumberFormat="1" applyFont="1" applyFill="1" applyBorder="1" applyAlignment="1">
      <alignment horizontal="center" vertical="center"/>
    </xf>
    <xf numFmtId="166" fontId="9" fillId="2" borderId="5" xfId="2" applyNumberFormat="1" applyFont="1" applyFill="1" applyBorder="1" applyAlignment="1">
      <alignment horizontal="right" vertical="center"/>
    </xf>
    <xf numFmtId="0" fontId="11" fillId="0" borderId="0" xfId="0" applyFont="1" applyAlignment="1">
      <alignment vertical="top"/>
    </xf>
    <xf numFmtId="21" fontId="3" fillId="0" borderId="0" xfId="0" quotePrefix="1" applyNumberFormat="1" applyFont="1" applyAlignment="1">
      <alignment horizontal="center" vertical="top"/>
    </xf>
    <xf numFmtId="170" fontId="11" fillId="0" borderId="0" xfId="2" applyNumberFormat="1" applyFont="1" applyBorder="1" applyAlignment="1">
      <alignment vertical="top"/>
    </xf>
    <xf numFmtId="170" fontId="3" fillId="0" borderId="0" xfId="2" applyNumberFormat="1" applyFont="1" applyBorder="1" applyAlignment="1">
      <alignment vertical="top"/>
    </xf>
    <xf numFmtId="0" fontId="15" fillId="0" borderId="0" xfId="0" applyFont="1" applyAlignment="1">
      <alignment horizontal="left" vertical="top" wrapText="1"/>
    </xf>
    <xf numFmtId="170" fontId="3" fillId="0" borderId="0" xfId="2" applyNumberFormat="1" applyFont="1" applyAlignment="1">
      <alignment vertical="top"/>
    </xf>
    <xf numFmtId="0" fontId="16" fillId="0" borderId="0" xfId="0" applyFont="1" applyAlignment="1">
      <alignment vertical="top"/>
    </xf>
    <xf numFmtId="164" fontId="3" fillId="0" borderId="0" xfId="1" applyFont="1" applyAlignment="1">
      <alignment vertical="top" wrapText="1"/>
    </xf>
    <xf numFmtId="164" fontId="6" fillId="0" borderId="0" xfId="1" applyFont="1" applyAlignment="1">
      <alignment vertical="top" wrapText="1"/>
    </xf>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166" fontId="3"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166" fontId="12" fillId="5" borderId="1" xfId="2" applyNumberFormat="1" applyFont="1" applyFill="1" applyBorder="1" applyAlignment="1">
      <alignment horizontal="right" vertical="top" wrapText="1"/>
    </xf>
    <xf numFmtId="164" fontId="0" fillId="0" borderId="0" xfId="1" applyFont="1"/>
    <xf numFmtId="166" fontId="13" fillId="0" borderId="4" xfId="2" applyNumberFormat="1" applyFont="1" applyFill="1" applyBorder="1" applyAlignment="1">
      <alignment horizontal="right" vertical="top" wrapText="1"/>
    </xf>
    <xf numFmtId="0" fontId="3" fillId="0" borderId="4" xfId="0" applyFont="1" applyBorder="1" applyAlignment="1">
      <alignment horizontal="left" vertical="top" wrapText="1" indent="2"/>
    </xf>
    <xf numFmtId="0" fontId="3" fillId="0" borderId="4" xfId="3" quotePrefix="1" applyFont="1" applyBorder="1" applyAlignment="1">
      <alignment vertical="top" wrapText="1"/>
    </xf>
    <xf numFmtId="0" fontId="3" fillId="0" borderId="4" xfId="0" applyFont="1" applyBorder="1" applyAlignment="1">
      <alignment horizontal="left" vertical="top" wrapText="1" indent="3"/>
    </xf>
    <xf numFmtId="0" fontId="11" fillId="0" borderId="0" xfId="0" applyFont="1" applyAlignment="1">
      <alignment vertical="top" wrapText="1"/>
    </xf>
    <xf numFmtId="0" fontId="3" fillId="0" borderId="4" xfId="0" applyFont="1" applyBorder="1" applyAlignment="1">
      <alignment horizontal="left" vertical="top" wrapText="1"/>
    </xf>
    <xf numFmtId="166" fontId="3" fillId="0" borderId="4" xfId="2" applyNumberFormat="1" applyFont="1" applyBorder="1" applyAlignment="1">
      <alignment horizontal="right" vertical="top" wrapText="1"/>
    </xf>
    <xf numFmtId="166" fontId="11" fillId="0" borderId="4" xfId="2" applyNumberFormat="1" applyFont="1" applyBorder="1" applyAlignment="1">
      <alignment horizontal="right" vertical="top" wrapText="1"/>
    </xf>
    <xf numFmtId="166" fontId="9" fillId="2" borderId="1" xfId="2" applyNumberFormat="1" applyFont="1" applyFill="1" applyBorder="1" applyAlignment="1">
      <alignment horizontal="right" vertical="center" wrapText="1"/>
    </xf>
    <xf numFmtId="4" fontId="3" fillId="0" borderId="0" xfId="0" applyNumberFormat="1" applyFont="1"/>
    <xf numFmtId="0" fontId="3"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3" fillId="0" borderId="6" xfId="3" applyFont="1" applyBorder="1" applyAlignment="1">
      <alignment horizontal="center" vertical="top" wrapText="1"/>
    </xf>
    <xf numFmtId="49" fontId="3" fillId="0" borderId="6" xfId="3" applyNumberFormat="1" applyFont="1" applyBorder="1" applyAlignment="1">
      <alignment horizontal="center" vertical="top" wrapText="1"/>
    </xf>
    <xf numFmtId="166" fontId="3" fillId="0" borderId="6" xfId="3" applyNumberFormat="1" applyFont="1" applyBorder="1" applyAlignment="1">
      <alignment horizontal="right" vertical="top" wrapText="1"/>
    </xf>
    <xf numFmtId="166" fontId="3"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6" fontId="12" fillId="3" borderId="1" xfId="3" applyNumberFormat="1" applyFont="1" applyFill="1" applyBorder="1" applyAlignment="1">
      <alignment horizontal="right" vertical="top" wrapText="1"/>
    </xf>
    <xf numFmtId="166"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6" fontId="11" fillId="0" borderId="3" xfId="3" applyNumberFormat="1" applyFont="1" applyBorder="1" applyAlignment="1">
      <alignment horizontal="right" vertical="top" wrapText="1"/>
    </xf>
    <xf numFmtId="166"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3" fillId="0" borderId="4" xfId="3" quotePrefix="1" applyNumberFormat="1" applyFont="1" applyBorder="1" applyAlignment="1">
      <alignment vertical="top" wrapText="1"/>
    </xf>
    <xf numFmtId="43" fontId="3" fillId="0" borderId="4" xfId="2" applyNumberFormat="1" applyFont="1" applyBorder="1" applyAlignment="1">
      <alignment horizontal="right" vertical="top" wrapText="1"/>
    </xf>
    <xf numFmtId="166" fontId="3" fillId="4" borderId="4" xfId="2" applyNumberFormat="1" applyFont="1" applyFill="1" applyBorder="1" applyAlignment="1">
      <alignment horizontal="right" vertical="top" wrapText="1"/>
    </xf>
    <xf numFmtId="0" fontId="3" fillId="0" borderId="4" xfId="0" applyFont="1" applyBorder="1" applyAlignment="1">
      <alignment vertical="top" wrapText="1"/>
    </xf>
    <xf numFmtId="168" fontId="3" fillId="0" borderId="4" xfId="3" applyNumberFormat="1" applyFont="1" applyBorder="1" applyAlignment="1">
      <alignment vertical="top" wrapText="1"/>
    </xf>
    <xf numFmtId="0" fontId="11" fillId="0" borderId="4" xfId="0" applyFont="1" applyBorder="1" applyAlignment="1">
      <alignment horizontal="left" vertical="top" wrapText="1" indent="2"/>
    </xf>
    <xf numFmtId="0" fontId="20" fillId="0" borderId="4" xfId="0" applyFont="1" applyBorder="1" applyAlignment="1">
      <alignment vertical="top" wrapText="1"/>
    </xf>
    <xf numFmtId="169" fontId="11" fillId="0" borderId="4" xfId="3" applyNumberFormat="1" applyFont="1" applyBorder="1" applyAlignment="1">
      <alignment vertical="top" wrapText="1"/>
    </xf>
    <xf numFmtId="1" fontId="3"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6" fontId="12" fillId="5" borderId="1" xfId="3" applyNumberFormat="1" applyFont="1" applyFill="1" applyBorder="1" applyAlignment="1">
      <alignment horizontal="right" vertical="top" wrapText="1"/>
    </xf>
    <xf numFmtId="166"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3"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3" fillId="0" borderId="6" xfId="3" quotePrefix="1" applyNumberFormat="1" applyFont="1" applyBorder="1" applyAlignment="1">
      <alignment vertical="top" wrapText="1"/>
    </xf>
    <xf numFmtId="166"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0" fontId="3"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3" fillId="0" borderId="0" xfId="3" applyNumberFormat="1" applyFont="1" applyAlignment="1">
      <alignment vertical="top"/>
    </xf>
    <xf numFmtId="164" fontId="3" fillId="0" borderId="0" xfId="1" applyFont="1" applyAlignment="1">
      <alignment horizontal="center" vertical="top"/>
    </xf>
    <xf numFmtId="4" fontId="3" fillId="0" borderId="0" xfId="1" applyNumberFormat="1" applyFont="1" applyAlignment="1">
      <alignment horizontal="center" vertical="top"/>
    </xf>
    <xf numFmtId="4" fontId="11" fillId="0" borderId="0" xfId="1" applyNumberFormat="1" applyFont="1" applyAlignment="1">
      <alignment horizontal="right" vertical="center"/>
    </xf>
    <xf numFmtId="164" fontId="3" fillId="0" borderId="0" xfId="1" applyFont="1" applyAlignment="1">
      <alignment wrapText="1"/>
    </xf>
    <xf numFmtId="0" fontId="3" fillId="0" borderId="0" xfId="0" applyFont="1" applyAlignment="1">
      <alignment wrapText="1"/>
    </xf>
    <xf numFmtId="0" fontId="7" fillId="0" borderId="0" xfId="0" applyFont="1" applyAlignment="1">
      <alignment wrapText="1"/>
    </xf>
    <xf numFmtId="164" fontId="6" fillId="0" borderId="0" xfId="1" applyFont="1" applyAlignment="1">
      <alignment wrapText="1"/>
    </xf>
    <xf numFmtId="0" fontId="6" fillId="0" borderId="0" xfId="0" applyFont="1" applyAlignment="1">
      <alignment wrapText="1"/>
    </xf>
    <xf numFmtId="0" fontId="7" fillId="0" borderId="0" xfId="0" applyFont="1" applyAlignment="1">
      <alignment horizontal="right" wrapText="1"/>
    </xf>
    <xf numFmtId="172" fontId="11" fillId="0" borderId="0" xfId="1" applyNumberFormat="1" applyFont="1" applyAlignment="1">
      <alignment vertical="top" wrapText="1"/>
    </xf>
    <xf numFmtId="0" fontId="11" fillId="0" borderId="2" xfId="0" applyFont="1" applyBorder="1" applyAlignment="1">
      <alignment horizontal="center" vertical="center" wrapText="1"/>
    </xf>
    <xf numFmtId="166"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wrapText="1"/>
    </xf>
    <xf numFmtId="166" fontId="12" fillId="3" borderId="1" xfId="2" applyNumberFormat="1" applyFont="1" applyFill="1" applyBorder="1" applyAlignment="1">
      <alignment horizontal="right" vertical="top" wrapText="1"/>
    </xf>
    <xf numFmtId="4" fontId="3" fillId="0" borderId="0" xfId="0" applyNumberFormat="1" applyFont="1" applyAlignment="1">
      <alignment wrapText="1"/>
    </xf>
    <xf numFmtId="43" fontId="3" fillId="0" borderId="0" xfId="0" applyNumberFormat="1" applyFont="1" applyAlignment="1">
      <alignment wrapText="1"/>
    </xf>
    <xf numFmtId="0" fontId="13" fillId="0" borderId="4" xfId="3" applyFont="1" applyBorder="1" applyAlignment="1">
      <alignment horizontal="left" vertical="top" wrapText="1" indent="1"/>
    </xf>
    <xf numFmtId="0" fontId="3" fillId="0" borderId="4" xfId="3" applyFont="1" applyBorder="1" applyAlignment="1">
      <alignment horizontal="left" vertical="top" wrapText="1" indent="2"/>
    </xf>
    <xf numFmtId="164" fontId="3" fillId="0" borderId="0" xfId="0" applyNumberFormat="1" applyFont="1" applyAlignment="1">
      <alignment wrapText="1"/>
    </xf>
    <xf numFmtId="0" fontId="3" fillId="0" borderId="4" xfId="3" applyFont="1" applyBorder="1" applyAlignment="1">
      <alignment vertical="top" wrapText="1"/>
    </xf>
    <xf numFmtId="0" fontId="11" fillId="0" borderId="4" xfId="3" applyFont="1" applyBorder="1" applyAlignment="1">
      <alignment vertical="top" wrapText="1"/>
    </xf>
    <xf numFmtId="0" fontId="11" fillId="6" borderId="4" xfId="3" applyFont="1" applyFill="1" applyBorder="1" applyAlignment="1">
      <alignment horizontal="right" vertical="top" wrapText="1"/>
    </xf>
    <xf numFmtId="168" fontId="11" fillId="6" borderId="2" xfId="1" quotePrefix="1" applyNumberFormat="1" applyFont="1" applyFill="1" applyBorder="1" applyAlignment="1">
      <alignment wrapText="1"/>
    </xf>
    <xf numFmtId="166" fontId="11" fillId="6" borderId="2" xfId="2" applyNumberFormat="1" applyFont="1" applyFill="1" applyBorder="1" applyAlignment="1">
      <alignment horizontal="right" vertical="top" wrapText="1"/>
    </xf>
    <xf numFmtId="168" fontId="12" fillId="5" borderId="1" xfId="1" quotePrefix="1" applyNumberFormat="1" applyFont="1" applyFill="1" applyBorder="1" applyAlignment="1">
      <alignment wrapText="1"/>
    </xf>
    <xf numFmtId="0" fontId="3" fillId="0" borderId="2" xfId="3" applyFont="1" applyBorder="1" applyAlignment="1">
      <alignment vertical="top" wrapText="1"/>
    </xf>
    <xf numFmtId="0" fontId="11" fillId="0" borderId="2" xfId="3" applyFont="1" applyBorder="1" applyAlignment="1">
      <alignment vertical="top" wrapText="1"/>
    </xf>
    <xf numFmtId="0" fontId="9" fillId="2" borderId="8" xfId="0" applyFont="1" applyFill="1" applyBorder="1" applyAlignment="1">
      <alignment horizontal="center" vertical="center" wrapText="1"/>
    </xf>
    <xf numFmtId="166" fontId="9" fillId="2" borderId="8" xfId="2" applyNumberFormat="1" applyFont="1" applyFill="1" applyBorder="1" applyAlignment="1">
      <alignment horizontal="right" vertical="center" wrapText="1"/>
    </xf>
    <xf numFmtId="0" fontId="11" fillId="0" borderId="0" xfId="0" applyFont="1" applyAlignment="1">
      <alignment wrapText="1"/>
    </xf>
    <xf numFmtId="4" fontId="11" fillId="0" borderId="0" xfId="1" applyNumberFormat="1" applyFont="1" applyAlignment="1">
      <alignment wrapText="1"/>
    </xf>
    <xf numFmtId="4" fontId="11" fillId="0" borderId="0" xfId="3" applyNumberFormat="1" applyFont="1" applyAlignment="1">
      <alignment vertical="center" wrapText="1"/>
    </xf>
    <xf numFmtId="4" fontId="16" fillId="0" borderId="0" xfId="1" applyNumberFormat="1" applyFont="1" applyAlignment="1">
      <alignment horizont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3" fillId="0" borderId="0" xfId="0" applyNumberFormat="1" applyFont="1" applyAlignment="1">
      <alignment horizontal="right" wrapText="1"/>
    </xf>
    <xf numFmtId="0" fontId="3" fillId="0" borderId="1" xfId="0" applyFont="1" applyBorder="1" applyAlignment="1">
      <alignment vertical="top"/>
    </xf>
    <xf numFmtId="166" fontId="3"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0" fontId="11" fillId="0" borderId="1" xfId="0" applyFont="1" applyBorder="1" applyAlignment="1">
      <alignment vertical="top"/>
    </xf>
    <xf numFmtId="0" fontId="3" fillId="0" borderId="1" xfId="0" applyFont="1" applyBorder="1" applyAlignment="1">
      <alignment horizontal="center" vertical="top"/>
    </xf>
    <xf numFmtId="0" fontId="3" fillId="0" borderId="4" xfId="0" applyFont="1" applyBorder="1" applyAlignment="1">
      <alignment horizontal="left" vertical="top" indent="1"/>
    </xf>
    <xf numFmtId="168" fontId="3" fillId="0" borderId="4" xfId="3" quotePrefix="1" applyNumberFormat="1" applyFont="1" applyBorder="1" applyAlignment="1">
      <alignment horizontal="left" vertical="top"/>
    </xf>
    <xf numFmtId="0" fontId="3" fillId="0" borderId="9" xfId="0" applyFont="1" applyBorder="1" applyAlignment="1">
      <alignment vertical="top"/>
    </xf>
    <xf numFmtId="0" fontId="3" fillId="0" borderId="9" xfId="0" applyFont="1" applyBorder="1" applyAlignment="1">
      <alignment horizontal="left" vertical="top"/>
    </xf>
    <xf numFmtId="0" fontId="8" fillId="0" borderId="0" xfId="0" applyFont="1" applyAlignment="1">
      <alignment vertical="top"/>
    </xf>
    <xf numFmtId="170" fontId="11" fillId="0" borderId="0" xfId="2" applyNumberFormat="1" applyFont="1" applyAlignment="1">
      <alignment vertical="top"/>
    </xf>
    <xf numFmtId="39" fontId="3" fillId="0" borderId="4" xfId="2" applyNumberFormat="1" applyFont="1" applyBorder="1" applyAlignment="1" applyProtection="1">
      <alignment horizontal="right" vertical="top" wrapText="1"/>
      <protection hidden="1"/>
    </xf>
    <xf numFmtId="39" fontId="12" fillId="5" borderId="1" xfId="2" applyNumberFormat="1" applyFont="1" applyFill="1" applyBorder="1" applyAlignment="1" applyProtection="1">
      <alignment horizontal="right" vertical="top" wrapText="1"/>
      <protection hidden="1"/>
    </xf>
    <xf numFmtId="39" fontId="9" fillId="2" borderId="1" xfId="2" applyNumberFormat="1" applyFont="1" applyFill="1" applyBorder="1" applyAlignment="1" applyProtection="1">
      <alignment horizontal="right" vertical="center" wrapText="1"/>
      <protection hidden="1"/>
    </xf>
    <xf numFmtId="168" fontId="12" fillId="5" borderId="5" xfId="1" quotePrefix="1" applyNumberFormat="1" applyFont="1" applyFill="1" applyBorder="1" applyAlignment="1">
      <alignment horizontal="center" vertical="top" wrapText="1"/>
    </xf>
    <xf numFmtId="39" fontId="12" fillId="5" borderId="5" xfId="2" applyNumberFormat="1" applyFont="1" applyFill="1" applyBorder="1" applyAlignment="1">
      <alignment horizontal="right" vertical="top" wrapText="1"/>
    </xf>
    <xf numFmtId="39" fontId="13" fillId="0" borderId="4" xfId="2" applyNumberFormat="1" applyFont="1" applyFill="1" applyBorder="1" applyAlignment="1">
      <alignment horizontal="right" vertical="top" wrapText="1"/>
    </xf>
    <xf numFmtId="4" fontId="13" fillId="0" borderId="4" xfId="2" applyNumberFormat="1" applyFont="1" applyFill="1" applyBorder="1" applyAlignment="1">
      <alignment horizontal="right" vertical="top" wrapText="1"/>
    </xf>
    <xf numFmtId="39" fontId="3" fillId="0" borderId="4" xfId="2" applyNumberFormat="1" applyFont="1" applyBorder="1" applyAlignment="1">
      <alignment horizontal="right" vertical="top" wrapText="1"/>
    </xf>
    <xf numFmtId="0" fontId="9" fillId="2" borderId="8" xfId="0" quotePrefix="1" applyFont="1" applyFill="1" applyBorder="1" applyAlignment="1">
      <alignment horizontal="center" vertical="center" wrapText="1"/>
    </xf>
    <xf numFmtId="39" fontId="12" fillId="5" borderId="1" xfId="2" applyNumberFormat="1" applyFont="1" applyFill="1" applyBorder="1" applyAlignment="1">
      <alignment horizontal="right" vertical="top" wrapText="1"/>
    </xf>
    <xf numFmtId="0" fontId="9" fillId="2" borderId="5" xfId="0" quotePrefix="1" applyFont="1" applyFill="1" applyBorder="1" applyAlignment="1">
      <alignment horizontal="center" vertical="center" wrapText="1"/>
    </xf>
    <xf numFmtId="39" fontId="3" fillId="0" borderId="0" xfId="0" applyNumberFormat="1" applyFont="1" applyAlignment="1">
      <alignment wrapText="1"/>
    </xf>
    <xf numFmtId="4" fontId="16" fillId="0" borderId="0" xfId="0" applyNumberFormat="1" applyFont="1" applyAlignment="1">
      <alignment horizontal="center"/>
    </xf>
    <xf numFmtId="0" fontId="15" fillId="0" borderId="0" xfId="0" applyFont="1" applyAlignment="1">
      <alignment vertical="top" wrapText="1"/>
    </xf>
    <xf numFmtId="0" fontId="3"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164" fontId="8" fillId="0" borderId="0" xfId="1" applyFont="1" applyFill="1" applyAlignment="1">
      <alignment horizontal="center" vertical="top" wrapText="1"/>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3"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3"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4" fontId="16" fillId="0" borderId="0" xfId="0" applyNumberFormat="1" applyFont="1" applyAlignment="1">
      <alignment horizontal="center"/>
    </xf>
    <xf numFmtId="0" fontId="3" fillId="0" borderId="0" xfId="0" applyFont="1" applyAlignment="1">
      <alignment horizontal="center" wrapText="1"/>
    </xf>
    <xf numFmtId="0" fontId="4" fillId="0" borderId="0" xfId="0" applyFont="1" applyAlignment="1">
      <alignment horizontal="center" wrapText="1"/>
    </xf>
    <xf numFmtId="4" fontId="16" fillId="0" borderId="0" xfId="1" applyNumberFormat="1" applyFont="1" applyAlignment="1">
      <alignment horizontal="center" wrapText="1"/>
    </xf>
    <xf numFmtId="164" fontId="8" fillId="0" borderId="0" xfId="1" applyFont="1" applyAlignment="1">
      <alignment horizontal="center" vertical="top" wrapText="1"/>
    </xf>
    <xf numFmtId="4" fontId="21" fillId="0" borderId="0" xfId="0" applyNumberFormat="1" applyFont="1" applyAlignment="1">
      <alignment horizontal="center" wrapText="1"/>
    </xf>
    <xf numFmtId="4" fontId="16" fillId="0" borderId="0" xfId="0" applyNumberFormat="1" applyFont="1" applyAlignment="1">
      <alignment horizontal="center" wrapText="1"/>
    </xf>
    <xf numFmtId="164" fontId="3" fillId="0" borderId="0" xfId="1" applyFont="1" applyAlignment="1">
      <alignment horizontal="center" vertical="top" wrapText="1"/>
    </xf>
    <xf numFmtId="164" fontId="4" fillId="0" borderId="0" xfId="1" applyFont="1" applyAlignment="1">
      <alignment horizontal="center" vertical="top" wrapText="1"/>
    </xf>
    <xf numFmtId="164" fontId="7" fillId="0" borderId="0" xfId="1" applyFont="1" applyAlignment="1">
      <alignment horizontal="center" vertical="top" wrapText="1"/>
    </xf>
    <xf numFmtId="164" fontId="7" fillId="0" borderId="0" xfId="1" applyFont="1" applyAlignment="1">
      <alignment horizontal="right" vertical="top" wrapText="1"/>
    </xf>
    <xf numFmtId="164" fontId="9" fillId="2" borderId="1" xfId="1" applyFont="1" applyFill="1" applyBorder="1" applyAlignment="1">
      <alignment horizontal="center" vertical="center" wrapText="1"/>
    </xf>
    <xf numFmtId="164" fontId="3" fillId="0" borderId="2" xfId="1" applyFont="1" applyBorder="1" applyAlignment="1">
      <alignment vertical="top" wrapText="1"/>
    </xf>
    <xf numFmtId="164" fontId="3" fillId="0" borderId="2" xfId="1" applyFont="1" applyBorder="1" applyAlignment="1">
      <alignment horizontal="right" vertical="top" wrapText="1"/>
    </xf>
    <xf numFmtId="164" fontId="12" fillId="5" borderId="1" xfId="1" applyFont="1" applyFill="1" applyBorder="1" applyAlignment="1">
      <alignment horizontal="left" vertical="top" wrapText="1"/>
    </xf>
    <xf numFmtId="164" fontId="12" fillId="5" borderId="1" xfId="1" quotePrefix="1" applyFont="1" applyFill="1" applyBorder="1" applyAlignment="1">
      <alignment wrapText="1"/>
    </xf>
    <xf numFmtId="164" fontId="12" fillId="5" borderId="1" xfId="1" applyFont="1" applyFill="1" applyBorder="1" applyAlignment="1">
      <alignment horizontal="right" vertical="top" wrapText="1"/>
    </xf>
    <xf numFmtId="164" fontId="9" fillId="0" borderId="4" xfId="1" applyFont="1" applyBorder="1" applyAlignment="1">
      <alignment vertical="top" wrapText="1"/>
    </xf>
    <xf numFmtId="164" fontId="9" fillId="0" borderId="4" xfId="1" quotePrefix="1" applyFont="1" applyBorder="1" applyAlignment="1">
      <alignment vertical="top" wrapText="1"/>
    </xf>
    <xf numFmtId="164" fontId="9" fillId="0" borderId="4" xfId="1" applyFont="1" applyFill="1" applyBorder="1" applyAlignment="1">
      <alignment horizontal="right" vertical="top" wrapText="1"/>
    </xf>
    <xf numFmtId="164" fontId="13" fillId="0" borderId="4" xfId="1" applyFont="1" applyBorder="1" applyAlignment="1">
      <alignment horizontal="left" vertical="top" wrapText="1" indent="1"/>
    </xf>
    <xf numFmtId="164" fontId="13" fillId="0" borderId="4" xfId="1" quotePrefix="1" applyFont="1" applyBorder="1" applyAlignment="1">
      <alignment vertical="top" wrapText="1"/>
    </xf>
    <xf numFmtId="164" fontId="13" fillId="0" borderId="4" xfId="1" applyFont="1" applyFill="1" applyBorder="1" applyAlignment="1">
      <alignment horizontal="right" vertical="top" wrapText="1"/>
    </xf>
    <xf numFmtId="164" fontId="3" fillId="0" borderId="4" xfId="1" applyFont="1" applyBorder="1" applyAlignment="1">
      <alignment horizontal="left" vertical="top" wrapText="1" indent="2"/>
    </xf>
    <xf numFmtId="164" fontId="3" fillId="0" borderId="4" xfId="1" quotePrefix="1" applyFont="1" applyBorder="1" applyAlignment="1">
      <alignment vertical="top" wrapText="1"/>
    </xf>
    <xf numFmtId="164" fontId="3" fillId="0" borderId="6" xfId="1" applyFont="1" applyBorder="1" applyAlignment="1">
      <alignment horizontal="right" vertical="top" wrapText="1"/>
    </xf>
    <xf numFmtId="164" fontId="3" fillId="0" borderId="4" xfId="1" applyFont="1" applyBorder="1" applyAlignment="1">
      <alignment horizontal="left" vertical="top" wrapText="1" indent="3"/>
    </xf>
    <xf numFmtId="164" fontId="3" fillId="4" borderId="6" xfId="1" applyFont="1" applyFill="1" applyBorder="1" applyAlignment="1">
      <alignment horizontal="right" vertical="top" wrapText="1"/>
    </xf>
    <xf numFmtId="164" fontId="11" fillId="0" borderId="4" xfId="1" quotePrefix="1" applyFont="1" applyBorder="1" applyAlignment="1">
      <alignment vertical="top" wrapText="1"/>
    </xf>
    <xf numFmtId="164" fontId="11" fillId="0" borderId="4" xfId="1" applyFont="1" applyBorder="1" applyAlignment="1">
      <alignment vertical="top" wrapText="1"/>
    </xf>
    <xf numFmtId="164" fontId="18" fillId="0" borderId="4" xfId="1" applyFont="1" applyBorder="1" applyAlignment="1">
      <alignment horizontal="right" vertical="top" wrapText="1"/>
    </xf>
    <xf numFmtId="164" fontId="3" fillId="0" borderId="6" xfId="1" applyFont="1" applyFill="1" applyBorder="1" applyAlignment="1">
      <alignment horizontal="right" vertical="top" wrapText="1"/>
    </xf>
    <xf numFmtId="164" fontId="11" fillId="0" borderId="0" xfId="1" applyFont="1" applyAlignment="1">
      <alignment vertical="top" wrapText="1"/>
    </xf>
    <xf numFmtId="164" fontId="3" fillId="0" borderId="4" xfId="1" applyFont="1" applyBorder="1" applyAlignment="1">
      <alignment horizontal="left" vertical="top" wrapText="1"/>
    </xf>
    <xf numFmtId="164" fontId="11" fillId="0" borderId="4" xfId="1" applyFont="1" applyBorder="1" applyAlignment="1">
      <alignment horizontal="right" vertical="top" wrapText="1"/>
    </xf>
    <xf numFmtId="164" fontId="9" fillId="2" borderId="1" xfId="1" quotePrefix="1" applyFont="1" applyFill="1" applyBorder="1" applyAlignment="1">
      <alignment vertical="center" wrapText="1"/>
    </xf>
    <xf numFmtId="164" fontId="9" fillId="2" borderId="1" xfId="1" applyFont="1" applyFill="1" applyBorder="1" applyAlignment="1">
      <alignment horizontal="right" vertical="center" wrapText="1"/>
    </xf>
    <xf numFmtId="164" fontId="3" fillId="0" borderId="0" xfId="1" applyFont="1" applyAlignment="1">
      <alignment vertical="center" wrapText="1"/>
    </xf>
    <xf numFmtId="164" fontId="3" fillId="0" borderId="4" xfId="1" applyFont="1" applyBorder="1" applyAlignment="1">
      <alignment horizontal="right" vertical="top" wrapText="1"/>
    </xf>
    <xf numFmtId="164" fontId="3" fillId="0" borderId="4" xfId="1" quotePrefix="1" applyFont="1" applyBorder="1" applyAlignment="1">
      <alignment horizontal="right" vertical="top" wrapText="1"/>
    </xf>
    <xf numFmtId="164" fontId="11" fillId="0" borderId="0" xfId="1" applyFont="1" applyAlignment="1">
      <alignment horizontal="center" vertical="top" wrapText="1"/>
    </xf>
    <xf numFmtId="164" fontId="11" fillId="0" borderId="0" xfId="1" applyFont="1" applyAlignment="1">
      <alignment horizontal="left" vertical="top" wrapText="1"/>
    </xf>
    <xf numFmtId="164" fontId="11" fillId="0" borderId="0" xfId="1" applyFont="1" applyAlignment="1">
      <alignment horizontal="right" vertical="top" wrapText="1"/>
    </xf>
    <xf numFmtId="164" fontId="15" fillId="0" borderId="0" xfId="1" applyFont="1" applyAlignment="1">
      <alignment vertical="top" wrapText="1"/>
    </xf>
    <xf numFmtId="164" fontId="15" fillId="0" borderId="0" xfId="1" applyFont="1" applyAlignment="1">
      <alignment vertical="top" wrapText="1"/>
    </xf>
    <xf numFmtId="164" fontId="3" fillId="0" borderId="0" xfId="1" applyFont="1" applyAlignment="1">
      <alignment horizontal="right" vertical="top" wrapText="1"/>
    </xf>
    <xf numFmtId="164" fontId="16" fillId="0" borderId="0" xfId="1" applyFont="1" applyAlignment="1">
      <alignment horizontal="center" vertical="top" wrapText="1"/>
    </xf>
    <xf numFmtId="164" fontId="19" fillId="0" borderId="0" xfId="1" applyFont="1" applyAlignment="1">
      <alignment horizontal="center" vertical="top" wrapText="1"/>
    </xf>
    <xf numFmtId="164" fontId="11" fillId="0" borderId="1" xfId="1" applyFont="1" applyBorder="1" applyAlignment="1">
      <alignment horizontal="right" vertical="top"/>
    </xf>
    <xf numFmtId="164" fontId="3" fillId="0" borderId="4" xfId="1" applyFont="1" applyFill="1" applyBorder="1" applyAlignment="1">
      <alignment horizontal="right" vertical="top"/>
    </xf>
    <xf numFmtId="164" fontId="3" fillId="0" borderId="4" xfId="1" applyFont="1" applyBorder="1" applyAlignment="1">
      <alignment horizontal="right" vertical="top"/>
    </xf>
    <xf numFmtId="164" fontId="3" fillId="0" borderId="9" xfId="1" applyFont="1" applyBorder="1" applyAlignment="1">
      <alignment horizontal="right" vertical="top"/>
    </xf>
    <xf numFmtId="164" fontId="9" fillId="2" borderId="5" xfId="1" applyFont="1" applyFill="1" applyBorder="1" applyAlignment="1">
      <alignment horizontal="right" vertical="center"/>
    </xf>
  </cellXfs>
  <cellStyles count="5">
    <cellStyle name="Comma" xfId="1" builtinId="3"/>
    <cellStyle name="Comma [0]" xfId="2" builtinId="6"/>
    <cellStyle name="Normal" xfId="0" builtinId="0"/>
    <cellStyle name="Normal_Perhitungan.TA.2002" xfId="3" xr:uid="{91C69AB7-B9B1-4438-94A7-F536981EB9F2}"/>
    <cellStyle name="Normal_Triwulan IV.2002.OKE" xfId="4" xr:uid="{E71A384B-2E5A-471D-ADCC-25B136BC73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3AABFE9F-E2EE-421C-92AD-4D4D38830E95}"/>
            </a:ext>
          </a:extLst>
        </xdr:cNvPr>
        <xdr:cNvSpPr txBox="1"/>
      </xdr:nvSpPr>
      <xdr:spPr>
        <a:xfrm>
          <a:off x="9890760" y="114300"/>
          <a:ext cx="5402580" cy="94488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1</xdr:col>
      <xdr:colOff>655320</xdr:colOff>
      <xdr:row>0</xdr:row>
      <xdr:rowOff>0</xdr:rowOff>
    </xdr:from>
    <xdr:ext cx="895350" cy="895350"/>
    <xdr:pic>
      <xdr:nvPicPr>
        <xdr:cNvPr id="4" name="Picture 3">
          <a:extLst>
            <a:ext uri="{FF2B5EF4-FFF2-40B4-BE49-F238E27FC236}">
              <a16:creationId xmlns:a16="http://schemas.microsoft.com/office/drawing/2014/main" id="{3E2800C6-7F24-431E-B89D-D0E558347C35}"/>
            </a:ext>
          </a:extLst>
        </xdr:cNvPr>
        <xdr:cNvPicPr>
          <a:picLocks noChangeAspect="1"/>
        </xdr:cNvPicPr>
      </xdr:nvPicPr>
      <xdr:blipFill>
        <a:blip xmlns:r="http://schemas.openxmlformats.org/officeDocument/2006/relationships" r:embed="rId1" cstate="print"/>
        <a:stretch>
          <a:fillRect/>
        </a:stretch>
      </xdr:blipFill>
      <xdr:spPr>
        <a:xfrm>
          <a:off x="4221480" y="0"/>
          <a:ext cx="895350" cy="8953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8A173006-A3BE-4B3E-A547-94583BAD98DF}"/>
            </a:ext>
          </a:extLst>
        </xdr:cNvPr>
        <xdr:cNvSpPr txBox="1"/>
      </xdr:nvSpPr>
      <xdr:spPr>
        <a:xfrm>
          <a:off x="6884964" y="82061"/>
          <a:ext cx="3484098" cy="10846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1</xdr:col>
      <xdr:colOff>15240</xdr:colOff>
      <xdr:row>0</xdr:row>
      <xdr:rowOff>0</xdr:rowOff>
    </xdr:from>
    <xdr:ext cx="895350" cy="895350"/>
    <xdr:pic>
      <xdr:nvPicPr>
        <xdr:cNvPr id="3" name="Picture 2">
          <a:extLst>
            <a:ext uri="{FF2B5EF4-FFF2-40B4-BE49-F238E27FC236}">
              <a16:creationId xmlns:a16="http://schemas.microsoft.com/office/drawing/2014/main" id="{D3ED7E6E-580F-49A5-8D8B-81B53B7C9920}"/>
            </a:ext>
          </a:extLst>
        </xdr:cNvPr>
        <xdr:cNvPicPr>
          <a:picLocks noChangeAspect="1"/>
        </xdr:cNvPicPr>
      </xdr:nvPicPr>
      <xdr:blipFill>
        <a:blip xmlns:r="http://schemas.openxmlformats.org/officeDocument/2006/relationships" r:embed="rId1" cstate="print"/>
        <a:stretch>
          <a:fillRect/>
        </a:stretch>
      </xdr:blipFill>
      <xdr:spPr>
        <a:xfrm>
          <a:off x="2766060" y="0"/>
          <a:ext cx="895350" cy="8953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66BD3BA0-E346-41F0-B60E-2FF1EE8272ED}"/>
            </a:ext>
          </a:extLst>
        </xdr:cNvPr>
        <xdr:cNvSpPr txBox="1"/>
      </xdr:nvSpPr>
      <xdr:spPr>
        <a:xfrm>
          <a:off x="8168640" y="106681"/>
          <a:ext cx="5318760" cy="7772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0</xdr:col>
      <xdr:colOff>3360420</xdr:colOff>
      <xdr:row>0</xdr:row>
      <xdr:rowOff>0</xdr:rowOff>
    </xdr:from>
    <xdr:ext cx="895350" cy="895350"/>
    <xdr:pic>
      <xdr:nvPicPr>
        <xdr:cNvPr id="3" name="Picture 2">
          <a:extLst>
            <a:ext uri="{FF2B5EF4-FFF2-40B4-BE49-F238E27FC236}">
              <a16:creationId xmlns:a16="http://schemas.microsoft.com/office/drawing/2014/main" id="{F6A1853F-B1AD-4D2B-83C7-D2D04883EBD9}"/>
            </a:ext>
          </a:extLst>
        </xdr:cNvPr>
        <xdr:cNvPicPr>
          <a:picLocks noChangeAspect="1"/>
        </xdr:cNvPicPr>
      </xdr:nvPicPr>
      <xdr:blipFill>
        <a:blip xmlns:r="http://schemas.openxmlformats.org/officeDocument/2006/relationships" r:embed="rId1" cstate="print"/>
        <a:stretch>
          <a:fillRect/>
        </a:stretch>
      </xdr:blipFill>
      <xdr:spPr>
        <a:xfrm>
          <a:off x="3360420" y="0"/>
          <a:ext cx="895350" cy="8953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CD7B4604-B999-42FF-97BC-CA5236ECCFFE}"/>
            </a:ext>
          </a:extLst>
        </xdr:cNvPr>
        <xdr:cNvSpPr txBox="1"/>
      </xdr:nvSpPr>
      <xdr:spPr>
        <a:xfrm>
          <a:off x="9578340" y="106680"/>
          <a:ext cx="553212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1</xdr:col>
      <xdr:colOff>594360</xdr:colOff>
      <xdr:row>0</xdr:row>
      <xdr:rowOff>0</xdr:rowOff>
    </xdr:from>
    <xdr:ext cx="895350" cy="895350"/>
    <xdr:pic>
      <xdr:nvPicPr>
        <xdr:cNvPr id="3" name="Picture 2">
          <a:extLst>
            <a:ext uri="{FF2B5EF4-FFF2-40B4-BE49-F238E27FC236}">
              <a16:creationId xmlns:a16="http://schemas.microsoft.com/office/drawing/2014/main" id="{9841C913-44A9-43E7-AEFE-D84E8FD9F98E}"/>
            </a:ext>
          </a:extLst>
        </xdr:cNvPr>
        <xdr:cNvPicPr>
          <a:picLocks noChangeAspect="1"/>
        </xdr:cNvPicPr>
      </xdr:nvPicPr>
      <xdr:blipFill>
        <a:blip xmlns:r="http://schemas.openxmlformats.org/officeDocument/2006/relationships" r:embed="rId1" cstate="print"/>
        <a:stretch>
          <a:fillRect/>
        </a:stretch>
      </xdr:blipFill>
      <xdr:spPr>
        <a:xfrm>
          <a:off x="4084320" y="0"/>
          <a:ext cx="895350" cy="8953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193BD7BE-B1FF-4612-AB49-502FFD94D662}"/>
            </a:ext>
          </a:extLst>
        </xdr:cNvPr>
        <xdr:cNvSpPr txBox="1"/>
      </xdr:nvSpPr>
      <xdr:spPr>
        <a:xfrm>
          <a:off x="7673340" y="91440"/>
          <a:ext cx="539496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0</xdr:col>
      <xdr:colOff>3139440</xdr:colOff>
      <xdr:row>0</xdr:row>
      <xdr:rowOff>0</xdr:rowOff>
    </xdr:from>
    <xdr:ext cx="895350" cy="895350"/>
    <xdr:pic>
      <xdr:nvPicPr>
        <xdr:cNvPr id="3" name="Picture 2">
          <a:extLst>
            <a:ext uri="{FF2B5EF4-FFF2-40B4-BE49-F238E27FC236}">
              <a16:creationId xmlns:a16="http://schemas.microsoft.com/office/drawing/2014/main" id="{D362B6EB-9971-471D-84E8-79C218CA416D}"/>
            </a:ext>
          </a:extLst>
        </xdr:cNvPr>
        <xdr:cNvPicPr>
          <a:picLocks noChangeAspect="1"/>
        </xdr:cNvPicPr>
      </xdr:nvPicPr>
      <xdr:blipFill>
        <a:blip xmlns:r="http://schemas.openxmlformats.org/officeDocument/2006/relationships" r:embed="rId1" cstate="print"/>
        <a:stretch>
          <a:fillRect/>
        </a:stretch>
      </xdr:blipFill>
      <xdr:spPr>
        <a:xfrm>
          <a:off x="3139440" y="0"/>
          <a:ext cx="895350" cy="8953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D3D768C5-1055-4230-8153-8B3911923EA8}"/>
            </a:ext>
          </a:extLst>
        </xdr:cNvPr>
        <xdr:cNvSpPr txBox="1"/>
      </xdr:nvSpPr>
      <xdr:spPr>
        <a:xfrm>
          <a:off x="7139940" y="83820"/>
          <a:ext cx="537972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oneCellAnchor>
    <xdr:from>
      <xdr:col>1</xdr:col>
      <xdr:colOff>60960</xdr:colOff>
      <xdr:row>0</xdr:row>
      <xdr:rowOff>0</xdr:rowOff>
    </xdr:from>
    <xdr:ext cx="895350" cy="895350"/>
    <xdr:pic>
      <xdr:nvPicPr>
        <xdr:cNvPr id="3" name="Picture 2">
          <a:extLst>
            <a:ext uri="{FF2B5EF4-FFF2-40B4-BE49-F238E27FC236}">
              <a16:creationId xmlns:a16="http://schemas.microsoft.com/office/drawing/2014/main" id="{A409CB93-1D91-4D5A-8750-B0E13F86A3E4}"/>
            </a:ext>
          </a:extLst>
        </xdr:cNvPr>
        <xdr:cNvPicPr>
          <a:picLocks noChangeAspect="1"/>
        </xdr:cNvPicPr>
      </xdr:nvPicPr>
      <xdr:blipFill>
        <a:blip xmlns:r="http://schemas.openxmlformats.org/officeDocument/2006/relationships" r:embed="rId1" cstate="print"/>
        <a:stretch>
          <a:fillRect/>
        </a:stretch>
      </xdr:blipFill>
      <xdr:spPr>
        <a:xfrm>
          <a:off x="2865120" y="0"/>
          <a:ext cx="895350" cy="895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20BPK%20NTB/1.%20LK/2026-KSB/LK%20AUDITED/new%20update/JUST%20PROLI%20PRA%20AUDITED%20TA.%202025%20JUKOR%20FIX_17Mei.xlsb" TargetMode="External"/><Relationship Id="rId2" Type="http://schemas.openxmlformats.org/officeDocument/2006/relationships/externalLinkPath" Target="file:///D:\2.%20BPK%20NTB\1.%20LK\2026-KSB\LK%20AUDITED\new%20update\JUST%20PROLI%20PRA%20AUDITED%20TA.%202025%20JUKOR%20FIX_17Mei.xlsb" TargetMode="External"/><Relationship Id="rId1" Type="http://schemas.openxmlformats.org/officeDocument/2006/relationships/externalLinkPath" Target="/2.%20BPK%20NTB/1.%20LK/2026-KSB/LK%20AUDITED/new%20update/JUST%20PROLI%20PRA%20AUDITED%20TA.%202025%20JUKOR%20FIX_17Mei.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1b32820cef3cdc8/Desktop/MAESTRO%20LKPD%20Badung%202024.xlsm" TargetMode="External"/><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titas"/>
      <sheetName val="Akun"/>
      <sheetName val="Anggaran"/>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efreshError="1">
        <row r="3">
          <cell r="C3" t="str">
            <v>SUMBAWA BARAT</v>
          </cell>
        </row>
        <row r="4">
          <cell r="C4" t="str">
            <v>KABUPATEN</v>
          </cell>
        </row>
        <row r="5">
          <cell r="C5" t="str">
            <v>BUPATI</v>
          </cell>
        </row>
        <row r="6">
          <cell r="C6" t="str">
            <v>H. AMAR NURMANSYAH, ST.,M.Si</v>
          </cell>
        </row>
        <row r="9">
          <cell r="C9" t="str">
            <v>2025</v>
          </cell>
        </row>
      </sheetData>
      <sheetData sheetId="1" refreshError="1"/>
      <sheetData sheetId="2" refreshError="1">
        <row r="7">
          <cell r="C7" t="str">
            <v>PENDAPATAN DAERAH</v>
          </cell>
          <cell r="D7">
            <v>1915023725191</v>
          </cell>
        </row>
        <row r="8">
          <cell r="C8" t="str">
            <v>PENDAPATAN ASLI DAERAH (PAD)</v>
          </cell>
          <cell r="D8">
            <v>160602204724</v>
          </cell>
        </row>
        <row r="9">
          <cell r="C9" t="str">
            <v>Pajak Daerah</v>
          </cell>
          <cell r="D9">
            <v>91523000000</v>
          </cell>
        </row>
        <row r="10">
          <cell r="C10" t="str">
            <v>Pajak Kendaraan Bermotor (PKB)</v>
          </cell>
          <cell r="D10">
            <v>0</v>
          </cell>
        </row>
        <row r="11">
          <cell r="C11" t="str">
            <v>PKB-Mobil Penumpang-Sedan</v>
          </cell>
          <cell r="D11">
            <v>0</v>
          </cell>
        </row>
        <row r="12">
          <cell r="C12" t="str">
            <v>PKB-Mobil Penumpang-Jeep</v>
          </cell>
          <cell r="D12">
            <v>0</v>
          </cell>
        </row>
        <row r="13">
          <cell r="C13" t="str">
            <v>PKB-Mobil Penumpang-Minibus</v>
          </cell>
          <cell r="D13">
            <v>0</v>
          </cell>
        </row>
        <row r="14">
          <cell r="C14" t="str">
            <v>PKB-Mobil Bus-Microbus</v>
          </cell>
          <cell r="D14">
            <v>0</v>
          </cell>
        </row>
        <row r="15">
          <cell r="C15" t="str">
            <v>PKB-Mobil Bus-Bus</v>
          </cell>
          <cell r="D15">
            <v>0</v>
          </cell>
        </row>
        <row r="16">
          <cell r="C16" t="str">
            <v>PKB-Mobil Barang/Beban-Pick Up</v>
          </cell>
          <cell r="D16">
            <v>0</v>
          </cell>
        </row>
        <row r="17">
          <cell r="C17" t="str">
            <v>PKB-Mobil Barang/Beban-Light Truck</v>
          </cell>
          <cell r="D17">
            <v>0</v>
          </cell>
        </row>
        <row r="18">
          <cell r="C18" t="str">
            <v>PKB-Mobil Barang/Beban-Truck</v>
          </cell>
          <cell r="D18">
            <v>0</v>
          </cell>
        </row>
        <row r="19">
          <cell r="C19" t="str">
            <v>PKB-Mobil Barang/Beban-Blind Van</v>
          </cell>
          <cell r="D19">
            <v>0</v>
          </cell>
        </row>
        <row r="20">
          <cell r="C20" t="str">
            <v>PKB-Sepeda Motor-Sepeda Motor Roda Dua</v>
          </cell>
          <cell r="D20">
            <v>0</v>
          </cell>
        </row>
        <row r="21">
          <cell r="C21" t="str">
            <v>PKB-Sepeda Motor-Sepeda Motor Roda Tiga</v>
          </cell>
          <cell r="D21">
            <v>0</v>
          </cell>
        </row>
        <row r="22">
          <cell r="C22" t="str">
            <v>PKB-Kendaraan Bermotor yang Dioperasikan di Air</v>
          </cell>
          <cell r="D22">
            <v>0</v>
          </cell>
        </row>
        <row r="23">
          <cell r="C23" t="str">
            <v>PKB-Kendaraan Khusus Alat Berat/Alat Besar</v>
          </cell>
          <cell r="D23">
            <v>0</v>
          </cell>
        </row>
        <row r="24">
          <cell r="C24" t="str">
            <v>PKB-Mobil Roda Tiga</v>
          </cell>
          <cell r="D24">
            <v>0</v>
          </cell>
        </row>
        <row r="25">
          <cell r="C25" t="str">
            <v>PKB-Mobil Penumpang-Roda Tiga</v>
          </cell>
          <cell r="D25">
            <v>0</v>
          </cell>
        </row>
        <row r="26">
          <cell r="C26" t="str">
            <v>PKB-Mobil Barang-Roda Tiga</v>
          </cell>
          <cell r="D26">
            <v>0</v>
          </cell>
        </row>
        <row r="27">
          <cell r="C27" t="str">
            <v>PKB-Mobil Barang/Beban-Pick Up Box</v>
          </cell>
          <cell r="D27">
            <v>0</v>
          </cell>
        </row>
        <row r="28">
          <cell r="C28" t="str">
            <v>PKB-Sepeda Motor-Sepeda Motor Roda Tiga Penumpang</v>
          </cell>
          <cell r="D28">
            <v>0</v>
          </cell>
        </row>
        <row r="29">
          <cell r="C29" t="str">
            <v>Bea Balik Nama Kendaraan Bermotor (BBNKB)</v>
          </cell>
          <cell r="D29">
            <v>0</v>
          </cell>
        </row>
        <row r="30">
          <cell r="C30" t="str">
            <v>BBNKB-Mobil Penumpang-Sedan</v>
          </cell>
          <cell r="D30">
            <v>0</v>
          </cell>
        </row>
        <row r="31">
          <cell r="C31" t="str">
            <v>BBNKB-Mobil Penumpang-Jeep</v>
          </cell>
          <cell r="D31">
            <v>0</v>
          </cell>
        </row>
        <row r="32">
          <cell r="C32" t="str">
            <v>BBNKB-Mobil Penumpang-Minibus</v>
          </cell>
          <cell r="D32">
            <v>0</v>
          </cell>
        </row>
        <row r="33">
          <cell r="C33" t="str">
            <v>BBNKB-Mobil Bus-Microbus</v>
          </cell>
          <cell r="D33">
            <v>0</v>
          </cell>
        </row>
        <row r="34">
          <cell r="C34" t="str">
            <v>BBNKB-Mobil Bus-Bus</v>
          </cell>
          <cell r="D34">
            <v>0</v>
          </cell>
        </row>
        <row r="35">
          <cell r="C35" t="str">
            <v>BBNKB-Mobil Barang/Beban-Pick Up</v>
          </cell>
          <cell r="D35">
            <v>0</v>
          </cell>
        </row>
        <row r="36">
          <cell r="C36" t="str">
            <v>BBNKB-Mobil Barang/Beban-Light Truck</v>
          </cell>
          <cell r="D36">
            <v>0</v>
          </cell>
        </row>
        <row r="37">
          <cell r="C37" t="str">
            <v>BBNKB-Mobil Barang/Beban-Truck</v>
          </cell>
          <cell r="D37">
            <v>0</v>
          </cell>
        </row>
        <row r="38">
          <cell r="C38" t="str">
            <v>BBNKB-Mobil Barang/Beban-Blind Van</v>
          </cell>
          <cell r="D38">
            <v>0</v>
          </cell>
        </row>
        <row r="39">
          <cell r="C39" t="str">
            <v>BBNKB-Sepeda Motor-Sepeda Motor Roda Dua</v>
          </cell>
          <cell r="D39">
            <v>0</v>
          </cell>
        </row>
        <row r="40">
          <cell r="C40" t="str">
            <v>BBNKB-Sepeda Motor-Sepeda Motor Roda Tiga</v>
          </cell>
          <cell r="D40">
            <v>0</v>
          </cell>
        </row>
        <row r="41">
          <cell r="C41" t="str">
            <v>BBNKB-Kendaraan Bermotor yang Dioperasikan di Air</v>
          </cell>
          <cell r="D41">
            <v>0</v>
          </cell>
        </row>
        <row r="42">
          <cell r="C42" t="str">
            <v>BBNKB-Kendaraan Khusus Alat Berat</v>
          </cell>
          <cell r="D42">
            <v>0</v>
          </cell>
        </row>
        <row r="43">
          <cell r="C43" t="str">
            <v>BBNKB-Mobil Roda Tiga</v>
          </cell>
          <cell r="D43">
            <v>0</v>
          </cell>
        </row>
        <row r="44">
          <cell r="C44" t="str">
            <v>BBNKB-Mobil Penumpang-Roda Tiga</v>
          </cell>
          <cell r="D44">
            <v>0</v>
          </cell>
        </row>
        <row r="45">
          <cell r="C45" t="str">
            <v>BBNKB-Mobil Barang-Roda Tiga</v>
          </cell>
          <cell r="D45">
            <v>0</v>
          </cell>
        </row>
        <row r="46">
          <cell r="C46" t="str">
            <v>BBNKB-Mobil Barang/Beban-Pick Up Box</v>
          </cell>
          <cell r="D46">
            <v>0</v>
          </cell>
        </row>
        <row r="47">
          <cell r="C47" t="str">
            <v>BBNKB-Sepeda Motor-Sepeda Motor Roda Tiga Penumpang</v>
          </cell>
          <cell r="D47">
            <v>0</v>
          </cell>
        </row>
        <row r="48">
          <cell r="C48" t="str">
            <v>Pajak Bahan Bakar Kendaraan Bermotor (PBBKB)</v>
          </cell>
          <cell r="D48">
            <v>0</v>
          </cell>
        </row>
        <row r="49">
          <cell r="C49" t="str">
            <v>PBBKB-Bahan Bakar Bensin</v>
          </cell>
          <cell r="D49">
            <v>0</v>
          </cell>
        </row>
        <row r="50">
          <cell r="C50" t="str">
            <v>PBBKB-Bahan Bakar Solar</v>
          </cell>
          <cell r="D50">
            <v>0</v>
          </cell>
        </row>
        <row r="51">
          <cell r="C51" t="str">
            <v>PBBKB-Bahan Bakar Gas</v>
          </cell>
          <cell r="D51">
            <v>0</v>
          </cell>
        </row>
        <row r="52">
          <cell r="C52" t="str">
            <v>PBBKB-Bahan Bakar Lainnya</v>
          </cell>
          <cell r="D52">
            <v>0</v>
          </cell>
        </row>
        <row r="53">
          <cell r="C53" t="str">
            <v>Pajak Air Permukaan</v>
          </cell>
          <cell r="D53">
            <v>0</v>
          </cell>
        </row>
        <row r="54">
          <cell r="C54" t="str">
            <v>Pajak Air Permukaan</v>
          </cell>
          <cell r="D54">
            <v>0</v>
          </cell>
        </row>
        <row r="55">
          <cell r="C55" t="str">
            <v>Pajak Rokok</v>
          </cell>
          <cell r="D55">
            <v>0</v>
          </cell>
        </row>
        <row r="56">
          <cell r="C56" t="str">
            <v>Pajak Rokok</v>
          </cell>
          <cell r="D56">
            <v>0</v>
          </cell>
        </row>
        <row r="57">
          <cell r="C57" t="str">
            <v>Pajak Hotel</v>
          </cell>
          <cell r="D57">
            <v>0</v>
          </cell>
        </row>
        <row r="58">
          <cell r="C58" t="str">
            <v>Pajak Hotel</v>
          </cell>
          <cell r="D58">
            <v>0</v>
          </cell>
        </row>
        <row r="59">
          <cell r="C59" t="str">
            <v>Pajak Motel</v>
          </cell>
          <cell r="D59">
            <v>0</v>
          </cell>
        </row>
        <row r="60">
          <cell r="C60" t="str">
            <v>Pajak Losmen</v>
          </cell>
          <cell r="D60">
            <v>0</v>
          </cell>
        </row>
        <row r="61">
          <cell r="C61" t="str">
            <v>Pajak Gubuk Pariwisata</v>
          </cell>
          <cell r="D61">
            <v>0</v>
          </cell>
        </row>
        <row r="62">
          <cell r="C62" t="str">
            <v>Pajak Wisma Pariwisata</v>
          </cell>
          <cell r="D62">
            <v>0</v>
          </cell>
        </row>
        <row r="63">
          <cell r="C63" t="str">
            <v>Pajak Pesanggrahan</v>
          </cell>
          <cell r="D63">
            <v>0</v>
          </cell>
        </row>
        <row r="64">
          <cell r="C64" t="str">
            <v>Pajak Rumah Penginapan dan Sejenisnya</v>
          </cell>
          <cell r="D64">
            <v>0</v>
          </cell>
        </row>
        <row r="65">
          <cell r="C65" t="str">
            <v>Pajak Rumah Kos dengan Jumlah Kamar Lebih dari 10 (Sepuluh)</v>
          </cell>
          <cell r="D65">
            <v>0</v>
          </cell>
        </row>
        <row r="66">
          <cell r="C66" t="str">
            <v>Pajak Restoran</v>
          </cell>
          <cell r="D66">
            <v>0</v>
          </cell>
        </row>
        <row r="67">
          <cell r="C67" t="str">
            <v>Pajak Restoran dan Sejenisnya</v>
          </cell>
          <cell r="D67">
            <v>0</v>
          </cell>
        </row>
        <row r="68">
          <cell r="C68" t="str">
            <v>Pajak Rumah Makan dan Sejenisnya</v>
          </cell>
          <cell r="D68">
            <v>0</v>
          </cell>
        </row>
        <row r="69">
          <cell r="C69" t="str">
            <v>Pajak Kafetaria dan Sejenisnya</v>
          </cell>
          <cell r="D69">
            <v>0</v>
          </cell>
        </row>
        <row r="70">
          <cell r="C70" t="str">
            <v>Pajak Kantin dan Sejenisnya</v>
          </cell>
          <cell r="D70">
            <v>0</v>
          </cell>
        </row>
        <row r="71">
          <cell r="C71" t="str">
            <v>Pajak Warung dan Sejenisnya</v>
          </cell>
          <cell r="D71">
            <v>0</v>
          </cell>
        </row>
        <row r="72">
          <cell r="C72" t="str">
            <v>Pajak Bar dan Sejenisnya</v>
          </cell>
          <cell r="D72">
            <v>0</v>
          </cell>
        </row>
        <row r="73">
          <cell r="C73" t="str">
            <v>Pajak Jasa Boga/Katering dan Sejenisnya</v>
          </cell>
          <cell r="D73">
            <v>0</v>
          </cell>
        </row>
        <row r="74">
          <cell r="C74" t="str">
            <v>Pajak Hiburan</v>
          </cell>
          <cell r="D74">
            <v>0</v>
          </cell>
        </row>
        <row r="75">
          <cell r="C75" t="str">
            <v>Pajak Tontonan Film</v>
          </cell>
          <cell r="D75">
            <v>0</v>
          </cell>
        </row>
        <row r="76">
          <cell r="C76" t="str">
            <v>Pajak Pagelaran Kesenian/Musik/Tari/Busana</v>
          </cell>
          <cell r="D76">
            <v>0</v>
          </cell>
        </row>
        <row r="77">
          <cell r="C77" t="str">
            <v>Pajak Kontes Kecantikan, Binaraga, dan Sejenisnya</v>
          </cell>
          <cell r="D77">
            <v>0</v>
          </cell>
        </row>
        <row r="78">
          <cell r="C78" t="str">
            <v>Pajak Pameran</v>
          </cell>
          <cell r="D78">
            <v>0</v>
          </cell>
        </row>
        <row r="79">
          <cell r="C79" t="str">
            <v>Pajak Diskotik, Karaoke, Klub Malam, dan Sejenisnya</v>
          </cell>
          <cell r="D79">
            <v>0</v>
          </cell>
        </row>
        <row r="80">
          <cell r="C80" t="str">
            <v>Pajak Sirkus/Akrobat/Sulap</v>
          </cell>
          <cell r="D80">
            <v>0</v>
          </cell>
        </row>
        <row r="81">
          <cell r="C81" t="str">
            <v>Pajak Permainan Biliar dan Bowling</v>
          </cell>
          <cell r="D81">
            <v>0</v>
          </cell>
        </row>
        <row r="82">
          <cell r="C82" t="str">
            <v>Pajak Pacuan Kuda, Kendaraan Bermotor, dan Permainan Ketangkasan</v>
          </cell>
          <cell r="D82">
            <v>0</v>
          </cell>
        </row>
        <row r="83">
          <cell r="C83" t="str">
            <v>Pajak Panti Pijat, Refleksi, Mandi Uap/Spa dan Pusat Kebugaran (Fitness Center)</v>
          </cell>
          <cell r="D83">
            <v>0</v>
          </cell>
        </row>
        <row r="84">
          <cell r="C84" t="str">
            <v>Pajak Pertandingan Olahraga</v>
          </cell>
          <cell r="D84">
            <v>0</v>
          </cell>
        </row>
        <row r="85">
          <cell r="C85" t="str">
            <v>Pajak Reklame</v>
          </cell>
          <cell r="D85">
            <v>700000000</v>
          </cell>
        </row>
        <row r="86">
          <cell r="C86" t="str">
            <v>Pajak Reklame Papan/Billboard/Videotron/Megatron</v>
          </cell>
          <cell r="D86">
            <v>700000000</v>
          </cell>
        </row>
        <row r="87">
          <cell r="C87" t="str">
            <v>Pajak Reklame Kain</v>
          </cell>
          <cell r="D87">
            <v>0</v>
          </cell>
        </row>
        <row r="88">
          <cell r="C88" t="str">
            <v>Pajak Reklame Melekat/Stiker</v>
          </cell>
          <cell r="D88">
            <v>0</v>
          </cell>
        </row>
        <row r="89">
          <cell r="C89" t="str">
            <v>Pajak Reklame Selebaran</v>
          </cell>
          <cell r="D89">
            <v>0</v>
          </cell>
        </row>
        <row r="90">
          <cell r="C90" t="str">
            <v>Pajak Reklame Berjalan</v>
          </cell>
          <cell r="D90">
            <v>0</v>
          </cell>
        </row>
        <row r="91">
          <cell r="C91" t="str">
            <v>Pajak Reklame Udara</v>
          </cell>
          <cell r="D91">
            <v>0</v>
          </cell>
        </row>
        <row r="92">
          <cell r="C92" t="str">
            <v>Pajak Reklame Apung</v>
          </cell>
          <cell r="D92">
            <v>0</v>
          </cell>
        </row>
        <row r="93">
          <cell r="C93" t="str">
            <v>Pajak Reklame Suara</v>
          </cell>
          <cell r="D93">
            <v>0</v>
          </cell>
        </row>
        <row r="94">
          <cell r="C94" t="str">
            <v>Pajak Reklame Film/Slide</v>
          </cell>
          <cell r="D94">
            <v>0</v>
          </cell>
        </row>
        <row r="95">
          <cell r="C95" t="str">
            <v>Pajak Reklame Peragaan</v>
          </cell>
          <cell r="D95">
            <v>0</v>
          </cell>
        </row>
        <row r="96">
          <cell r="C96" t="str">
            <v>Pajak Penerangan Jalan</v>
          </cell>
          <cell r="D96">
            <v>0</v>
          </cell>
        </row>
        <row r="97">
          <cell r="C97" t="str">
            <v>Pajak Penerangan Jalan Dihasilkan Sendiri</v>
          </cell>
          <cell r="D97">
            <v>0</v>
          </cell>
        </row>
        <row r="98">
          <cell r="C98" t="str">
            <v>Pajak Penerangan Jalan Sumber Lain</v>
          </cell>
          <cell r="D98">
            <v>0</v>
          </cell>
        </row>
        <row r="99">
          <cell r="C99" t="str">
            <v>Pajak Parkir</v>
          </cell>
          <cell r="D99">
            <v>100000000</v>
          </cell>
        </row>
        <row r="100">
          <cell r="C100" t="str">
            <v>Pajak Parkir</v>
          </cell>
          <cell r="D100">
            <v>100000000</v>
          </cell>
        </row>
        <row r="101">
          <cell r="C101" t="str">
            <v>Pajak Air Tanah</v>
          </cell>
          <cell r="D101">
            <v>4000000000</v>
          </cell>
        </row>
        <row r="102">
          <cell r="C102" t="str">
            <v>Pajak Air Tanah</v>
          </cell>
          <cell r="D102">
            <v>4000000000</v>
          </cell>
        </row>
        <row r="103">
          <cell r="C103" t="str">
            <v>Pajak Sarang Burung Walet</v>
          </cell>
          <cell r="D103">
            <v>10000000</v>
          </cell>
        </row>
        <row r="104">
          <cell r="C104" t="str">
            <v>Pajak Sarang Burung Walet</v>
          </cell>
          <cell r="D104">
            <v>10000000</v>
          </cell>
        </row>
        <row r="105">
          <cell r="C105" t="str">
            <v>Pajak Mineral Bukan Logam dan Batuan</v>
          </cell>
          <cell r="D105">
            <v>11000000000</v>
          </cell>
        </row>
        <row r="106">
          <cell r="C106" t="str">
            <v>Pajak Asbes</v>
          </cell>
          <cell r="D106">
            <v>0</v>
          </cell>
        </row>
        <row r="107">
          <cell r="C107" t="str">
            <v>Pajak Batu Tulis</v>
          </cell>
          <cell r="D107">
            <v>0</v>
          </cell>
        </row>
        <row r="108">
          <cell r="C108" t="str">
            <v>Pajak Batu Setengah Permata</v>
          </cell>
          <cell r="D108">
            <v>0</v>
          </cell>
        </row>
        <row r="109">
          <cell r="C109" t="str">
            <v>Pajak Batu Kapur</v>
          </cell>
          <cell r="D109">
            <v>0</v>
          </cell>
        </row>
        <row r="110">
          <cell r="C110" t="str">
            <v>Pajak Batu Apung</v>
          </cell>
          <cell r="D110">
            <v>0</v>
          </cell>
        </row>
        <row r="111">
          <cell r="C111" t="str">
            <v>Pajak Batu Permata</v>
          </cell>
          <cell r="D111">
            <v>0</v>
          </cell>
        </row>
        <row r="112">
          <cell r="C112" t="str">
            <v>Pajak Bentonit</v>
          </cell>
          <cell r="D112">
            <v>0</v>
          </cell>
        </row>
        <row r="113">
          <cell r="C113" t="str">
            <v>Pajak Dolomit</v>
          </cell>
          <cell r="D113">
            <v>0</v>
          </cell>
        </row>
        <row r="114">
          <cell r="C114" t="str">
            <v>Pajak Felspar</v>
          </cell>
          <cell r="D114">
            <v>0</v>
          </cell>
        </row>
        <row r="115">
          <cell r="C115" t="str">
            <v>Pajak Garam Batu (Halite)</v>
          </cell>
          <cell r="D115">
            <v>0</v>
          </cell>
        </row>
        <row r="116">
          <cell r="C116" t="str">
            <v>Pajak Grafit</v>
          </cell>
          <cell r="D116">
            <v>0</v>
          </cell>
        </row>
        <row r="117">
          <cell r="C117" t="str">
            <v>Pajak Granit/Andesit</v>
          </cell>
          <cell r="D117">
            <v>0</v>
          </cell>
        </row>
        <row r="118">
          <cell r="C118" t="str">
            <v>Pajak Gips</v>
          </cell>
          <cell r="D118">
            <v>0</v>
          </cell>
        </row>
        <row r="119">
          <cell r="C119" t="str">
            <v>Pajak Kalsit</v>
          </cell>
          <cell r="D119">
            <v>0</v>
          </cell>
        </row>
        <row r="120">
          <cell r="C120" t="str">
            <v>Pajak Kaolin</v>
          </cell>
          <cell r="D120">
            <v>0</v>
          </cell>
        </row>
        <row r="121">
          <cell r="C121" t="str">
            <v>Pajak Leusit</v>
          </cell>
          <cell r="D121">
            <v>0</v>
          </cell>
        </row>
        <row r="122">
          <cell r="C122" t="str">
            <v>Pajak Magnesit</v>
          </cell>
          <cell r="D122">
            <v>0</v>
          </cell>
        </row>
        <row r="123">
          <cell r="C123" t="str">
            <v>Pajak Mika</v>
          </cell>
          <cell r="D123">
            <v>0</v>
          </cell>
        </row>
        <row r="124">
          <cell r="C124" t="str">
            <v>Pajak Marmer</v>
          </cell>
          <cell r="D124">
            <v>0</v>
          </cell>
        </row>
        <row r="125">
          <cell r="C125" t="str">
            <v>Pajak Nitrat</v>
          </cell>
          <cell r="D125">
            <v>0</v>
          </cell>
        </row>
        <row r="126">
          <cell r="C126" t="str">
            <v>Pajak Opsidien</v>
          </cell>
          <cell r="D126">
            <v>0</v>
          </cell>
        </row>
        <row r="127">
          <cell r="C127" t="str">
            <v>Pajak Oker</v>
          </cell>
          <cell r="D127">
            <v>0</v>
          </cell>
        </row>
        <row r="128">
          <cell r="C128" t="str">
            <v>Pajak Pasir dan Kerikil</v>
          </cell>
          <cell r="D128">
            <v>0</v>
          </cell>
        </row>
        <row r="129">
          <cell r="C129" t="str">
            <v>Pajak Pasir Kuarsa</v>
          </cell>
          <cell r="D129">
            <v>0</v>
          </cell>
        </row>
        <row r="130">
          <cell r="C130" t="str">
            <v>Pajak Perlit</v>
          </cell>
          <cell r="D130">
            <v>0</v>
          </cell>
        </row>
        <row r="131">
          <cell r="C131" t="str">
            <v>Pajak Phospat</v>
          </cell>
          <cell r="D131">
            <v>0</v>
          </cell>
        </row>
        <row r="132">
          <cell r="C132" t="str">
            <v>Pajak Talk</v>
          </cell>
          <cell r="D132">
            <v>0</v>
          </cell>
        </row>
        <row r="133">
          <cell r="C133" t="str">
            <v>Pajak Tanah Serap (Fullers Earth)</v>
          </cell>
          <cell r="D133">
            <v>0</v>
          </cell>
        </row>
        <row r="134">
          <cell r="C134" t="str">
            <v>Pajak Tanah Diatome</v>
          </cell>
          <cell r="D134">
            <v>0</v>
          </cell>
        </row>
        <row r="135">
          <cell r="C135" t="str">
            <v>Pajak Tanah Liat</v>
          </cell>
          <cell r="D135">
            <v>0</v>
          </cell>
        </row>
        <row r="136">
          <cell r="C136" t="str">
            <v>Pajak Tawas (Alum)</v>
          </cell>
          <cell r="D136">
            <v>0</v>
          </cell>
        </row>
        <row r="137">
          <cell r="C137" t="str">
            <v>Pajak Tras</v>
          </cell>
          <cell r="D137">
            <v>0</v>
          </cell>
        </row>
        <row r="138">
          <cell r="C138" t="str">
            <v>Pajak Yarosif</v>
          </cell>
          <cell r="D138">
            <v>0</v>
          </cell>
        </row>
        <row r="139">
          <cell r="C139" t="str">
            <v>Pajak Zeolit</v>
          </cell>
          <cell r="D139">
            <v>0</v>
          </cell>
        </row>
        <row r="140">
          <cell r="C140" t="str">
            <v>Pajak Basal</v>
          </cell>
          <cell r="D140">
            <v>0</v>
          </cell>
        </row>
        <row r="141">
          <cell r="C141" t="str">
            <v>Pajak Trakit</v>
          </cell>
          <cell r="D141">
            <v>0</v>
          </cell>
        </row>
        <row r="142">
          <cell r="C142" t="str">
            <v>Pajak Mineral bukan Logam dan Batuan Lainnya</v>
          </cell>
          <cell r="D142">
            <v>11000000000</v>
          </cell>
        </row>
        <row r="143">
          <cell r="C143" t="str">
            <v>Pajak Belerang</v>
          </cell>
          <cell r="D143">
            <v>0</v>
          </cell>
        </row>
        <row r="144">
          <cell r="C144" t="str">
            <v>Pajak MBLB Ikutan Dalam Suatu Pertambangan Mineral</v>
          </cell>
          <cell r="D144">
            <v>0</v>
          </cell>
        </row>
        <row r="145">
          <cell r="C145" t="str">
            <v>Pajak Bumi dan Bangunan Perdesaan dan Perkotaan (PBBP2)</v>
          </cell>
          <cell r="D145">
            <v>1000000000</v>
          </cell>
        </row>
        <row r="146">
          <cell r="C146" t="str">
            <v>PBBP2</v>
          </cell>
          <cell r="D146">
            <v>1000000000</v>
          </cell>
        </row>
        <row r="147">
          <cell r="C147" t="str">
            <v>Bea Perolehan Hak Atas Tanah dan Bangunan (BPHTB)</v>
          </cell>
          <cell r="D147">
            <v>13000000000</v>
          </cell>
        </row>
        <row r="148">
          <cell r="C148" t="str">
            <v>BPHTB-Pemindahan Hak</v>
          </cell>
          <cell r="D148">
            <v>13000000000</v>
          </cell>
        </row>
        <row r="149">
          <cell r="C149" t="str">
            <v>BPHTB-Pemberian Hak Baru</v>
          </cell>
          <cell r="D149">
            <v>0</v>
          </cell>
        </row>
        <row r="150">
          <cell r="C150" t="str">
            <v>Pajak Alat Berat</v>
          </cell>
          <cell r="D150">
            <v>0</v>
          </cell>
        </row>
        <row r="151">
          <cell r="C151" t="str">
            <v>Pajak Alat Berat</v>
          </cell>
          <cell r="D151">
            <v>0</v>
          </cell>
        </row>
        <row r="152">
          <cell r="C152" t="str">
            <v>Opsen Pajak Mineral Bukan Logam dan Batuan (MBLB)</v>
          </cell>
          <cell r="D152">
            <v>0</v>
          </cell>
        </row>
        <row r="153">
          <cell r="C153" t="str">
            <v>Opsen Pajak Mineral Bukan Logam dan Batuan (MBLB)</v>
          </cell>
          <cell r="D153">
            <v>0</v>
          </cell>
        </row>
        <row r="154">
          <cell r="C154" t="str">
            <v>Pajak Barang dan Jasa Tertentu (PBJT)</v>
          </cell>
          <cell r="D154">
            <v>47713000000</v>
          </cell>
        </row>
        <row r="155">
          <cell r="C155" t="str">
            <v>PBJT-Makanan dan/atau Minuman</v>
          </cell>
          <cell r="D155">
            <v>20000000000</v>
          </cell>
        </row>
        <row r="156">
          <cell r="C156" t="str">
            <v>PBJT-Tenaga Listrik</v>
          </cell>
          <cell r="D156">
            <v>24000000000</v>
          </cell>
        </row>
        <row r="157">
          <cell r="C157" t="str">
            <v>PBJT-Jasa Perhotelan</v>
          </cell>
          <cell r="D157">
            <v>3700000000</v>
          </cell>
        </row>
        <row r="158">
          <cell r="C158" t="str">
            <v>PBJT-Jasa Parkir</v>
          </cell>
          <cell r="D158">
            <v>0</v>
          </cell>
        </row>
        <row r="159">
          <cell r="C159" t="str">
            <v>PBJT-Jasa Kesenian dan Hiburan</v>
          </cell>
          <cell r="D159">
            <v>13000000</v>
          </cell>
        </row>
        <row r="160">
          <cell r="C160" t="str">
            <v>Opsen Pajak Kendaraan Bermotor (PKB)</v>
          </cell>
          <cell r="D160">
            <v>8000000000</v>
          </cell>
        </row>
        <row r="161">
          <cell r="C161" t="str">
            <v>Opsen PKB</v>
          </cell>
          <cell r="D161">
            <v>8000000000</v>
          </cell>
        </row>
        <row r="162">
          <cell r="C162" t="str">
            <v>Opsen Bea Balik Nama Kendaraan Bermotor (BBNKB)</v>
          </cell>
          <cell r="D162">
            <v>6000000000</v>
          </cell>
        </row>
        <row r="163">
          <cell r="C163" t="str">
            <v>Opsen BBNKB</v>
          </cell>
          <cell r="D163">
            <v>6000000000</v>
          </cell>
        </row>
        <row r="164">
          <cell r="C164" t="str">
            <v>Retribusi Daerah</v>
          </cell>
          <cell r="D164">
            <v>8100424000</v>
          </cell>
        </row>
        <row r="165">
          <cell r="C165" t="str">
            <v>Retribusi Jasa Umum</v>
          </cell>
          <cell r="D165">
            <v>2925424000</v>
          </cell>
        </row>
        <row r="166">
          <cell r="C166" t="str">
            <v>Retribusi Pelayanan Kesehatan</v>
          </cell>
          <cell r="D166">
            <v>2725424000</v>
          </cell>
        </row>
        <row r="167">
          <cell r="C167" t="str">
            <v>Retribusi Pelayanan Persampahan/Kebersihan</v>
          </cell>
          <cell r="D167">
            <v>50000000</v>
          </cell>
        </row>
        <row r="168">
          <cell r="C168" t="str">
            <v>Retribusi Pelayanan Pemakaman dan Pengabuan Mayat</v>
          </cell>
          <cell r="D168">
            <v>0</v>
          </cell>
        </row>
        <row r="169">
          <cell r="C169" t="str">
            <v>Retribusi Pelayanan Parkir di Tepi Jalan Umum</v>
          </cell>
          <cell r="D169">
            <v>50000000</v>
          </cell>
        </row>
        <row r="170">
          <cell r="C170" t="str">
            <v>Retribusi Pelayanan Pasar</v>
          </cell>
          <cell r="D170">
            <v>0</v>
          </cell>
        </row>
        <row r="171">
          <cell r="C171" t="str">
            <v>Retribusi Pengujian Kendaraan Bermotor</v>
          </cell>
          <cell r="D171">
            <v>0</v>
          </cell>
        </row>
        <row r="172">
          <cell r="C172" t="str">
            <v>Retribusi Pemeriksaan Alat Pemadam Kebakaran</v>
          </cell>
          <cell r="D172">
            <v>0</v>
          </cell>
        </row>
        <row r="173">
          <cell r="C173" t="str">
            <v>Retribusi Penggantian Biaya Cetak Peta</v>
          </cell>
          <cell r="D173">
            <v>0</v>
          </cell>
        </row>
        <row r="174">
          <cell r="C174" t="str">
            <v>Retribusi Penyediaan dan/atau Penyedotan Kakus</v>
          </cell>
          <cell r="D174">
            <v>0</v>
          </cell>
        </row>
        <row r="175">
          <cell r="C175" t="str">
            <v>Retribusi Pengolahan Limbah Cair</v>
          </cell>
          <cell r="D175">
            <v>0</v>
          </cell>
        </row>
        <row r="176">
          <cell r="C176" t="str">
            <v>Retribusi Pelayanan Tera/Tera Ulang</v>
          </cell>
          <cell r="D176">
            <v>0</v>
          </cell>
        </row>
        <row r="177">
          <cell r="C177" t="str">
            <v>Retribusi Pelayanan Pendidikan</v>
          </cell>
          <cell r="D177">
            <v>0</v>
          </cell>
        </row>
        <row r="178">
          <cell r="C178" t="str">
            <v>Retribusi Pengawasan dan Pengendalian Menara Telekomunikasi</v>
          </cell>
          <cell r="D178">
            <v>0</v>
          </cell>
        </row>
        <row r="179">
          <cell r="C179" t="str">
            <v>Retribusi Pelayanan Kebersihan</v>
          </cell>
          <cell r="D179">
            <v>100000000</v>
          </cell>
        </row>
        <row r="180">
          <cell r="C180" t="str">
            <v>Retribusi Pengendalian Lalu Lintas</v>
          </cell>
          <cell r="D180">
            <v>0</v>
          </cell>
        </row>
        <row r="181">
          <cell r="C181" t="str">
            <v>Retribusi Jasa Usaha</v>
          </cell>
          <cell r="D181">
            <v>1975000000</v>
          </cell>
        </row>
        <row r="182">
          <cell r="C182" t="str">
            <v>Retribusi Pemakaian Kekayaan Daerah</v>
          </cell>
          <cell r="D182">
            <v>1150000000</v>
          </cell>
        </row>
        <row r="183">
          <cell r="C183" t="str">
            <v>Retribusi Pasar Grosir dan/atau Pertokoan</v>
          </cell>
          <cell r="D183">
            <v>600000000</v>
          </cell>
        </row>
        <row r="184">
          <cell r="C184" t="str">
            <v>Retribusi Tempat Pelelangan</v>
          </cell>
          <cell r="D184">
            <v>0</v>
          </cell>
        </row>
        <row r="185">
          <cell r="C185" t="str">
            <v>Retribusi Terminal</v>
          </cell>
          <cell r="D185">
            <v>0</v>
          </cell>
        </row>
        <row r="186">
          <cell r="C186" t="str">
            <v>Retribusi Tempat Khusus Parkir</v>
          </cell>
          <cell r="D186">
            <v>0</v>
          </cell>
        </row>
        <row r="187">
          <cell r="C187" t="str">
            <v>Retribusi Tempat Penginapan/Pesanggrahan/Vila</v>
          </cell>
          <cell r="D187">
            <v>0</v>
          </cell>
        </row>
        <row r="188">
          <cell r="C188" t="str">
            <v>Retribusi Rumah Potong Hewan</v>
          </cell>
          <cell r="D188">
            <v>100000000</v>
          </cell>
        </row>
        <row r="189">
          <cell r="C189" t="str">
            <v>Retribusi Pelayanan Kepelabuhanan</v>
          </cell>
          <cell r="D189">
            <v>25000000</v>
          </cell>
        </row>
        <row r="190">
          <cell r="C190" t="str">
            <v>Retribusi Tempat Rekreasi dan Olahraga</v>
          </cell>
          <cell r="D190">
            <v>0</v>
          </cell>
        </row>
        <row r="191">
          <cell r="C191" t="str">
            <v>Retribusi Penyeberangan di Air</v>
          </cell>
          <cell r="D191">
            <v>0</v>
          </cell>
        </row>
        <row r="192">
          <cell r="C192" t="str">
            <v>Retribusi Penjualan Produksi Usaha Daerah</v>
          </cell>
          <cell r="D192">
            <v>100000000</v>
          </cell>
        </row>
        <row r="193">
          <cell r="C193" t="str">
            <v>Retribusi Penyediaan Tempat Kegiatan Usaha berupa Pasar, Grosir, Pertokoan, dan Tempat Kegiatan Usaha Lainnya</v>
          </cell>
          <cell r="D193">
            <v>0</v>
          </cell>
        </row>
        <row r="194">
          <cell r="C194" t="str">
            <v>Retribusi Penyediaan Tempat Pelelangan Ikan, Ternak, Hasil Bumi, dan Hasil Hutan Termasuk Fasilitas Lainnya dalam Lingkungan Tempat Pelelangan</v>
          </cell>
          <cell r="D194">
            <v>0</v>
          </cell>
        </row>
        <row r="195">
          <cell r="C195" t="str">
            <v>Retribusi Penyediaan Tempat Khusus Parkir Diluar Badan Jalan</v>
          </cell>
          <cell r="D195">
            <v>0</v>
          </cell>
        </row>
        <row r="196">
          <cell r="C196" t="str">
            <v>Retribusi Pelayanan Rumah Pemotongan Hewan Ternak</v>
          </cell>
          <cell r="D196">
            <v>0</v>
          </cell>
        </row>
        <row r="197">
          <cell r="C197" t="str">
            <v>Retribusi Pelayanan Jasa Kepelabuhanan</v>
          </cell>
          <cell r="D197">
            <v>0</v>
          </cell>
        </row>
        <row r="198">
          <cell r="C198" t="str">
            <v>Retribusi Pelayanan Tempat Rekreasi, Pariwisata, dan Olahraga</v>
          </cell>
          <cell r="D198">
            <v>0</v>
          </cell>
        </row>
        <row r="199">
          <cell r="C199" t="str">
            <v>Retribusi Pelayanan Penyeberangan Orang atau Barang dengan Menggunakan Kendaraan di Air</v>
          </cell>
          <cell r="D199">
            <v>0</v>
          </cell>
        </row>
        <row r="200">
          <cell r="C200" t="str">
            <v>Retribusi Penjualan Hasil Produksi Usaha Pemerintah Daerah</v>
          </cell>
          <cell r="D200">
            <v>0</v>
          </cell>
        </row>
        <row r="201">
          <cell r="C201" t="str">
            <v>Retribusi Pemanfaatan Aset Daerah</v>
          </cell>
          <cell r="D201">
            <v>0</v>
          </cell>
        </row>
        <row r="202">
          <cell r="C202" t="str">
            <v>Retribusi Perizinan Tertentu</v>
          </cell>
          <cell r="D202">
            <v>3200000000</v>
          </cell>
        </row>
        <row r="203">
          <cell r="C203" t="str">
            <v>Retribusi Izin Mendirikan Bangunan</v>
          </cell>
          <cell r="D203">
            <v>0</v>
          </cell>
        </row>
        <row r="204">
          <cell r="C204" t="str">
            <v>Retribusi Izin Tempat Penjualan Minuman Beralkohol</v>
          </cell>
          <cell r="D204">
            <v>0</v>
          </cell>
        </row>
        <row r="205">
          <cell r="C205" t="str">
            <v>Retribusi Izin Trayek untuk Menyediakan Pelayanan Angkutan Umum</v>
          </cell>
          <cell r="D205">
            <v>0</v>
          </cell>
        </row>
        <row r="206">
          <cell r="C206" t="str">
            <v>Retribusi Izin Usaha Perikanan</v>
          </cell>
          <cell r="D206">
            <v>0</v>
          </cell>
        </row>
        <row r="207">
          <cell r="C207" t="str">
            <v>Retribusi Pengendalian Lalu Lintas</v>
          </cell>
          <cell r="D207">
            <v>0</v>
          </cell>
        </row>
        <row r="208">
          <cell r="C208" t="str">
            <v>Retribusi Perpanjangan Izin Mempekerjakan Tenaga Kerja Asing (IMTA)</v>
          </cell>
          <cell r="D208">
            <v>0</v>
          </cell>
        </row>
        <row r="209">
          <cell r="C209" t="str">
            <v>Retribusi Persetujuan Bangunan Gedung</v>
          </cell>
          <cell r="D209">
            <v>200000000</v>
          </cell>
        </row>
        <row r="210">
          <cell r="C210" t="str">
            <v>Retribusi Penggunaan Tenaga Kerja Asing (TKA)</v>
          </cell>
          <cell r="D210">
            <v>3000000000</v>
          </cell>
        </row>
        <row r="211">
          <cell r="C211" t="str">
            <v>Retribusi Pertambangan Rakyat</v>
          </cell>
          <cell r="D211">
            <v>0</v>
          </cell>
        </row>
        <row r="212">
          <cell r="C212" t="str">
            <v>Hasil Pengelolaan Kekayaan Daerah yang Dipisahkan</v>
          </cell>
          <cell r="D212">
            <v>5870000000</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cell r="D214">
            <v>0</v>
          </cell>
        </row>
        <row r="215">
          <cell r="C215" t="str">
            <v>Bagian Laba yang Dibagikan kepada Pemerintah Daerah (Dividen) atas Penyertaan Modal pada BUMD</v>
          </cell>
          <cell r="D215">
            <v>5870000000</v>
          </cell>
        </row>
        <row r="216">
          <cell r="C216" t="str">
            <v>Bagian Laba yang Dibagikan kepada Pemerintah Daerah (Dividen) atas Penyertaan Modal pada BUMD (Lembaga Keuangan)</v>
          </cell>
          <cell r="D216">
            <v>5870000000</v>
          </cell>
        </row>
        <row r="217">
          <cell r="C217" t="str">
            <v>Bagian Laba yang Dibagikan kepada Pemerintah Daerah (Dividen) atas Penyertaan Modal pada BUMD (Aneka Usaha)</v>
          </cell>
          <cell r="D217">
            <v>0</v>
          </cell>
        </row>
        <row r="218">
          <cell r="C218" t="str">
            <v>Bagian Laba yang Dibagikan kepada Pemerintah Daerah (Dividen) atas Penyertaan Modal pada BUMD (Bidang Air Minum)</v>
          </cell>
          <cell r="D218">
            <v>0</v>
          </cell>
        </row>
        <row r="219">
          <cell r="C219" t="str">
            <v>Bagian Laba yang Dibagikan kepada Pemerintah Daerah (Dividen) atas Penyertaan Modal pada BUMD (Bidang Limbah)</v>
          </cell>
          <cell r="D219">
            <v>0</v>
          </cell>
        </row>
        <row r="220">
          <cell r="C220" t="str">
            <v>Bagian Laba yang Dibagikan kepada Pemerintah Daerah (Dividen) atas Penyertaan Modal pada BUMD (Bidang Sanitasi)</v>
          </cell>
          <cell r="D220">
            <v>0</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cell r="D222">
            <v>0</v>
          </cell>
        </row>
        <row r="223">
          <cell r="C223" t="str">
            <v>Lain-lain PAD yang Sah</v>
          </cell>
          <cell r="D223">
            <v>55108780724</v>
          </cell>
        </row>
        <row r="224">
          <cell r="C224" t="str">
            <v>Hasil Penjualan BMD yang Tidak Dipisahkan</v>
          </cell>
          <cell r="D224">
            <v>0</v>
          </cell>
        </row>
        <row r="225">
          <cell r="C225" t="str">
            <v>Hasil Penjualan Tanah</v>
          </cell>
          <cell r="D225">
            <v>0</v>
          </cell>
        </row>
        <row r="226">
          <cell r="C226" t="str">
            <v>Hasil Penjualan Peralatan dan Mesin</v>
          </cell>
          <cell r="D226">
            <v>0</v>
          </cell>
        </row>
        <row r="227">
          <cell r="C227" t="str">
            <v>Hasil Penjualan Gedung dan Bangunan</v>
          </cell>
          <cell r="D227">
            <v>0</v>
          </cell>
        </row>
        <row r="228">
          <cell r="C228" t="str">
            <v>Hasil Penjualan Jalan, Jaringan, dan Irigasi</v>
          </cell>
          <cell r="D228">
            <v>0</v>
          </cell>
        </row>
        <row r="229">
          <cell r="C229" t="str">
            <v>Hasil Penjualan Aset Tetap Lainnya</v>
          </cell>
          <cell r="D229">
            <v>0</v>
          </cell>
        </row>
        <row r="230">
          <cell r="C230" t="str">
            <v>Hasil Penjualan Aset Lainnya</v>
          </cell>
          <cell r="D230">
            <v>0</v>
          </cell>
        </row>
        <row r="231">
          <cell r="C231" t="str">
            <v>Hasil Penjualan Aset Tidak Berwujud</v>
          </cell>
          <cell r="D231">
            <v>0</v>
          </cell>
        </row>
        <row r="232">
          <cell r="C232" t="str">
            <v>Hasil Penjualan Aset Lain-Lain</v>
          </cell>
          <cell r="D232">
            <v>0</v>
          </cell>
        </row>
        <row r="233">
          <cell r="C233" t="str">
            <v>Hasil Selisih Lebih Tukar Menukar BMD yang Tidak Dipisahkan</v>
          </cell>
          <cell r="D233">
            <v>0</v>
          </cell>
        </row>
        <row r="234">
          <cell r="C234" t="str">
            <v>Hasil Selisih Lebih Tukar Menukar Tanah</v>
          </cell>
          <cell r="D234">
            <v>0</v>
          </cell>
        </row>
        <row r="235">
          <cell r="C235" t="str">
            <v>Hasil Selisih Lebih Tukar Menukar Peralatan dan Mesin</v>
          </cell>
          <cell r="D235">
            <v>0</v>
          </cell>
        </row>
        <row r="236">
          <cell r="C236" t="str">
            <v>Hasil Selisih Lebih Tukar Menukar Gedung dan Bangunan</v>
          </cell>
          <cell r="D236">
            <v>0</v>
          </cell>
        </row>
        <row r="237">
          <cell r="C237" t="str">
            <v>Hasil Selisih Lebih Tukar Menukar Jalan, Jaringan, dan Irigasi</v>
          </cell>
          <cell r="D237">
            <v>0</v>
          </cell>
        </row>
        <row r="238">
          <cell r="C238" t="str">
            <v>Hasil Selisih Lebih Tukar Menukar Aset Tetap Lainnya</v>
          </cell>
          <cell r="D238">
            <v>0</v>
          </cell>
        </row>
        <row r="239">
          <cell r="C239" t="str">
            <v>Hasil Selisih Lebih Tukar Menukar Aset Lainnya</v>
          </cell>
          <cell r="D239">
            <v>0</v>
          </cell>
        </row>
        <row r="240">
          <cell r="C240" t="str">
            <v>Hasil Selisih Lebih Tukar Menukar Aset Tidak Berwujud</v>
          </cell>
          <cell r="D240">
            <v>0</v>
          </cell>
        </row>
        <row r="241">
          <cell r="C241" t="str">
            <v>Hasil Selisih Lebih Tukar Menukar Aset Lain-Lain</v>
          </cell>
          <cell r="D241">
            <v>0</v>
          </cell>
        </row>
        <row r="242">
          <cell r="C242" t="str">
            <v>Hasil Pemanfaatan BMD yang Tidak Dipisahkan</v>
          </cell>
          <cell r="D242">
            <v>0</v>
          </cell>
        </row>
        <row r="243">
          <cell r="C243" t="str">
            <v>Hasil Sewa BMD</v>
          </cell>
          <cell r="D243">
            <v>0</v>
          </cell>
        </row>
        <row r="244">
          <cell r="C244" t="str">
            <v>Hasil Kerja Sama Pemanfaatan BMD</v>
          </cell>
          <cell r="D244">
            <v>0</v>
          </cell>
        </row>
        <row r="245">
          <cell r="C245" t="str">
            <v>Hasil dari Bangun Guna Serah</v>
          </cell>
          <cell r="D245">
            <v>0</v>
          </cell>
        </row>
        <row r="246">
          <cell r="C246" t="str">
            <v>Hasil dari Bangun Serah Guna</v>
          </cell>
          <cell r="D246">
            <v>0</v>
          </cell>
        </row>
        <row r="247">
          <cell r="C247" t="str">
            <v>Hasil dari Kerja Sama Penyediaan Infrastruktur</v>
          </cell>
          <cell r="D247">
            <v>0</v>
          </cell>
        </row>
        <row r="248">
          <cell r="C248" t="str">
            <v>Hasil Kerja Sama Daerah</v>
          </cell>
          <cell r="D248">
            <v>0</v>
          </cell>
        </row>
        <row r="249">
          <cell r="C249" t="str">
            <v>Hasil Kerja Sama Daerah</v>
          </cell>
          <cell r="D249">
            <v>0</v>
          </cell>
        </row>
        <row r="250">
          <cell r="C250" t="str">
            <v>Jasa Giro</v>
          </cell>
          <cell r="D250">
            <v>1650000000</v>
          </cell>
        </row>
        <row r="251">
          <cell r="C251" t="str">
            <v>Jasa Giro pada Kas Daerah</v>
          </cell>
          <cell r="D251">
            <v>1500000000</v>
          </cell>
        </row>
        <row r="252">
          <cell r="C252" t="str">
            <v>Jasa Giro pada Kas di Bendahara</v>
          </cell>
          <cell r="D252">
            <v>150000000</v>
          </cell>
        </row>
        <row r="253">
          <cell r="C253" t="str">
            <v>Jasa Giro pada Rekening Dana Cadangan</v>
          </cell>
          <cell r="D253">
            <v>0</v>
          </cell>
        </row>
        <row r="254">
          <cell r="C254" t="str">
            <v>Jasa Giro pada Rekening Dana BOS</v>
          </cell>
          <cell r="D254">
            <v>0</v>
          </cell>
        </row>
        <row r="255">
          <cell r="C255" t="str">
            <v>Jasa Giro Dana Kapitasi pada FKTP</v>
          </cell>
          <cell r="D255">
            <v>0</v>
          </cell>
        </row>
        <row r="256">
          <cell r="C256" t="str">
            <v>Pendapatan Jasa Giro pada Rekening Dana BOSP</v>
          </cell>
          <cell r="D256">
            <v>0</v>
          </cell>
        </row>
        <row r="257">
          <cell r="C257" t="str">
            <v>Pendapatan Jasa Giro pada Rekening Dana BOK Puskesmas</v>
          </cell>
          <cell r="D257">
            <v>0</v>
          </cell>
        </row>
        <row r="258">
          <cell r="C258" t="str">
            <v>Jasa Giro pada Rekening Kas Otonomi Khusus</v>
          </cell>
          <cell r="D258">
            <v>0</v>
          </cell>
        </row>
        <row r="259">
          <cell r="C259" t="str">
            <v>Jasa Giro pada Rekening Kas Dana Abadi Daerah</v>
          </cell>
          <cell r="D259">
            <v>0</v>
          </cell>
        </row>
        <row r="260">
          <cell r="C260" t="str">
            <v>Hasil Pengelolaan Dana Bergulir</v>
          </cell>
          <cell r="D260">
            <v>0</v>
          </cell>
        </row>
        <row r="261">
          <cell r="C261" t="str">
            <v>Hasil Pengelolaan Dana Bergulir</v>
          </cell>
          <cell r="D261">
            <v>0</v>
          </cell>
        </row>
        <row r="262">
          <cell r="C262" t="str">
            <v>Pendapatan Bunga</v>
          </cell>
          <cell r="D262">
            <v>1500000000</v>
          </cell>
        </row>
        <row r="263">
          <cell r="C263" t="str">
            <v>Pendapatan Bunga atas Penempatan Uang Pemerintah Daerah</v>
          </cell>
          <cell r="D263">
            <v>1500000000</v>
          </cell>
        </row>
        <row r="264">
          <cell r="C264" t="str">
            <v>Penerimaan atas Tuntutan Ganti Kerugian Keuangan Daerah</v>
          </cell>
          <cell r="D264">
            <v>2000000000</v>
          </cell>
        </row>
        <row r="265">
          <cell r="C265" t="str">
            <v>Tuntutan Ganti Kerugian Daerah terhadap Bendahara</v>
          </cell>
          <cell r="D265">
            <v>2000000000</v>
          </cell>
        </row>
        <row r="266">
          <cell r="C266" t="str">
            <v>Tuntutan Ganti Kerugian Daerah terhadap Pegawai Negeri Bukan Bendahara atau Pejabat Lain</v>
          </cell>
          <cell r="D266">
            <v>0</v>
          </cell>
        </row>
        <row r="267">
          <cell r="C267" t="str">
            <v>Penerimaan Komisi, Potongan, atau Bentuk Lain</v>
          </cell>
          <cell r="D267">
            <v>0</v>
          </cell>
        </row>
        <row r="268">
          <cell r="C268" t="str">
            <v>Penerimaan Komisi, Potongan, atau Bentuk Lain</v>
          </cell>
          <cell r="D268">
            <v>0</v>
          </cell>
        </row>
        <row r="269">
          <cell r="C269" t="str">
            <v>Penerimaan Keuntungan dari Selisih Nilai Tukar Rupiah terhadap Mata Uang Asing</v>
          </cell>
          <cell r="D269">
            <v>0</v>
          </cell>
        </row>
        <row r="270">
          <cell r="C270" t="str">
            <v>Penerimaan Keuntungan dari Selisih Nilai Tukar Rupiah terhadap Mata Uang Asing</v>
          </cell>
          <cell r="D270">
            <v>0</v>
          </cell>
        </row>
        <row r="271">
          <cell r="C271" t="str">
            <v>Pendapatan Denda atas Keterlambatan Pelaksanaan Pekerjaan</v>
          </cell>
          <cell r="D271">
            <v>0</v>
          </cell>
        </row>
        <row r="272">
          <cell r="C272" t="str">
            <v>Pendapatan Denda atas Keterlambatan Pelaksanaan Pekerjaan</v>
          </cell>
          <cell r="D272">
            <v>0</v>
          </cell>
        </row>
        <row r="273">
          <cell r="C273" t="str">
            <v>Pendapatan Denda Pajak Daerah</v>
          </cell>
          <cell r="D273">
            <v>0</v>
          </cell>
        </row>
        <row r="274">
          <cell r="C274" t="str">
            <v>Pendapatan Denda Pajak Kendaraan Bermotor (PKB)</v>
          </cell>
          <cell r="D274">
            <v>0</v>
          </cell>
        </row>
        <row r="275">
          <cell r="C275" t="str">
            <v>Pendapatan Denda Bea Balik Nama Kendaraan Bermotor (BBNKB)</v>
          </cell>
          <cell r="D275">
            <v>0</v>
          </cell>
        </row>
        <row r="276">
          <cell r="C276" t="str">
            <v>Pendapatan Denda Pajak Bahan Bakar Kendaraan Bermotor (PBBKB)</v>
          </cell>
          <cell r="D276">
            <v>0</v>
          </cell>
        </row>
        <row r="277">
          <cell r="C277" t="str">
            <v>Pendapatan Denda Pajak Air Permukaan</v>
          </cell>
          <cell r="D277">
            <v>0</v>
          </cell>
        </row>
        <row r="278">
          <cell r="C278" t="str">
            <v>Pendapatan Denda Pajak Rokok</v>
          </cell>
          <cell r="D278">
            <v>0</v>
          </cell>
        </row>
        <row r="279">
          <cell r="C279" t="str">
            <v>Pendapatan Denda Pajak Hotel</v>
          </cell>
          <cell r="D279">
            <v>0</v>
          </cell>
        </row>
        <row r="280">
          <cell r="C280" t="str">
            <v>Pendapatan Denda Pajak Restoran</v>
          </cell>
          <cell r="D280">
            <v>0</v>
          </cell>
        </row>
        <row r="281">
          <cell r="C281" t="str">
            <v>Pendapatan Denda Pajak Hiburan</v>
          </cell>
          <cell r="D281">
            <v>0</v>
          </cell>
        </row>
        <row r="282">
          <cell r="C282" t="str">
            <v>Pendapatan Denda Pajak Reklame</v>
          </cell>
          <cell r="D282">
            <v>0</v>
          </cell>
        </row>
        <row r="283">
          <cell r="C283" t="str">
            <v>Pendapatan Denda Pajak Penerangan Jalan</v>
          </cell>
          <cell r="D283">
            <v>0</v>
          </cell>
        </row>
        <row r="284">
          <cell r="C284" t="str">
            <v>Pendapatan Denda Pajak Parkir</v>
          </cell>
          <cell r="D284">
            <v>0</v>
          </cell>
        </row>
        <row r="285">
          <cell r="C285" t="str">
            <v>Pendapatan Denda Pajak Air Tanah</v>
          </cell>
          <cell r="D285">
            <v>0</v>
          </cell>
        </row>
        <row r="286">
          <cell r="C286" t="str">
            <v>Pendapatan Denda Pajak Sarang Burung Walet</v>
          </cell>
          <cell r="D286">
            <v>0</v>
          </cell>
        </row>
        <row r="287">
          <cell r="C287" t="str">
            <v>Pendapatan Denda Pajak Mineral Bukan Logam dan Batuan</v>
          </cell>
          <cell r="D287">
            <v>0</v>
          </cell>
        </row>
        <row r="288">
          <cell r="C288" t="str">
            <v>Pendapatan Denda Pajak Bumi dan Bangunan Perdesaan dan Perkotaan (PBBP2)</v>
          </cell>
          <cell r="D288">
            <v>0</v>
          </cell>
        </row>
        <row r="289">
          <cell r="C289" t="str">
            <v>Pendapatan Denda Bea Perolehan Hak atas Tanah dan Bangunan (BPHTB)</v>
          </cell>
          <cell r="D289">
            <v>0</v>
          </cell>
        </row>
        <row r="290">
          <cell r="C290" t="str">
            <v>Pendapatan Denda Pajak Alat Berat</v>
          </cell>
          <cell r="D290">
            <v>0</v>
          </cell>
        </row>
        <row r="291">
          <cell r="C291" t="str">
            <v>Pendapatan Denda Opsen Pajak Mineral Bukan Logam dan Batuan (MBLB)</v>
          </cell>
          <cell r="D291">
            <v>0</v>
          </cell>
        </row>
        <row r="292">
          <cell r="C292" t="str">
            <v>Pendapatan Denda Pajak Barang dan Jasa Tertentu (PBJT)</v>
          </cell>
          <cell r="D292">
            <v>0</v>
          </cell>
        </row>
        <row r="293">
          <cell r="C293" t="str">
            <v>Pendapatan Denda Opsen Pajak Kendaraan Bermotor (PKB)</v>
          </cell>
          <cell r="D293">
            <v>0</v>
          </cell>
        </row>
        <row r="294">
          <cell r="C294" t="str">
            <v>Pendapatan Denda Opsen Bea Balik Nama Kendaraan Bermotor (BBNKB)</v>
          </cell>
          <cell r="D294">
            <v>0</v>
          </cell>
        </row>
        <row r="295">
          <cell r="C295" t="str">
            <v>Pendapatan Denda Retribusi Daerah</v>
          </cell>
          <cell r="D295">
            <v>0</v>
          </cell>
        </row>
        <row r="296">
          <cell r="C296" t="str">
            <v>Pendapatan Denda Retribusi Jasa Umum</v>
          </cell>
          <cell r="D296">
            <v>0</v>
          </cell>
        </row>
        <row r="297">
          <cell r="C297" t="str">
            <v>Pendapatan Denda Retribusi Jasa Usaha</v>
          </cell>
          <cell r="D297">
            <v>0</v>
          </cell>
        </row>
        <row r="298">
          <cell r="C298" t="str">
            <v>Pendapatan Denda Retribusi Perizinan Tertentu</v>
          </cell>
          <cell r="D298">
            <v>0</v>
          </cell>
        </row>
        <row r="299">
          <cell r="C299" t="str">
            <v>Pendapatan Hasil Eksekusi atas Jaminan</v>
          </cell>
          <cell r="D299">
            <v>0</v>
          </cell>
        </row>
        <row r="300">
          <cell r="C300" t="str">
            <v>Hasil Eksekusi atas Jaminan atas Pengadaan Barang/Jasa</v>
          </cell>
          <cell r="D300">
            <v>0</v>
          </cell>
        </row>
        <row r="301">
          <cell r="C301" t="str">
            <v>Pendapatan dari Pengembalian</v>
          </cell>
          <cell r="D301">
            <v>0</v>
          </cell>
        </row>
        <row r="302">
          <cell r="C302" t="str">
            <v>Pendapatan dari Pengembalian Kelebihan Pembayaran Pajak Penghasilan Pasal 21</v>
          </cell>
          <cell r="D302">
            <v>0</v>
          </cell>
        </row>
        <row r="303">
          <cell r="C303" t="str">
            <v>Pendapatan dari Pengembalian Kelebihan Pembayaran Iuran Simpanan Peserta Tabungan Perumahan Rakyat ASN</v>
          </cell>
          <cell r="D303">
            <v>0</v>
          </cell>
        </row>
        <row r="304">
          <cell r="C304" t="str">
            <v>Pendapatan dari Pengembalian Kelebihan Pembayaran Gaji dan Tunjangan</v>
          </cell>
          <cell r="D304">
            <v>0</v>
          </cell>
        </row>
        <row r="305">
          <cell r="C305" t="str">
            <v>Pendapatan dari Pengembalian Kelebihan Pembayaran Perjalanan Dinas</v>
          </cell>
          <cell r="D305">
            <v>0</v>
          </cell>
        </row>
        <row r="306">
          <cell r="C306" t="str">
            <v>Pendapatan dari Pengembalian Kelebihan Pembayaran Jaminan Kecelakaan Kerja (JKK)</v>
          </cell>
          <cell r="D306">
            <v>0</v>
          </cell>
        </row>
        <row r="307">
          <cell r="C307" t="str">
            <v>Pendapatan dari Pengembalian Kelebihan Pembayaran Jaminan Kematian (JKM)</v>
          </cell>
          <cell r="D307">
            <v>0</v>
          </cell>
        </row>
        <row r="308">
          <cell r="C308" t="str">
            <v>Pendapatan dari Pengembalian Kelebihan Pembayaran Jaminan Kesehatan Nasional (JKN)</v>
          </cell>
          <cell r="D308">
            <v>0</v>
          </cell>
        </row>
        <row r="309">
          <cell r="C309" t="str">
            <v>Pendapatan dari Pengembalian Kelebihan Pembayaran Belanja Gaji dan Tunjangan ASN</v>
          </cell>
          <cell r="D309">
            <v>0</v>
          </cell>
        </row>
        <row r="310">
          <cell r="C310" t="str">
            <v>Pendapatan dari Pengembalian Kelebihan Pembayaran Belanja Tambahan Penghasilan ASN</v>
          </cell>
          <cell r="D310">
            <v>0</v>
          </cell>
        </row>
        <row r="311">
          <cell r="C311" t="str">
            <v>Pendapatan dari Pengembalian Kelebihan Pembayaran Belanja Tambahan Penghasilan berdasarkan Pertimbangan Objektif Lainnya ASN</v>
          </cell>
          <cell r="D311">
            <v>0</v>
          </cell>
        </row>
        <row r="312">
          <cell r="C312" t="str">
            <v>Pendapatan dari Pengembalian Kelebihan Pembayaran Belanja Gaji dan Tunjangan DPRD</v>
          </cell>
          <cell r="D312">
            <v>0</v>
          </cell>
        </row>
        <row r="313">
          <cell r="C313" t="str">
            <v>Pendapatan dari Pengembalian Kelebihan Pembayaran Belanja Gaji dan Tunjangan KDH/WKDH</v>
          </cell>
          <cell r="D313">
            <v>0</v>
          </cell>
        </row>
        <row r="314">
          <cell r="C314" t="str">
            <v>Pendapatan dari Pengembalian Kelebihan Pembayaran Belanja Penerimaan Lainnya Pimpinan DPRD serta KDH/WKDH</v>
          </cell>
          <cell r="D314">
            <v>0</v>
          </cell>
        </row>
        <row r="315">
          <cell r="C315" t="str">
            <v>Pendapatan dari Pengembalian Kelebihan Pembayaran Belanja Gaji dan Tunjangan MRP</v>
          </cell>
          <cell r="D315">
            <v>0</v>
          </cell>
        </row>
        <row r="316">
          <cell r="C316" t="str">
            <v>Pendapatan dari Pengembalian Kelebihan Pembayaran Belanja Barang</v>
          </cell>
          <cell r="D316">
            <v>0</v>
          </cell>
        </row>
        <row r="317">
          <cell r="C317" t="str">
            <v>Pendapatan dari Pengembalian Kelebihan Pembayaran Belanja Jasa</v>
          </cell>
          <cell r="D317">
            <v>0</v>
          </cell>
        </row>
        <row r="318">
          <cell r="C318" t="str">
            <v>Pendapatan dari Pengembalian Kelebihan Pembayaran Belanja Pemeliharaan</v>
          </cell>
          <cell r="D318">
            <v>0</v>
          </cell>
        </row>
        <row r="319">
          <cell r="C319" t="str">
            <v>Pendapatan dari Pengembalian Kelebihan Pembayaran Belanja Uang dan/atau Jasa untuk Diberikan kepada Pihak Ketiga/Pihak Lain/Masyarakat</v>
          </cell>
          <cell r="D319">
            <v>0</v>
          </cell>
        </row>
        <row r="320">
          <cell r="C320" t="str">
            <v>Pendapatan dari Pengembalian Kelebihan Pembayaran Belanja Penunjang Otonomi Khusus*)</v>
          </cell>
          <cell r="D320">
            <v>0</v>
          </cell>
        </row>
        <row r="321">
          <cell r="C321" t="str">
            <v>Pendapatan dari Pengembalian Kelebihan Pembayaran Belanja Bunga Utang Pinjaman kepada Pemerintah Pusat</v>
          </cell>
          <cell r="D321">
            <v>0</v>
          </cell>
        </row>
        <row r="322">
          <cell r="C322" t="str">
            <v>Pendapatan dari Pengembalian Kelebihan Pembayaran Belanja Bunga Utang Pinjaman kepada Pemerintah Daerah Lain</v>
          </cell>
          <cell r="D322">
            <v>0</v>
          </cell>
        </row>
        <row r="323">
          <cell r="C323" t="str">
            <v>Pendapatan dari Pengembalian Kelebihan Pembayaran Belanja Bunga Utang Pinjaman kepada Lembaga Keuangan Bank (LKB)</v>
          </cell>
          <cell r="D323">
            <v>0</v>
          </cell>
        </row>
        <row r="324">
          <cell r="C324" t="str">
            <v>Pendapatan dari Pengembalian Kelebihan Pembayaran Belanja Bunga Utang Pinjaman kepada Lembaga Keuangan Bukan Bank (LKBB)</v>
          </cell>
          <cell r="D324">
            <v>0</v>
          </cell>
        </row>
        <row r="325">
          <cell r="C325" t="str">
            <v>Pendapatan dari Pengembalian Kelebihan Pembayaran Belanja Bunga Utang Kepada Masyarakat (Obligasi)</v>
          </cell>
          <cell r="D325">
            <v>0</v>
          </cell>
        </row>
        <row r="326">
          <cell r="C326" t="str">
            <v>Pendapatan dari Pengembalian Kelebihan Pembayaran Belanja Bunga Utang Pinjaman melalui BLUD</v>
          </cell>
          <cell r="D326">
            <v>0</v>
          </cell>
        </row>
        <row r="327">
          <cell r="C327" t="str">
            <v>Pendapatan dari Pengembalian Kelebihan Pembayaran Belanja Subsidi kepada BUMN</v>
          </cell>
          <cell r="D327">
            <v>0</v>
          </cell>
        </row>
        <row r="328">
          <cell r="C328" t="str">
            <v>Pendapatan dari Pengembalian Kelebihan Pembayaran Belanja Subsidi kepada BUMD</v>
          </cell>
          <cell r="D328">
            <v>0</v>
          </cell>
        </row>
        <row r="329">
          <cell r="C329" t="str">
            <v>Pendapatan dari Pengembalian Kelebihan Pembayaran Belanja Subsidi kepada Badan Usaha Milik Swasta</v>
          </cell>
          <cell r="D329">
            <v>0</v>
          </cell>
        </row>
        <row r="330">
          <cell r="C330" t="str">
            <v>Pendapatan dari Pengembalian Kelebihan Pembayaran Belanja Subsidi kepada Koperasi</v>
          </cell>
          <cell r="D330">
            <v>0</v>
          </cell>
        </row>
        <row r="331">
          <cell r="C331" t="str">
            <v>Pendapatan dari Pengembalian Kelebihan Pembayaran Belanja Hibah kepada Pemerintah Pusat</v>
          </cell>
          <cell r="D331">
            <v>0</v>
          </cell>
        </row>
        <row r="332">
          <cell r="C332" t="str">
            <v>Pendapatan dari Pengembalian Kelebihan Pembayaran Belanja Hibah kepada Pemerintah Daerah Lainnya</v>
          </cell>
          <cell r="D332">
            <v>0</v>
          </cell>
        </row>
        <row r="333">
          <cell r="C333" t="str">
            <v>Pendapatan dari Pengembalian Kelebihan Pembayaran Belanja Hibah kepada BUMN</v>
          </cell>
          <cell r="D333">
            <v>0</v>
          </cell>
        </row>
        <row r="334">
          <cell r="C334" t="str">
            <v>Pendapatan dari Pengembalian Kelebihan Pembayaran Belanja Hibah kepada BUMD</v>
          </cell>
          <cell r="D334">
            <v>0</v>
          </cell>
        </row>
        <row r="335">
          <cell r="C335" t="str">
            <v>Pendapatan dari Pengembalian Kelebihan Pembayaran Belanja Hibah kepada Badan, Lembaga, Organisasi Kemasyarakatan yang Berbadan Hukum Indonesia</v>
          </cell>
          <cell r="D335">
            <v>0</v>
          </cell>
        </row>
        <row r="336">
          <cell r="C336" t="str">
            <v>Pendapatan dari Pengembalian Kelebihan Pembayaran Belanja Hibah Dana BOS</v>
          </cell>
          <cell r="D336">
            <v>0</v>
          </cell>
        </row>
        <row r="337">
          <cell r="C337" t="str">
            <v>Pendapatan dari Pengembalian Kelebihan Pembayaran Belanja Hibah Bantuan Keuangan kepada Partai Politik</v>
          </cell>
          <cell r="D337">
            <v>0</v>
          </cell>
        </row>
        <row r="338">
          <cell r="C338" t="str">
            <v>Pendapatan dari Pengembalian Kelebihan Pembayaran Belanja Bantuan Sosial kepada Individu</v>
          </cell>
          <cell r="D338">
            <v>0</v>
          </cell>
        </row>
        <row r="339">
          <cell r="C339" t="str">
            <v>Pendapatan dari Pengembalian Kelebihan Pembayaran Belanja Bantuan Sosial kepada Keluarga</v>
          </cell>
          <cell r="D339">
            <v>0</v>
          </cell>
        </row>
        <row r="340">
          <cell r="C340" t="str">
            <v>Pendapatan dari Pengembalian Kelebihan Pembayaran Belanja Bantuan Sosial kepada Kelompok Masyarakat</v>
          </cell>
          <cell r="D340">
            <v>0</v>
          </cell>
        </row>
        <row r="341">
          <cell r="C341" t="str">
            <v>Pendapatan dari Pengembalian Kelebihan Pembayaran Belanja Bantuan Sosial-Bantuan Sosial kepada Lembaga Non Pemerintahan (Bidang Pendidikan, Keagamaan dan Bidang Lainnya)</v>
          </cell>
          <cell r="D341">
            <v>0</v>
          </cell>
        </row>
        <row r="342">
          <cell r="C342" t="str">
            <v>Pendapatan dari Pengembalian Kelebihan Pembayaran Belanja Modal Tanah</v>
          </cell>
          <cell r="D342">
            <v>0</v>
          </cell>
        </row>
        <row r="343">
          <cell r="C343" t="str">
            <v>Pendapatan dari Pengembalian Kelebihan Pembayaran Belanja Modal Peralatan dan Mesin-Alat Besar</v>
          </cell>
          <cell r="D343">
            <v>0</v>
          </cell>
        </row>
        <row r="344">
          <cell r="C344" t="str">
            <v>Pendapatan dari Pengembalian Kelebihan Pembayaran Belanja Modal Peralatan dan Mesin-Alat Angkutan</v>
          </cell>
          <cell r="D344">
            <v>0</v>
          </cell>
        </row>
        <row r="345">
          <cell r="C345" t="str">
            <v>Pendapatan dari Pengembalian Kelebihan Pembayaran Belanja Modal Peralatan dan Mesin-Alat Bengkel dan Alat Ukur</v>
          </cell>
          <cell r="D345">
            <v>0</v>
          </cell>
        </row>
        <row r="346">
          <cell r="C346" t="str">
            <v>Pendapatan dari Pengembalian Kelebihan Pembayaran Belanja Modal Peralatan dan Mesin-Alat Pertanian</v>
          </cell>
          <cell r="D346">
            <v>0</v>
          </cell>
        </row>
        <row r="347">
          <cell r="C347" t="str">
            <v>Pendapatan dari Pengembalian Kelebihan Pembayaran Belanja Modal Peralatan dan Mesin-Alat Kantor dan Rumah Tangga</v>
          </cell>
          <cell r="D347">
            <v>0</v>
          </cell>
        </row>
        <row r="348">
          <cell r="C348" t="str">
            <v>Pendapatan dari Pengembalian Kelebihan Pembayaran Belanja Modal Peralatan dan Mesin-Alat Studio, Komunikasi, dan Pemancar</v>
          </cell>
          <cell r="D348">
            <v>0</v>
          </cell>
        </row>
        <row r="349">
          <cell r="C349" t="str">
            <v>Pendapatan dari Pengembalian Kelebihan Pembayaran Belanja Modal Peralatan dan Mesin-Alat Kedokteran dan Kesehatan</v>
          </cell>
          <cell r="D349">
            <v>0</v>
          </cell>
        </row>
        <row r="350">
          <cell r="C350" t="str">
            <v>Pendapatan dari Pengembalian Kelebihan Pembayaran Belanja Modal Peralatan dan Mesin-Alat Laboratorium</v>
          </cell>
          <cell r="D350">
            <v>0</v>
          </cell>
        </row>
        <row r="351">
          <cell r="C351" t="str">
            <v>Pendapatan dari Pengembalian Kelebihan Pembayaran Belanja Modal Peralatan dan Mesin-Komputer</v>
          </cell>
          <cell r="D351">
            <v>0</v>
          </cell>
        </row>
        <row r="352">
          <cell r="C352" t="str">
            <v>Pendapatan dari Pengembalian Kelebihan Pembayaran Belanja Modal Peralatan dan Mesin-Alat Eksplorasi</v>
          </cell>
          <cell r="D352">
            <v>0</v>
          </cell>
        </row>
        <row r="353">
          <cell r="C353" t="str">
            <v>Pendapatan dari Pengembalian Kelebihan Pembayaran Belanja Modal Peralatan dan Mesin-Alat Pengeboran</v>
          </cell>
          <cell r="D353">
            <v>0</v>
          </cell>
        </row>
        <row r="354">
          <cell r="C354" t="str">
            <v>Pendapatan dari Pengembalian Kelebihan Pembayaran Belanja Modal Peralatan dan Mesin-Alat Produksi, Pengolahan, dan Pemurnian</v>
          </cell>
          <cell r="D354">
            <v>0</v>
          </cell>
        </row>
        <row r="355">
          <cell r="C355" t="str">
            <v>Pendapatan dari Pengembalian Kelebihan Pembayaran Belanja Modal Peralatan dan Mesin-Alat Bantu Eksplorasi</v>
          </cell>
          <cell r="D355">
            <v>0</v>
          </cell>
        </row>
        <row r="356">
          <cell r="C356" t="str">
            <v>Pendapatan dari Pengembalian Kelebihan Pembayaran Belanja Modal Peralatan dan Mesin-Alat Keselamatan Kerja</v>
          </cell>
          <cell r="D356">
            <v>0</v>
          </cell>
        </row>
        <row r="357">
          <cell r="C357" t="str">
            <v>Pendapatan dari Pengembalian Kelebihan Pembayaran Belanja Modal Peralatan dan Mesin-Alat Peraga</v>
          </cell>
          <cell r="D357">
            <v>0</v>
          </cell>
        </row>
        <row r="358">
          <cell r="C358" t="str">
            <v>Pendapatan dari Pengembalian Kelebihan Pembayaran Belanja Modal Peralatan dan Mesin-Peralatan Proses/Produksi</v>
          </cell>
          <cell r="D358">
            <v>0</v>
          </cell>
        </row>
        <row r="359">
          <cell r="C359" t="str">
            <v>Pendapatan dari Pengembalian Kelebihan Pembayaran Belanja Modal Peralatan dan Mesin-Rambu-Rambu</v>
          </cell>
          <cell r="D359">
            <v>0</v>
          </cell>
        </row>
        <row r="360">
          <cell r="C360" t="str">
            <v>Pendapatan dari Pengembalian Kelebihan Pembayaran Belanja Modal Peralatan dan Mesin-Peralatan Olahraga</v>
          </cell>
          <cell r="D360">
            <v>0</v>
          </cell>
        </row>
        <row r="361">
          <cell r="C361" t="str">
            <v>Pendapatan dari Pengembalian Kelebihan Pembayaran Belanja Modal Gedung dan Bangunan-Bangunan Gedung</v>
          </cell>
          <cell r="D361">
            <v>0</v>
          </cell>
        </row>
        <row r="362">
          <cell r="C362" t="str">
            <v>Pendapatan dari Pengembalian Kelebihan Pembayaran Belanja Modal Gedung dan Bangunan-Monumen</v>
          </cell>
          <cell r="D362">
            <v>0</v>
          </cell>
        </row>
        <row r="363">
          <cell r="C363" t="str">
            <v>Pendapatan dari Pengembalian Kelebihan Pembayaran Belanja Modal Gedung dan Bangunan-Bangunan Menara</v>
          </cell>
          <cell r="D363">
            <v>0</v>
          </cell>
        </row>
        <row r="364">
          <cell r="C364" t="str">
            <v>Pendapatan dari Pengembalian Kelebihan Pembayaran Belanja Modal Gedung dan Bangunan-Tugu Titik Kontrol/Pasti</v>
          </cell>
          <cell r="D364">
            <v>0</v>
          </cell>
        </row>
        <row r="365">
          <cell r="C365" t="str">
            <v>Pendapatan dari Pengembalian Kelebihan Pembayaran Belanja Modal Jalan, Jaringan, dan Irigasi-Jalan dan Jembatan</v>
          </cell>
          <cell r="D365">
            <v>0</v>
          </cell>
        </row>
        <row r="366">
          <cell r="C366" t="str">
            <v>Pendapatan dari Pengembalian Kelebihan Pembayaran Belanja Modal Jalan, Jaringan, dan Irigasi-Bangunan Air</v>
          </cell>
          <cell r="D366">
            <v>0</v>
          </cell>
        </row>
        <row r="367">
          <cell r="C367" t="str">
            <v>Pendapatan dari Pengembalian Kelebihan Pembayaran Belanja Jalan, Jaringan, dan Instalasi-Instalasi</v>
          </cell>
          <cell r="D367">
            <v>0</v>
          </cell>
        </row>
        <row r="368">
          <cell r="C368" t="str">
            <v>Pendapatan dari Pengembalian Kelebihan Pembayaran Belanja Modal Jalan, Jaringan, dan Irigasi-Jaringan</v>
          </cell>
          <cell r="D368">
            <v>0</v>
          </cell>
        </row>
        <row r="369">
          <cell r="C369" t="str">
            <v>Pendapatan dari Pengembalian Kelebihan Pembayaran Belanja Modal Aset Tetap Lainnya-Bahan Perpustakaan</v>
          </cell>
          <cell r="D369">
            <v>0</v>
          </cell>
        </row>
        <row r="370">
          <cell r="C370" t="str">
            <v>Pendapatan dari Pengembalian Kelebihan Pembayaran Belanja Modal Aset Tetap Lainnya-Barang Bercorak Kesenian/Kebudayaan/Olahraga</v>
          </cell>
          <cell r="D370">
            <v>0</v>
          </cell>
        </row>
        <row r="371">
          <cell r="C371" t="str">
            <v>Pendapatan dari Pengembalian Kelebihan Pembayaran Belanja Modal Aset Tetap Lainnya-Hewan</v>
          </cell>
          <cell r="D371">
            <v>0</v>
          </cell>
        </row>
        <row r="372">
          <cell r="C372" t="str">
            <v>Pendapatan dari Pengembalian Kelebihan Pembayaran Belanja Modal Aset Tetap Lainnya-Biota Perairan</v>
          </cell>
          <cell r="D372">
            <v>0</v>
          </cell>
        </row>
        <row r="373">
          <cell r="C373" t="str">
            <v>Pendapatan dari Pengembalian Kelebihan Pembayaran Belanja Modal Aset Tetap Lainnya-Tanaman</v>
          </cell>
          <cell r="D373">
            <v>0</v>
          </cell>
        </row>
        <row r="374">
          <cell r="C374" t="str">
            <v>Pendapatan dari Pengembalian Kelebihan Pembayaran Belanja Modal Aset Tetap Lainnya-Barang Koleksi Non Budaya</v>
          </cell>
          <cell r="D374">
            <v>0</v>
          </cell>
        </row>
        <row r="375">
          <cell r="C375" t="str">
            <v>Pendapatan dari Pengembalian Kelebihan Pembayaran Belanja Modal Aset Tetap Lainnya-Aset Tetap dalam Renovasi</v>
          </cell>
          <cell r="D375">
            <v>0</v>
          </cell>
        </row>
        <row r="376">
          <cell r="C376" t="str">
            <v>Pendapatan dari Pengembalian Kelebihan Pembayaran Belanja Modal Aset Lainnya-Aset Tidak Berwujud</v>
          </cell>
          <cell r="D376">
            <v>0</v>
          </cell>
        </row>
        <row r="377">
          <cell r="C377" t="str">
            <v>Pendapatan dari Pengembalian Kelebihan Pembayaran Belanja Tidak Terduga</v>
          </cell>
          <cell r="D377">
            <v>0</v>
          </cell>
        </row>
        <row r="378">
          <cell r="C378" t="str">
            <v>Pendapatan dari Pengembalian Kelebihan Pembayaran Belanja Bagi Hasil Pajak Daerah Kepada Pemerintahan Kabupaten/Kota dan Desa</v>
          </cell>
          <cell r="D378">
            <v>0</v>
          </cell>
        </row>
        <row r="379">
          <cell r="C379" t="str">
            <v>Pendapatan dari Pengembalian Kelebihan Pembayaran Belanja Bagi Hasil Retribusi Daerah Kabupaten/Kota Kepada Pemerintah Desa</v>
          </cell>
          <cell r="D379">
            <v>0</v>
          </cell>
        </row>
        <row r="380">
          <cell r="C380" t="str">
            <v>Pendapatan dari Pengembalian Kelebihan Pembayaran Belanja Bantuan Keuangan antar Daerah Provinsi</v>
          </cell>
          <cell r="D380">
            <v>0</v>
          </cell>
        </row>
        <row r="381">
          <cell r="C381" t="str">
            <v>Pendapatan dari Pengembalian Kelebihan Pembayaran Belanja Bantuan Keuangan antar Daerah Kabupaten/Kota</v>
          </cell>
          <cell r="D381">
            <v>0</v>
          </cell>
        </row>
        <row r="382">
          <cell r="C382" t="str">
            <v>Pendapatan dari Pengembalian Kelebihan Pembayaran Belanja Bantuan Keuangan Daerah Provinsi ke Kabupaten/Kota</v>
          </cell>
          <cell r="D382">
            <v>0</v>
          </cell>
        </row>
        <row r="383">
          <cell r="C383" t="str">
            <v>Pendapatan dari Pengembalian Kelebihan Pembayaran Belanja Bantuan Keuangan Kabupaten/Kota ke Daerah Provinsi</v>
          </cell>
          <cell r="D383">
            <v>0</v>
          </cell>
        </row>
        <row r="384">
          <cell r="C384" t="str">
            <v>Pendapatan dari Pengembalian Kelebihan Pembayaran Belanja Bantuan Keuangan Daerah Provinsi atau Kabupaten/Kota kepada Desa</v>
          </cell>
          <cell r="D384">
            <v>0</v>
          </cell>
        </row>
        <row r="385">
          <cell r="C385" t="str">
            <v>Pendapatan dari Pengembalian Kelebihan Pembayaran Belanja Transfer Dana Otonomi Khusus Provinsi kepada Kabupaten/Kota</v>
          </cell>
          <cell r="D385">
            <v>0</v>
          </cell>
        </row>
        <row r="386">
          <cell r="C386" t="str">
            <v>Pendapatan dari Pengembalian Kelebihan Pembayaran Belanja Gaji dan Tunjangan Perangkat Lembaga Wali Nanggroe</v>
          </cell>
          <cell r="D386">
            <v>0</v>
          </cell>
        </row>
        <row r="387">
          <cell r="C387" t="str">
            <v>Pendapatan dari Pengembalian Kelebihan Pembayaran Belanja Hibah Dana BOSP</v>
          </cell>
          <cell r="D387">
            <v>0</v>
          </cell>
        </row>
        <row r="388">
          <cell r="C388" t="str">
            <v>Pendapatan dari Pengembalian Kelebihan Pembayaran Belanja Pegawai BOS, Belanja Barang dan Jasa BOS, Belanja Modal Peralatan dan Mesin BOS, serta Belanja Modal Aset Tetap Lainnya BOS</v>
          </cell>
          <cell r="D388">
            <v>0</v>
          </cell>
        </row>
        <row r="389">
          <cell r="C389" t="str">
            <v>Pendapatan dari Pengembalian Kelebihan Pembayaran Belanja Pegawai BOSP, Belanja Barang dan Jasa BOSP, Belanja Modal Peralatan dan Mesin BOSP, dan Belanja Modal Aset Tetap Lainnya BOSP</v>
          </cell>
          <cell r="D389">
            <v>0</v>
          </cell>
        </row>
        <row r="390">
          <cell r="C390" t="str">
            <v>Pendapatan dari Pengembalian Kelebihan Pembayaran Belanja Barang dan Jasa BOK Puskesmas</v>
          </cell>
          <cell r="D390">
            <v>0</v>
          </cell>
        </row>
        <row r="391">
          <cell r="C391" t="str">
            <v>Pendapatan dari Pengembalian Kelebihan Pembayaran Belanja Hibah kepada BUMDesa</v>
          </cell>
          <cell r="D391">
            <v>0</v>
          </cell>
        </row>
        <row r="392">
          <cell r="C392" t="str">
            <v>Pendapatan dari Pengembalian Kelebihan Pembayaran Belanja Hibah kepada Koperasi</v>
          </cell>
          <cell r="D392">
            <v>0</v>
          </cell>
        </row>
        <row r="393">
          <cell r="C393" t="str">
            <v>Pendapatan dari Pengembalian Kelebihan Pembayaran Belanja Imbalan-Imbalan Sukuk Daerah</v>
          </cell>
          <cell r="D393">
            <v>0</v>
          </cell>
        </row>
        <row r="394">
          <cell r="C394" t="str">
            <v>Pendapatan dari Pengembalian Kelebihan Pembayaran Belanja Bunga Pembiayaan Utang Daerah-Pinjaman Daerah</v>
          </cell>
          <cell r="D394">
            <v>0</v>
          </cell>
        </row>
        <row r="395">
          <cell r="C395" t="str">
            <v>Pendapatan dari Pengembalian Kelebihan Pembayaran Belanja Bunga Pembiayaan Utang Daerah-Obligasi Daerah</v>
          </cell>
          <cell r="D395">
            <v>0</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396">
            <v>0</v>
          </cell>
        </row>
        <row r="397">
          <cell r="C397" t="str">
            <v>Pendapatan BLUD</v>
          </cell>
          <cell r="D397">
            <v>49958780724</v>
          </cell>
        </row>
        <row r="398">
          <cell r="C398" t="str">
            <v>Pendapatan BLUD</v>
          </cell>
          <cell r="D398">
            <v>0</v>
          </cell>
        </row>
        <row r="399">
          <cell r="C399" t="str">
            <v>Pendapatan BLUD dari Jasa Layanan</v>
          </cell>
          <cell r="D399">
            <v>49958780724</v>
          </cell>
        </row>
        <row r="400">
          <cell r="C400" t="str">
            <v>Pendapatan BLUD dari Hibah</v>
          </cell>
          <cell r="D400">
            <v>0</v>
          </cell>
        </row>
        <row r="401">
          <cell r="C401" t="str">
            <v>Pendapatan BLUD dari Hasil Kerja Sama dengan Pihak Lain</v>
          </cell>
          <cell r="D401">
            <v>0</v>
          </cell>
        </row>
        <row r="402">
          <cell r="C402" t="str">
            <v>Pendapatan BLUD dari APBD</v>
          </cell>
          <cell r="D402">
            <v>0</v>
          </cell>
        </row>
        <row r="403">
          <cell r="C403" t="str">
            <v>Pendapatan BLUD dari Lain-Lain Pendapatan BLUD yang Sah</v>
          </cell>
          <cell r="D403">
            <v>0</v>
          </cell>
        </row>
        <row r="404">
          <cell r="C404" t="str">
            <v>Pendapatan Denda Pemanfaatan BMD yang tidak Dipisahkan</v>
          </cell>
          <cell r="D404">
            <v>0</v>
          </cell>
        </row>
        <row r="405">
          <cell r="C405" t="str">
            <v>Pendapatan Denda Pengakhiran Sewa BMD</v>
          </cell>
          <cell r="D405">
            <v>0</v>
          </cell>
        </row>
        <row r="406">
          <cell r="C406" t="str">
            <v>Pendapatan Denda Hasil dari Kerja Sama Penyediaan Infrastruktur</v>
          </cell>
          <cell r="D406">
            <v>0</v>
          </cell>
        </row>
        <row r="407">
          <cell r="C407" t="str">
            <v>Pendapatan Dana Kapitasi Jaminan Kesehatan Nasional (JKN) pada Fasilitas Kesehatan Tingkat Pertama (FKTP)</v>
          </cell>
          <cell r="D407">
            <v>0</v>
          </cell>
        </row>
        <row r="408">
          <cell r="C408" t="str">
            <v>Pendapatan Dana Kapitasi JKN pada FKTP</v>
          </cell>
          <cell r="D408">
            <v>0</v>
          </cell>
        </row>
        <row r="409">
          <cell r="C409" t="str">
            <v>Pendapatan Hasil Pengelolaan Dana Bergulir</v>
          </cell>
          <cell r="D409">
            <v>0</v>
          </cell>
        </row>
        <row r="410">
          <cell r="C410" t="str">
            <v>Pendapatan Hasil Pengelolaan Dana Bergulir</v>
          </cell>
          <cell r="D410">
            <v>0</v>
          </cell>
        </row>
        <row r="411">
          <cell r="C411" t="str">
            <v>Pendapatan Berdasarkan Putusan Pengadilan (Inkracht)</v>
          </cell>
          <cell r="D411">
            <v>0</v>
          </cell>
        </row>
        <row r="412">
          <cell r="C412" t="str">
            <v>Pendapatan Berdasarkan Putusan Pengadilan (Inkracht)</v>
          </cell>
          <cell r="D412">
            <v>0</v>
          </cell>
        </row>
        <row r="413">
          <cell r="C413" t="str">
            <v>Pendapatan Denda atas Pelanggaran Peraturan Daerah</v>
          </cell>
          <cell r="D413">
            <v>0</v>
          </cell>
        </row>
        <row r="414">
          <cell r="C414" t="str">
            <v>Pendapatan Denda atas Pelanggaran Peraturan Daerah</v>
          </cell>
          <cell r="D414">
            <v>0</v>
          </cell>
        </row>
        <row r="415">
          <cell r="C415" t="str">
            <v>Pendapatan Zakat, Infaq, Shadaqah, dan Wakaf</v>
          </cell>
          <cell r="D415">
            <v>0</v>
          </cell>
        </row>
        <row r="416">
          <cell r="C416" t="str">
            <v>Pendapatan Zakat</v>
          </cell>
          <cell r="D416">
            <v>0</v>
          </cell>
        </row>
        <row r="417">
          <cell r="C417" t="str">
            <v>Pendapatan Hasil Pelaksanaan Perjanjian/Kontrak</v>
          </cell>
          <cell r="D417">
            <v>0</v>
          </cell>
        </row>
        <row r="418">
          <cell r="C418" t="str">
            <v>Pendapatan Hasil Pelaksanaan Perjanjian/Kontrak</v>
          </cell>
          <cell r="D418">
            <v>0</v>
          </cell>
        </row>
        <row r="419">
          <cell r="C419" t="str">
            <v>Pungutan bagi Wisatawan Asing</v>
          </cell>
          <cell r="D419">
            <v>0</v>
          </cell>
        </row>
        <row r="420">
          <cell r="C420" t="str">
            <v>Pungutan bagi Wisatawan Asing</v>
          </cell>
          <cell r="D420">
            <v>0</v>
          </cell>
        </row>
        <row r="421">
          <cell r="C421" t="str">
            <v>Hasil Pengelolaan Dana Abadi Daerah</v>
          </cell>
          <cell r="D421">
            <v>0</v>
          </cell>
        </row>
        <row r="422">
          <cell r="C422" t="str">
            <v>Hasil Pengelolaan Dana Abadi Daerah</v>
          </cell>
          <cell r="D422">
            <v>0</v>
          </cell>
        </row>
        <row r="423">
          <cell r="C423" t="str">
            <v>Hasil Pengelolaan Dana Cadangan</v>
          </cell>
          <cell r="D423">
            <v>0</v>
          </cell>
        </row>
        <row r="424">
          <cell r="C424" t="str">
            <v>Hasil Pengelolaan Dana Cadangan</v>
          </cell>
          <cell r="D424">
            <v>0</v>
          </cell>
        </row>
        <row r="425">
          <cell r="C425" t="str">
            <v>Pendapatan atas Sanksi Administrasi Pajak Daerah</v>
          </cell>
          <cell r="D425">
            <v>0</v>
          </cell>
        </row>
        <row r="426">
          <cell r="C426" t="str">
            <v>Pendapatan Denda Pajak Daerah</v>
          </cell>
          <cell r="D426">
            <v>0</v>
          </cell>
        </row>
        <row r="427">
          <cell r="C427" t="str">
            <v>Pendapatan Bunga Pajak Daerah</v>
          </cell>
          <cell r="D427">
            <v>0</v>
          </cell>
        </row>
        <row r="428">
          <cell r="C428" t="str">
            <v>Pendapatan Kenaikan Pokok Pajak Daerah</v>
          </cell>
          <cell r="D428">
            <v>0</v>
          </cell>
        </row>
        <row r="429">
          <cell r="C429" t="str">
            <v>Pendapatan atas Sanksi Administrasi Retribusi Daerah</v>
          </cell>
          <cell r="D429">
            <v>0</v>
          </cell>
        </row>
        <row r="430">
          <cell r="C430" t="str">
            <v>Pendapatan Denda Retribusi Daerah</v>
          </cell>
          <cell r="D430">
            <v>0</v>
          </cell>
        </row>
        <row r="431">
          <cell r="C431" t="str">
            <v>Pendapatan Bunga Retribusi Daerah</v>
          </cell>
          <cell r="D431">
            <v>0</v>
          </cell>
        </row>
        <row r="432">
          <cell r="C432" t="str">
            <v>PENDAPATAN TRANSFER</v>
          </cell>
          <cell r="D432">
            <v>1461553605467</v>
          </cell>
        </row>
        <row r="433">
          <cell r="C433" t="str">
            <v>Pendapatan Transfer Pemerintah Pusat</v>
          </cell>
          <cell r="D433">
            <v>1419600605467</v>
          </cell>
        </row>
        <row r="434">
          <cell r="C434" t="str">
            <v>Dana Perimbangan</v>
          </cell>
          <cell r="D434">
            <v>0</v>
          </cell>
        </row>
        <row r="435">
          <cell r="C435" t="str">
            <v>Dana Transfer Umum-Dana Bagi Hasil (DBH)</v>
          </cell>
          <cell r="D435">
            <v>0</v>
          </cell>
        </row>
        <row r="436">
          <cell r="C436" t="str">
            <v>Dana Transfer Umum-Dana Alokasi Umum (DAU)</v>
          </cell>
          <cell r="D436">
            <v>0</v>
          </cell>
        </row>
        <row r="437">
          <cell r="C437" t="str">
            <v>Dana Transfer Khusus-Dana Alokasi Khusus (DAK) Fisik</v>
          </cell>
          <cell r="D437">
            <v>0</v>
          </cell>
        </row>
        <row r="438">
          <cell r="C438" t="str">
            <v>Dana Transfer Khusus-Dana Alokasi Khusus (DAK) Non Fisik</v>
          </cell>
          <cell r="D438">
            <v>0</v>
          </cell>
        </row>
        <row r="439">
          <cell r="C439" t="str">
            <v>Dana Insentif Daerah (DID)</v>
          </cell>
          <cell r="D439">
            <v>0</v>
          </cell>
        </row>
        <row r="440">
          <cell r="C440" t="str">
            <v>DID</v>
          </cell>
          <cell r="D440">
            <v>0</v>
          </cell>
        </row>
        <row r="441">
          <cell r="C441" t="str">
            <v>Dana Otonomi Khusus dan Dana Tambahan Infrastruktur</v>
          </cell>
          <cell r="D441">
            <v>0</v>
          </cell>
        </row>
        <row r="442">
          <cell r="C442" t="str">
            <v>Dana Otonomi Khusus-Provinsi Papua</v>
          </cell>
          <cell r="D442">
            <v>0</v>
          </cell>
        </row>
        <row r="443">
          <cell r="C443" t="str">
            <v>Dana Otonomi Khusus-Provinsi Papua Barat</v>
          </cell>
          <cell r="D443">
            <v>0</v>
          </cell>
        </row>
        <row r="444">
          <cell r="C444" t="str">
            <v>Dana Otonomi Khusus-Provinsi Aceh</v>
          </cell>
          <cell r="D444">
            <v>0</v>
          </cell>
        </row>
        <row r="445">
          <cell r="C445" t="str">
            <v>Dana Tambahan Infrastruktur dalam rangka Otonomi Khusus Provinsi Papua</v>
          </cell>
          <cell r="D445">
            <v>0</v>
          </cell>
        </row>
        <row r="446">
          <cell r="C446" t="str">
            <v>Dana Tambahan Infrastruktur dalam rangka Otonomi Khusus Provinsi Papua Barat</v>
          </cell>
          <cell r="D446">
            <v>0</v>
          </cell>
        </row>
        <row r="447">
          <cell r="C447" t="str">
            <v>Dana Bagi Hasil (DBH) Minyak dan Gas Otonomi Khusus Papua</v>
          </cell>
          <cell r="D447">
            <v>0</v>
          </cell>
        </row>
        <row r="448">
          <cell r="C448" t="str">
            <v>Dana Bagi Hasil (DBH) Minyak dan Gas Otonomi Khusus Aceh</v>
          </cell>
          <cell r="D448">
            <v>0</v>
          </cell>
        </row>
        <row r="449">
          <cell r="C449" t="str">
            <v>Dana Otonomi Khusus 1%-Papua</v>
          </cell>
          <cell r="D449">
            <v>0</v>
          </cell>
        </row>
        <row r="450">
          <cell r="C450" t="str">
            <v>DBH SDA Pertambangan Minyak Bumi-Papua</v>
          </cell>
          <cell r="D450">
            <v>0</v>
          </cell>
        </row>
        <row r="451">
          <cell r="C451" t="str">
            <v>DBH SDA Pertambangan Gas Alam-Papua</v>
          </cell>
          <cell r="D451">
            <v>0</v>
          </cell>
        </row>
        <row r="452">
          <cell r="C452" t="str">
            <v>Dana Otonomi Khusus 1,25%-Papua</v>
          </cell>
          <cell r="D452">
            <v>0</v>
          </cell>
        </row>
        <row r="453">
          <cell r="C453" t="str">
            <v>DTI-Papua</v>
          </cell>
          <cell r="D453">
            <v>0</v>
          </cell>
        </row>
        <row r="454">
          <cell r="C454" t="str">
            <v>DBH SDA Pertambangan Minyak Bumi-Aceh</v>
          </cell>
          <cell r="D454">
            <v>0</v>
          </cell>
        </row>
        <row r="455">
          <cell r="C455" t="str">
            <v>DBH SDA Pertambangan Gas Alam-Aceh</v>
          </cell>
          <cell r="D455">
            <v>0</v>
          </cell>
        </row>
        <row r="456">
          <cell r="C456" t="str">
            <v>Dana Keistimewaan</v>
          </cell>
          <cell r="D456">
            <v>0</v>
          </cell>
        </row>
        <row r="457">
          <cell r="C457" t="str">
            <v>Dana Keistimewaan Daerah Istimewa Yogyakarta</v>
          </cell>
          <cell r="D457">
            <v>0</v>
          </cell>
        </row>
        <row r="458">
          <cell r="C458" t="str">
            <v>Dana Desa</v>
          </cell>
          <cell r="D458">
            <v>49739841000</v>
          </cell>
        </row>
        <row r="459">
          <cell r="C459" t="str">
            <v>Dana Desa</v>
          </cell>
          <cell r="D459">
            <v>49739841000</v>
          </cell>
        </row>
        <row r="460">
          <cell r="C460" t="str">
            <v>Insentif Fiskal</v>
          </cell>
          <cell r="D460">
            <v>13112385000</v>
          </cell>
        </row>
        <row r="461">
          <cell r="C461" t="str">
            <v>Insentif Fiskal</v>
          </cell>
          <cell r="D461">
            <v>0</v>
          </cell>
        </row>
        <row r="462">
          <cell r="C462" t="str">
            <v>Insentif Fiskal Untuk Penghargaan Kinerja Tahun Sebelumnya</v>
          </cell>
          <cell r="D462">
            <v>13112385000</v>
          </cell>
        </row>
        <row r="463">
          <cell r="C463" t="str">
            <v>Insentif Fiskal Untuk Penghargaan Kinerja Tahun Berjalan</v>
          </cell>
          <cell r="D463">
            <v>0</v>
          </cell>
        </row>
        <row r="464">
          <cell r="C464" t="str">
            <v>Dana Bagi Hasil (DBH)</v>
          </cell>
          <cell r="D464">
            <v>792317240467</v>
          </cell>
        </row>
        <row r="465">
          <cell r="C465" t="str">
            <v>DBH Pajak</v>
          </cell>
          <cell r="D465">
            <v>404131860667</v>
          </cell>
        </row>
        <row r="466">
          <cell r="C466" t="str">
            <v>DBH Sumber Daya Alam (SDA)</v>
          </cell>
          <cell r="D466">
            <v>388185379800</v>
          </cell>
        </row>
        <row r="467">
          <cell r="C467" t="str">
            <v>DBH Lainnya</v>
          </cell>
          <cell r="D467">
            <v>0</v>
          </cell>
        </row>
        <row r="468">
          <cell r="C468" t="str">
            <v>Dana Alokasi Umum (DAU)</v>
          </cell>
          <cell r="D468">
            <v>450095172000</v>
          </cell>
        </row>
        <row r="469">
          <cell r="C469" t="str">
            <v>DAU yang Tidak Ditentukan Penggunaannya</v>
          </cell>
          <cell r="D469">
            <v>358635090000</v>
          </cell>
        </row>
        <row r="470">
          <cell r="C470" t="str">
            <v>DAU yang Ditentukan Penggunaannya</v>
          </cell>
          <cell r="D470">
            <v>91460082000</v>
          </cell>
        </row>
        <row r="471">
          <cell r="C471" t="str">
            <v>Dana Alokasi Khusus (DAK)</v>
          </cell>
          <cell r="D471">
            <v>114335967000</v>
          </cell>
        </row>
        <row r="472">
          <cell r="C472" t="str">
            <v>DAK Fisik</v>
          </cell>
          <cell r="D472">
            <v>6030129000</v>
          </cell>
        </row>
        <row r="473">
          <cell r="C473" t="str">
            <v>DAK Non Fisik</v>
          </cell>
          <cell r="D473">
            <v>108305838000</v>
          </cell>
        </row>
        <row r="474">
          <cell r="C474" t="str">
            <v>Hibah kepada Daerah</v>
          </cell>
          <cell r="D474">
            <v>0</v>
          </cell>
        </row>
        <row r="475">
          <cell r="C475" t="str">
            <v>Pendapatan Transfer Antar Daerah</v>
          </cell>
          <cell r="D475">
            <v>41953000000</v>
          </cell>
        </row>
        <row r="476">
          <cell r="C476" t="str">
            <v>Pendapatan Bagi Hasil</v>
          </cell>
          <cell r="D476">
            <v>41953000000</v>
          </cell>
        </row>
        <row r="477">
          <cell r="C477" t="str">
            <v>Pendapatan Bagi Hasil Pajak</v>
          </cell>
          <cell r="D477">
            <v>41953000000</v>
          </cell>
        </row>
        <row r="478">
          <cell r="C478" t="str">
            <v>Bantuan Keuangan</v>
          </cell>
          <cell r="D478">
            <v>0</v>
          </cell>
        </row>
        <row r="479">
          <cell r="C479" t="str">
            <v>Bantuan Keuangan Umum dari Pemerintah Provinsi</v>
          </cell>
          <cell r="D479">
            <v>0</v>
          </cell>
        </row>
        <row r="480">
          <cell r="C480" t="str">
            <v>Bantuan Keuangan Khusus dari Pemerintah Provinsi</v>
          </cell>
          <cell r="D480">
            <v>0</v>
          </cell>
        </row>
        <row r="481">
          <cell r="C481" t="str">
            <v>Bantuan Keuangan Umum dari Pemerintah Kabupaten/Kota</v>
          </cell>
          <cell r="D481">
            <v>0</v>
          </cell>
        </row>
        <row r="482">
          <cell r="C482" t="str">
            <v>Bantuan Keuangan Khusus dari Pemerintah Kabupaten/Kota</v>
          </cell>
          <cell r="D482">
            <v>0</v>
          </cell>
        </row>
        <row r="483">
          <cell r="C483" t="str">
            <v>LAIN-LAIN PENDAPATAN DAERAH YANG SAH</v>
          </cell>
          <cell r="D483">
            <v>292867915000</v>
          </cell>
        </row>
        <row r="484">
          <cell r="C484" t="str">
            <v>Pendapatan Hibah</v>
          </cell>
          <cell r="D484">
            <v>5000000</v>
          </cell>
        </row>
        <row r="485">
          <cell r="C485" t="str">
            <v>Pendapatan Hibah dari Pemerintah Pusat</v>
          </cell>
          <cell r="D485">
            <v>0</v>
          </cell>
        </row>
        <row r="486">
          <cell r="C486" t="str">
            <v>Pendapatan Hibah dari Pemerintah Pusat</v>
          </cell>
          <cell r="D486">
            <v>0</v>
          </cell>
        </row>
        <row r="487">
          <cell r="C487" t="str">
            <v>Pendapatan Hibah dari Pemerintah Daerah Lainnya</v>
          </cell>
          <cell r="D487">
            <v>0</v>
          </cell>
        </row>
        <row r="488">
          <cell r="C488" t="str">
            <v>Pendapatan Hibah dari Pemerintah Daerah Lainnya</v>
          </cell>
          <cell r="D488">
            <v>0</v>
          </cell>
        </row>
        <row r="489">
          <cell r="C489" t="str">
            <v>Pendapatan Hibah dari Kelompok Masyarakat/Perorangan Dalam Negeri</v>
          </cell>
          <cell r="D489">
            <v>0</v>
          </cell>
        </row>
        <row r="490">
          <cell r="C490" t="str">
            <v>Pendapatan Hibah dari Kelompok Masyarakat/Perorangan Dalam Negeri</v>
          </cell>
          <cell r="D490">
            <v>0</v>
          </cell>
        </row>
        <row r="491">
          <cell r="C491" t="str">
            <v>Pendapatan Hibah dari Badan/Lembaga/Organisasi Dalam Negeri/Luar Negeri</v>
          </cell>
          <cell r="D491">
            <v>0</v>
          </cell>
        </row>
        <row r="492">
          <cell r="C492" t="str">
            <v>Pendapatan Hibah dari Badan/Lembaga/Organisasi Dalam Negeri</v>
          </cell>
          <cell r="D492">
            <v>0</v>
          </cell>
        </row>
        <row r="493">
          <cell r="C493" t="str">
            <v>Pendapatan Hibah dari Badan/Lembaga/Organisasi Luar Negeri</v>
          </cell>
          <cell r="D493">
            <v>0</v>
          </cell>
        </row>
        <row r="494">
          <cell r="C494" t="str">
            <v>Pendapatan Hibah dari Lembaga/Organisasi Swasta Dalam Negeri</v>
          </cell>
          <cell r="D494">
            <v>0</v>
          </cell>
        </row>
        <row r="495">
          <cell r="C495" t="str">
            <v>Pendapatan Hibah dari Lembaga/Organisasi Swasta Luar Negeri</v>
          </cell>
          <cell r="D495">
            <v>0</v>
          </cell>
        </row>
        <row r="496">
          <cell r="C496" t="str">
            <v>Sumbangan Pihak Ketiga/Sejenis</v>
          </cell>
          <cell r="D496">
            <v>5000000</v>
          </cell>
        </row>
        <row r="497">
          <cell r="C497" t="str">
            <v>Sumbangan Pihak Ketiga/Sejenis</v>
          </cell>
          <cell r="D497">
            <v>5000000</v>
          </cell>
        </row>
        <row r="498">
          <cell r="C498" t="str">
            <v>Dana Darurat</v>
          </cell>
          <cell r="D498">
            <v>0</v>
          </cell>
        </row>
        <row r="499">
          <cell r="C499" t="str">
            <v>Dana Darurat</v>
          </cell>
          <cell r="D499">
            <v>0</v>
          </cell>
        </row>
        <row r="500">
          <cell r="C500" t="str">
            <v>Dana Darurat</v>
          </cell>
          <cell r="D500">
            <v>0</v>
          </cell>
        </row>
        <row r="501">
          <cell r="C501" t="str">
            <v>Lain-lain Pendapatan Sesuai dengan Ketentuan Peraturan Perundang-Undangan</v>
          </cell>
          <cell r="D501">
            <v>292862915000</v>
          </cell>
        </row>
        <row r="502">
          <cell r="C502" t="str">
            <v>Lain-lain Pendapatan</v>
          </cell>
          <cell r="D502">
            <v>292862915000</v>
          </cell>
        </row>
        <row r="503">
          <cell r="C503" t="str">
            <v>Pendapatan Hibah Dana BOS</v>
          </cell>
          <cell r="D503">
            <v>0</v>
          </cell>
        </row>
        <row r="504">
          <cell r="C504" t="str">
            <v>Pendapatan atas Pengembalian Hibah</v>
          </cell>
          <cell r="D504">
            <v>0</v>
          </cell>
        </row>
        <row r="505">
          <cell r="C505" t="str">
            <v>Pendapatan atas Dana Reducing Emission from Deforestration and Forest Degradation (REDD+) Results Based Payment</v>
          </cell>
          <cell r="D505">
            <v>292862915000</v>
          </cell>
        </row>
        <row r="506">
          <cell r="C506" t="str">
            <v>Pendapatan Dana Kapitasi JKN pada FKTP</v>
          </cell>
          <cell r="D506">
            <v>0</v>
          </cell>
        </row>
        <row r="507">
          <cell r="C507" t="str">
            <v>Pendapatan Dana Kapitasi JKN pada FKTP</v>
          </cell>
          <cell r="D507">
            <v>0</v>
          </cell>
        </row>
        <row r="508">
          <cell r="C508" t="str">
            <v>Pendapatan Bagi Hasil Pemegang IUPK atas Pertambangan Mineral Logam dan Batu Bara Pendapatan Bagi Hasil Pemegang IUPK atas Pertambangan Mineral Logam dan Batu Bara</v>
          </cell>
          <cell r="D508">
            <v>0</v>
          </cell>
        </row>
        <row r="509">
          <cell r="C509" t="str">
            <v xml:space="preserve">Pendapatan Bagi Hasil Pemegang IUPK atas Pertambangan Mineral Logam dan Batu Bara </v>
          </cell>
          <cell r="D509">
            <v>0</v>
          </cell>
        </row>
        <row r="510">
          <cell r="C510" t="str">
            <v>Kontribusi dari Sumber Lain yang Sah dan Tidak Mengikat</v>
          </cell>
          <cell r="D510">
            <v>0</v>
          </cell>
        </row>
        <row r="511">
          <cell r="C511" t="str">
            <v>Kontribusi dari Sumber Lain yang Sah dan Tidak Mengikat</v>
          </cell>
          <cell r="D511">
            <v>0</v>
          </cell>
        </row>
        <row r="512">
          <cell r="C512" t="str">
            <v>Pendapatan Klaim Pelayanan Kesehatan/Nonkapitasi</v>
          </cell>
          <cell r="D512">
            <v>0</v>
          </cell>
        </row>
        <row r="513">
          <cell r="C513" t="str">
            <v>Pendapatan Klaim Pelayanan Kesehatan/Nonkapitasi</v>
          </cell>
          <cell r="D513">
            <v>0</v>
          </cell>
        </row>
        <row r="514">
          <cell r="C514" t="str">
            <v>Pendapatan Bonus Produksi Panas Bumi</v>
          </cell>
          <cell r="D514">
            <v>0</v>
          </cell>
        </row>
        <row r="515">
          <cell r="C515" t="str">
            <v>Pendapatan Bonus Produksi Panas Bumi</v>
          </cell>
          <cell r="D515">
            <v>0</v>
          </cell>
        </row>
        <row r="516">
          <cell r="C516" t="str">
            <v>Pendapatan Bonus Tandatangan dan Bonus Produksi Pemerintah Aceh</v>
          </cell>
          <cell r="D516">
            <v>0</v>
          </cell>
        </row>
        <row r="517">
          <cell r="C517" t="str">
            <v>Pendapatan Bonus Tandatangan dan Bonus Produksi Pemerintah Aceh</v>
          </cell>
          <cell r="D517">
            <v>0</v>
          </cell>
        </row>
        <row r="518">
          <cell r="C518"/>
          <cell r="D518"/>
        </row>
        <row r="519">
          <cell r="C519" t="str">
            <v>BELANJA DAERAH</v>
          </cell>
          <cell r="D519">
            <v>2236268153253.02</v>
          </cell>
        </row>
        <row r="520">
          <cell r="C520" t="str">
            <v>BELANJA OPERASI</v>
          </cell>
          <cell r="D520">
            <v>1423928449949.22</v>
          </cell>
        </row>
        <row r="521">
          <cell r="C521" t="str">
            <v>Belanja Pegawai</v>
          </cell>
          <cell r="D521">
            <v>647589873704.51001</v>
          </cell>
        </row>
        <row r="522">
          <cell r="C522" t="str">
            <v>Belanja Gaji dan Tunjangan ASN</v>
          </cell>
          <cell r="D522">
            <v>408694753708.51001</v>
          </cell>
        </row>
        <row r="523">
          <cell r="C523" t="str">
            <v>Belanja Gaji Pokok ASN</v>
          </cell>
          <cell r="D523">
            <v>296121864244.27002</v>
          </cell>
        </row>
        <row r="524">
          <cell r="C524" t="str">
            <v>Belanja Tunjangan Keluarga ASN</v>
          </cell>
          <cell r="D524">
            <v>27658155383</v>
          </cell>
        </row>
        <row r="525">
          <cell r="C525" t="str">
            <v>Belanja Tunjangan Jabatan ASN</v>
          </cell>
          <cell r="D525">
            <v>5299771825</v>
          </cell>
        </row>
        <row r="526">
          <cell r="C526" t="str">
            <v>Belanja Tunjangan Fungsional ASN</v>
          </cell>
          <cell r="D526">
            <v>23895167370</v>
          </cell>
        </row>
        <row r="527">
          <cell r="C527" t="str">
            <v>Belanja Tunjangan Fungsional Umum ASN</v>
          </cell>
          <cell r="D527">
            <v>4369814972</v>
          </cell>
        </row>
        <row r="528">
          <cell r="C528" t="str">
            <v>Belanja Tunjangan Beras ASN</v>
          </cell>
          <cell r="D528">
            <v>17501620716</v>
          </cell>
        </row>
        <row r="529">
          <cell r="C529" t="str">
            <v>Belanja Tunjangan PPh/Tunjangan Khusus ASN</v>
          </cell>
          <cell r="D529">
            <v>1849988598</v>
          </cell>
        </row>
        <row r="530">
          <cell r="C530" t="str">
            <v>Belanja Pembulatan Gaji ASN</v>
          </cell>
          <cell r="D530">
            <v>24286840.239999998</v>
          </cell>
        </row>
        <row r="531">
          <cell r="C531" t="str">
            <v>Belanja Iuran Jaminan Kesehatan ASN</v>
          </cell>
          <cell r="D531">
            <v>27139649927</v>
          </cell>
        </row>
        <row r="532">
          <cell r="C532" t="str">
            <v>Belanja Iuran Jaminan Kecelakaan Kerja ASN</v>
          </cell>
          <cell r="D532">
            <v>730443780</v>
          </cell>
        </row>
        <row r="533">
          <cell r="C533" t="str">
            <v>Belanja Iuran Jaminan Kematian ASN</v>
          </cell>
          <cell r="D533">
            <v>2180786578</v>
          </cell>
        </row>
        <row r="534">
          <cell r="C534" t="str">
            <v>Belanja Iuran Simpanan Peserta Tabungan Perumahan Rakyat ASN</v>
          </cell>
          <cell r="D534">
            <v>1923203475</v>
          </cell>
        </row>
        <row r="535">
          <cell r="C535" t="str">
            <v>Belanja Jaminan Hari Tua ASN</v>
          </cell>
          <cell r="D535">
            <v>0</v>
          </cell>
        </row>
        <row r="536">
          <cell r="C536" t="str">
            <v>Belanja Tunjangan Khusus*)</v>
          </cell>
          <cell r="D536">
            <v>0</v>
          </cell>
        </row>
        <row r="537">
          <cell r="C537" t="str">
            <v>Belanja Zakat ASN</v>
          </cell>
          <cell r="D537">
            <v>0</v>
          </cell>
        </row>
        <row r="538">
          <cell r="C538" t="str">
            <v>Belanja Tambahan Penghasilan ASN</v>
          </cell>
          <cell r="D538">
            <v>214226670811</v>
          </cell>
        </row>
        <row r="539">
          <cell r="C539" t="str">
            <v>Tambahan Penghasilan berdasarkan Beban Kerja ASN</v>
          </cell>
          <cell r="D539">
            <v>29837294299</v>
          </cell>
        </row>
        <row r="540">
          <cell r="C540" t="str">
            <v>Tambahan Penghasilan berdasarkan Tempat Bertugas ASN</v>
          </cell>
          <cell r="D540">
            <v>0</v>
          </cell>
        </row>
        <row r="541">
          <cell r="C541" t="str">
            <v>Tambahan Penghasilan berdasarkan Kondisi Kerja ASN</v>
          </cell>
          <cell r="D541">
            <v>73060382946</v>
          </cell>
        </row>
        <row r="542">
          <cell r="C542" t="str">
            <v>Tambahan Penghasilan berdasarkan Kelangkaan Profesi ASN</v>
          </cell>
          <cell r="D542">
            <v>150489686</v>
          </cell>
        </row>
        <row r="543">
          <cell r="C543" t="str">
            <v>Tambahan Penghasilan berdasarkan Prestasi Kerja ASN</v>
          </cell>
          <cell r="D543">
            <v>41780941597</v>
          </cell>
        </row>
        <row r="544">
          <cell r="C544" t="str">
            <v>Tambahan Penghasilan berdasarkan Pertimbangan Objektif Lainnya ASN</v>
          </cell>
          <cell r="D544">
            <v>69397562283</v>
          </cell>
        </row>
        <row r="545">
          <cell r="C545" t="str">
            <v>Tambahan Penghasilan berdasarkan Pertimbangan Objektif Lainnya ASN</v>
          </cell>
          <cell r="D545">
            <v>0</v>
          </cell>
        </row>
        <row r="546">
          <cell r="C546" t="str">
            <v>Belanja Insentif bagi ASN atas Pemungutan Pajak Daerah</v>
          </cell>
          <cell r="D546">
            <v>0</v>
          </cell>
        </row>
        <row r="547">
          <cell r="C547" t="str">
            <v>Belanja bagi ASN atas Insentif Pemungutan Retribusi Daerah</v>
          </cell>
          <cell r="D547">
            <v>0</v>
          </cell>
        </row>
        <row r="548">
          <cell r="C548" t="str">
            <v>Belanja Tunjangan Profesi Guru (TPG) PNSD</v>
          </cell>
          <cell r="D548">
            <v>0</v>
          </cell>
        </row>
        <row r="549">
          <cell r="C549" t="str">
            <v>Belanja Tunjangan Khusus Guru (TKG) PNSD</v>
          </cell>
          <cell r="D549">
            <v>0</v>
          </cell>
        </row>
        <row r="550">
          <cell r="C550" t="str">
            <v>Belanja Tambahan Penghasilan (Tamsil) Guru PNSD</v>
          </cell>
          <cell r="D550">
            <v>0</v>
          </cell>
        </row>
        <row r="551">
          <cell r="C551" t="str">
            <v>Belanja Jasa Pelayanan Kesehatan bagi ASN</v>
          </cell>
          <cell r="D551">
            <v>0</v>
          </cell>
        </row>
        <row r="552">
          <cell r="C552" t="str">
            <v>Belanja Honorarium</v>
          </cell>
          <cell r="D552">
            <v>0</v>
          </cell>
        </row>
        <row r="553">
          <cell r="C553" t="str">
            <v>Belanja Jasa Pengelolaan BMD</v>
          </cell>
          <cell r="D553">
            <v>0</v>
          </cell>
        </row>
        <row r="554">
          <cell r="C554" t="str">
            <v>Belanja Tunjangan Profesi Guru (TPG) PPPK</v>
          </cell>
          <cell r="D554">
            <v>0</v>
          </cell>
        </row>
        <row r="555">
          <cell r="C555" t="str">
            <v>Belanja Tunjangan Khusus Guru (TKG) PPPK</v>
          </cell>
          <cell r="D555">
            <v>0</v>
          </cell>
        </row>
        <row r="556">
          <cell r="C556" t="str">
            <v>Belanja Tambahan Penghasilan (Tamsil) Guru PPPK</v>
          </cell>
          <cell r="D556">
            <v>0</v>
          </cell>
        </row>
        <row r="557">
          <cell r="C557" t="str">
            <v>Belanja Tunjangan Khusus bagi Penyelenggara Pelayanan Terpadu Satu Pintu (PTSP) Daerah</v>
          </cell>
          <cell r="D557">
            <v>0</v>
          </cell>
        </row>
        <row r="558">
          <cell r="C558" t="str">
            <v>Belanja Gaji dan Tunjangan DPRD</v>
          </cell>
          <cell r="D558">
            <v>14029141440</v>
          </cell>
        </row>
        <row r="559">
          <cell r="C559" t="str">
            <v>Belanja Uang Representasi DPRD</v>
          </cell>
          <cell r="D559">
            <v>561540000</v>
          </cell>
        </row>
        <row r="560">
          <cell r="C560" t="str">
            <v>Belanja Tunjangan Keluarga DPRD</v>
          </cell>
          <cell r="D560">
            <v>78615000</v>
          </cell>
        </row>
        <row r="561">
          <cell r="C561" t="str">
            <v>Belanja Tunjangan Beras DPRD</v>
          </cell>
          <cell r="D561">
            <v>101388000</v>
          </cell>
        </row>
        <row r="562">
          <cell r="C562" t="str">
            <v>Belanja Uang Paket DPRD</v>
          </cell>
          <cell r="D562">
            <v>56154000</v>
          </cell>
        </row>
        <row r="563">
          <cell r="C563" t="str">
            <v>Belanja Tunjangan Jabatan DPRD</v>
          </cell>
          <cell r="D563">
            <v>814233000</v>
          </cell>
        </row>
        <row r="564">
          <cell r="C564" t="str">
            <v>Belanja Tunjangan Alat Kelengkapan DPRD</v>
          </cell>
          <cell r="D564">
            <v>87391500</v>
          </cell>
        </row>
        <row r="565">
          <cell r="C565" t="str">
            <v>Belanja Tunjangan Alat Kelengkapan Lainnya DPRD</v>
          </cell>
          <cell r="D565">
            <v>13002150</v>
          </cell>
        </row>
        <row r="566">
          <cell r="C566" t="str">
            <v>Belanja Tunjangan Komunikasi Intensif Pimpinan dan Anggota DPRD</v>
          </cell>
          <cell r="D566">
            <v>4410000000</v>
          </cell>
        </row>
        <row r="567">
          <cell r="C567" t="str">
            <v>Belanja Tunjangan Reses DPRD</v>
          </cell>
          <cell r="D567">
            <v>1102500000</v>
          </cell>
        </row>
        <row r="568">
          <cell r="C568" t="str">
            <v>Belanja Pembebanan PPh kepada Pimpinan dan Anggota DPRD</v>
          </cell>
          <cell r="D568">
            <v>267566494</v>
          </cell>
        </row>
        <row r="569">
          <cell r="C569" t="str">
            <v>Belanja Pembulatan Gaji DPRD</v>
          </cell>
          <cell r="D569">
            <v>0</v>
          </cell>
        </row>
        <row r="570">
          <cell r="C570" t="str">
            <v>Belanja Tunjangan Kesejahteraan Pimpinan dan Anggota DPRD</v>
          </cell>
          <cell r="D570">
            <v>3392091296</v>
          </cell>
        </row>
        <row r="571">
          <cell r="C571" t="str">
            <v>Belanja Tunjangan Transportasi DPRD</v>
          </cell>
          <cell r="D571">
            <v>2904000000</v>
          </cell>
        </row>
        <row r="572">
          <cell r="C572" t="str">
            <v>Belanja Uang Jasa Pengabdian DPRD</v>
          </cell>
          <cell r="D572">
            <v>240660000</v>
          </cell>
        </row>
        <row r="573">
          <cell r="C573" t="str">
            <v>Belanja Gaji dan Tunjangan KDH/WKDH</v>
          </cell>
          <cell r="D573">
            <v>234688846</v>
          </cell>
        </row>
        <row r="574">
          <cell r="C574" t="str">
            <v>Belanja Gaji Pokok KDH/WKDH</v>
          </cell>
          <cell r="D574">
            <v>109200000</v>
          </cell>
        </row>
        <row r="575">
          <cell r="C575" t="str">
            <v>Belanja Tunjangan Keluarga KDH/WKDH</v>
          </cell>
          <cell r="D575">
            <v>7670762</v>
          </cell>
        </row>
        <row r="576">
          <cell r="C576" t="str">
            <v>Belanja Tunjangan Jabatan KDH/WKDH</v>
          </cell>
          <cell r="D576">
            <v>99280000</v>
          </cell>
        </row>
        <row r="577">
          <cell r="C577" t="str">
            <v>Belanja Tunjangan Beras KDH/WKDH</v>
          </cell>
          <cell r="D577">
            <v>8111040</v>
          </cell>
        </row>
        <row r="578">
          <cell r="C578" t="str">
            <v>Belanja Tunjangan PPh/Tunjangan Khusus KDH/WKDH</v>
          </cell>
          <cell r="D578">
            <v>1011104</v>
          </cell>
        </row>
        <row r="579">
          <cell r="C579" t="str">
            <v>Belanja Pembulatan Gaji KDH/WKDH</v>
          </cell>
          <cell r="D579">
            <v>1500</v>
          </cell>
        </row>
        <row r="580">
          <cell r="C580" t="str">
            <v>Belanja Iuran Jaminan Kesehatan bagi KDH/WKDH</v>
          </cell>
          <cell r="D580">
            <v>8366100</v>
          </cell>
        </row>
        <row r="581">
          <cell r="C581" t="str">
            <v>Belanja Iuran Jaminan Kecelakaan Kerja KDH/WKDH</v>
          </cell>
          <cell r="D581">
            <v>262100</v>
          </cell>
        </row>
        <row r="582">
          <cell r="C582" t="str">
            <v>Belanja Iuran Jaminan Kematian KDH/WKDH</v>
          </cell>
          <cell r="D582">
            <v>786240</v>
          </cell>
        </row>
        <row r="583">
          <cell r="C583" t="str">
            <v>Belanja Insentif bagi KDH/WKDH atas Pemungutan Pajak Daerah</v>
          </cell>
          <cell r="D583">
            <v>0</v>
          </cell>
        </row>
        <row r="584">
          <cell r="C584" t="str">
            <v>Belanja Insentif bagi KDH/WKDH atas Pemungutan Retribusi Daerah bagi KDH/WKDH</v>
          </cell>
          <cell r="D584">
            <v>0</v>
          </cell>
        </row>
        <row r="585">
          <cell r="C585" t="str">
            <v>Belanja Jasa Pengelolaan BMD bagi KDH</v>
          </cell>
          <cell r="D585">
            <v>0</v>
          </cell>
        </row>
        <row r="586">
          <cell r="C586" t="str">
            <v>Belanja Penerimaan Lainnya Pimpinan DPRD serta KDH/WKDH</v>
          </cell>
          <cell r="D586">
            <v>912480000</v>
          </cell>
        </row>
        <row r="587">
          <cell r="C587" t="str">
            <v>Belanja Dana Operasional Pimpinan DPRD</v>
          </cell>
          <cell r="D587">
            <v>312480000</v>
          </cell>
        </row>
        <row r="588">
          <cell r="C588" t="str">
            <v>Belanja Dana Operasional KDH/WKDH</v>
          </cell>
          <cell r="D588">
            <v>600000000</v>
          </cell>
        </row>
        <row r="589">
          <cell r="C589" t="str">
            <v>Belanja Gaji dan Tunjangan MRP</v>
          </cell>
          <cell r="D589">
            <v>0</v>
          </cell>
        </row>
        <row r="590">
          <cell r="C590" t="str">
            <v>Belanja Uang Representasi MRP</v>
          </cell>
          <cell r="D590">
            <v>0</v>
          </cell>
        </row>
        <row r="591">
          <cell r="C591" t="str">
            <v>Belanja Tunjangan Keluarga MRP</v>
          </cell>
          <cell r="D591">
            <v>0</v>
          </cell>
        </row>
        <row r="592">
          <cell r="C592" t="str">
            <v>Belanja Tunjangan Beras MRP</v>
          </cell>
          <cell r="D592">
            <v>0</v>
          </cell>
        </row>
        <row r="593">
          <cell r="C593" t="str">
            <v>Belanja Uang Paket MRP</v>
          </cell>
          <cell r="D593">
            <v>0</v>
          </cell>
        </row>
        <row r="594">
          <cell r="C594" t="str">
            <v>Belanja Tunjangan Jabatan MRP</v>
          </cell>
          <cell r="D594">
            <v>0</v>
          </cell>
        </row>
        <row r="595">
          <cell r="C595" t="str">
            <v>Belanja Tunjangan Kelompok Kerja MRP</v>
          </cell>
          <cell r="D595">
            <v>0</v>
          </cell>
        </row>
        <row r="596">
          <cell r="C596" t="str">
            <v>Belanja Uang Penghargaan MRP</v>
          </cell>
          <cell r="D596">
            <v>0</v>
          </cell>
        </row>
        <row r="597">
          <cell r="C597" t="str">
            <v>Belanja Tunjangan Komunikasi Intensif MRP</v>
          </cell>
          <cell r="D597">
            <v>0</v>
          </cell>
        </row>
        <row r="598">
          <cell r="C598" t="str">
            <v>Belanja Tunjangan Transportasi MRP</v>
          </cell>
          <cell r="D598">
            <v>0</v>
          </cell>
        </row>
        <row r="599">
          <cell r="C599" t="str">
            <v>Belanja Pembebanan PPh kepada Pimpinan dan Anggota MRP</v>
          </cell>
          <cell r="D599">
            <v>0</v>
          </cell>
        </row>
        <row r="600">
          <cell r="C600" t="str">
            <v>Belanja Pembulatan Gaji MRP</v>
          </cell>
          <cell r="D600">
            <v>0</v>
          </cell>
        </row>
        <row r="601">
          <cell r="C601" t="str">
            <v>Belanja Tunjangan Kesejahteraan Pimpinan dan Anggota MRP</v>
          </cell>
          <cell r="D601">
            <v>0</v>
          </cell>
        </row>
        <row r="602">
          <cell r="C602" t="str">
            <v>Belanja Gaji dan Tunjangan Perangkat Lembaga Wali Nanggroe</v>
          </cell>
          <cell r="D602">
            <v>0</v>
          </cell>
        </row>
        <row r="603">
          <cell r="C603" t="str">
            <v>Belanja Gaji dan Tunjangan Wali Nanggroe</v>
          </cell>
          <cell r="D603">
            <v>0</v>
          </cell>
        </row>
        <row r="604">
          <cell r="C604" t="str">
            <v>Belanja Gaji dan Tunjangan Waliyul Ahdi</v>
          </cell>
          <cell r="D604">
            <v>0</v>
          </cell>
        </row>
        <row r="605">
          <cell r="C605" t="str">
            <v>Belanja Gaji dan Tunjangan Majelis Tinggi</v>
          </cell>
          <cell r="D605">
            <v>0</v>
          </cell>
        </row>
        <row r="606">
          <cell r="C606" t="str">
            <v>Belanja Gaji dan Tunjangan Majelis Fungsional</v>
          </cell>
          <cell r="D606">
            <v>0</v>
          </cell>
        </row>
        <row r="607">
          <cell r="C607" t="str">
            <v>Belanja Pegawai BOS</v>
          </cell>
          <cell r="D607">
            <v>0</v>
          </cell>
        </row>
        <row r="608">
          <cell r="C608" t="str">
            <v>Belanja Pegawai BOS</v>
          </cell>
          <cell r="D608">
            <v>0</v>
          </cell>
        </row>
        <row r="609">
          <cell r="C609" t="str">
            <v>Belanja Pegawai BOSP</v>
          </cell>
          <cell r="D609">
            <v>83750000</v>
          </cell>
        </row>
        <row r="610">
          <cell r="C610" t="str">
            <v>Belanja Pegawai BOSP-BOS</v>
          </cell>
          <cell r="D610">
            <v>83750000</v>
          </cell>
        </row>
        <row r="611">
          <cell r="C611" t="str">
            <v>Belanja Pegawai BOSP-BOP PAUD</v>
          </cell>
          <cell r="D611">
            <v>0</v>
          </cell>
        </row>
        <row r="612">
          <cell r="C612" t="str">
            <v>Belanja Pegawai BOSP-BOP Kesetaraan</v>
          </cell>
          <cell r="D612">
            <v>0</v>
          </cell>
        </row>
        <row r="613">
          <cell r="C613" t="str">
            <v>Belanja Pegawai BLUD</v>
          </cell>
          <cell r="D613">
            <v>9408388899</v>
          </cell>
        </row>
        <row r="614">
          <cell r="C614" t="str">
            <v>Belanja Pegawai BLUD</v>
          </cell>
          <cell r="D614">
            <v>9408388899</v>
          </cell>
        </row>
        <row r="615">
          <cell r="C615" t="str">
            <v>Belanja Barang dan Jasa</v>
          </cell>
          <cell r="D615">
            <v>703795186327.25</v>
          </cell>
        </row>
        <row r="616">
          <cell r="C616" t="str">
            <v>Belanja Barang</v>
          </cell>
          <cell r="D616">
            <v>311205388281.75</v>
          </cell>
        </row>
        <row r="617">
          <cell r="C617" t="str">
            <v>Belanja Barang Pakai Habis</v>
          </cell>
          <cell r="D617">
            <v>311058234281.75</v>
          </cell>
        </row>
        <row r="618">
          <cell r="C618" t="str">
            <v>Belanja Barang Tak Habis Pakai</v>
          </cell>
          <cell r="D618">
            <v>81355000</v>
          </cell>
        </row>
        <row r="619">
          <cell r="C619" t="str">
            <v>Belanja Barang Bekas Dipakai</v>
          </cell>
          <cell r="D619">
            <v>0</v>
          </cell>
        </row>
        <row r="620">
          <cell r="C620" t="str">
            <v>Belanja Aset Tetap yang Tidak Memenuhi Kriteria Kapitalisasi</v>
          </cell>
          <cell r="D620">
            <v>65799000</v>
          </cell>
        </row>
        <row r="621">
          <cell r="C621" t="str">
            <v>Belanja Jasa</v>
          </cell>
          <cell r="D621">
            <v>161783612672</v>
          </cell>
        </row>
        <row r="622">
          <cell r="C622" t="str">
            <v>Belanja Jasa Kantor</v>
          </cell>
          <cell r="D622">
            <v>93678778374</v>
          </cell>
        </row>
        <row r="623">
          <cell r="C623" t="str">
            <v>Belanja Iuran Jaminan/Asuransi</v>
          </cell>
          <cell r="D623">
            <v>16096996858</v>
          </cell>
        </row>
        <row r="624">
          <cell r="C624" t="str">
            <v>Belanja Sewa Tanah</v>
          </cell>
          <cell r="D624">
            <v>0</v>
          </cell>
        </row>
        <row r="625">
          <cell r="C625" t="str">
            <v>Belanja Sewa Peralatan dan Mesin</v>
          </cell>
          <cell r="D625">
            <v>7229429500</v>
          </cell>
        </row>
        <row r="626">
          <cell r="C626" t="str">
            <v>Belanja Sewa Gedung dan Bangunan</v>
          </cell>
          <cell r="D626">
            <v>1284100000</v>
          </cell>
        </row>
        <row r="627">
          <cell r="C627" t="str">
            <v>Belanja Sewa Jalan, Jaringan dan Irigasi</v>
          </cell>
          <cell r="D627">
            <v>0</v>
          </cell>
        </row>
        <row r="628">
          <cell r="C628" t="str">
            <v>Belanja Sewa Aset Tetap Lainnya</v>
          </cell>
          <cell r="D628">
            <v>168150000</v>
          </cell>
        </row>
        <row r="629">
          <cell r="C629" t="str">
            <v>Belanja Jasa Konsultansi Konstruksi</v>
          </cell>
          <cell r="D629">
            <v>16940579440</v>
          </cell>
        </row>
        <row r="630">
          <cell r="C630" t="str">
            <v>Belanja Jasa Konsultansi Non Konstruksi</v>
          </cell>
          <cell r="D630">
            <v>6989714000</v>
          </cell>
        </row>
        <row r="631">
          <cell r="C631" t="str">
            <v>Belanja Jasa Ketersediaan Layanan (Availibility Payment)</v>
          </cell>
          <cell r="D631">
            <v>0</v>
          </cell>
        </row>
        <row r="632">
          <cell r="C632" t="str">
            <v>Belanja Beasiswa Pendidikan PNS</v>
          </cell>
          <cell r="D632">
            <v>300000000</v>
          </cell>
        </row>
        <row r="633">
          <cell r="C633" t="str">
            <v>Belanja Kursus/Pelatihan, Sosialisasi, Bimbingan Teknis serta Pendidikan dan Pelatihan</v>
          </cell>
          <cell r="D633">
            <v>18919288500</v>
          </cell>
        </row>
        <row r="634">
          <cell r="C634" t="str">
            <v>Belanja Jasa Insentif bagi Pegawai Non ASN atas Pemungutan Pajak Daerah</v>
          </cell>
          <cell r="D634">
            <v>0</v>
          </cell>
        </row>
        <row r="635">
          <cell r="C635" t="str">
            <v>Belanja Jasa Insentif bagi Pegawai Non ASN atas Pemungutan Retribusi Daerah</v>
          </cell>
          <cell r="D635">
            <v>30000000</v>
          </cell>
        </row>
        <row r="636">
          <cell r="C636" t="str">
            <v>Belanja Sewa Aset Tidak Berwujud</v>
          </cell>
          <cell r="D636">
            <v>146576000</v>
          </cell>
        </row>
        <row r="637">
          <cell r="C637" t="str">
            <v>Belanja Gaji dan Tunjangan Perangkat Lembaga Wali Nanggroe</v>
          </cell>
          <cell r="D637">
            <v>0</v>
          </cell>
        </row>
        <row r="638">
          <cell r="C638" t="str">
            <v>Belanja Jasa Kerja Sama Pemungutan Pajak Daerah</v>
          </cell>
          <cell r="D638">
            <v>0</v>
          </cell>
        </row>
        <row r="639">
          <cell r="C639" t="str">
            <v>Belanja Jasa Kerja Sama Pemungutan Retribusi Daerah</v>
          </cell>
          <cell r="D639">
            <v>0</v>
          </cell>
        </row>
        <row r="640">
          <cell r="C640" t="str">
            <v>Belanja Jasa Pelayanan Kesehatan bagi ASN</v>
          </cell>
          <cell r="D640">
            <v>0</v>
          </cell>
        </row>
        <row r="641">
          <cell r="C641" t="str">
            <v>Belanja Pemeliharaan</v>
          </cell>
          <cell r="D641">
            <v>65705837223.5</v>
          </cell>
        </row>
        <row r="642">
          <cell r="C642" t="str">
            <v>Belanja Pemeliharaan Tanah</v>
          </cell>
          <cell r="D642">
            <v>630000000</v>
          </cell>
        </row>
        <row r="643">
          <cell r="C643" t="str">
            <v>Belanja Pemeliharaan Peralatan dan Mesin</v>
          </cell>
          <cell r="D643">
            <v>5556932780</v>
          </cell>
        </row>
        <row r="644">
          <cell r="C644" t="str">
            <v>Belanja Pemeliharaan Gedung dan Bangunan</v>
          </cell>
          <cell r="D644">
            <v>14798868419</v>
          </cell>
        </row>
        <row r="645">
          <cell r="C645" t="str">
            <v>Belanja Pemeliharaan Jalan, Jaringan, dan Irigasi</v>
          </cell>
          <cell r="D645">
            <v>44520036024.5</v>
          </cell>
        </row>
        <row r="646">
          <cell r="C646" t="str">
            <v>Belanja Pemeliharaan Aset Tetap Lainnya</v>
          </cell>
          <cell r="D646">
            <v>0</v>
          </cell>
        </row>
        <row r="647">
          <cell r="C647" t="str">
            <v>Belanja Pemeliharaan Aset Tidak Berwujud</v>
          </cell>
          <cell r="D647">
            <v>200000000</v>
          </cell>
        </row>
        <row r="648">
          <cell r="C648" t="str">
            <v>Belanja Perjalanan Dinas</v>
          </cell>
          <cell r="D648">
            <v>50031944000</v>
          </cell>
        </row>
        <row r="649">
          <cell r="C649" t="str">
            <v>Belanja Perjalanan Dinas Dalam Negeri</v>
          </cell>
          <cell r="D649">
            <v>49365966000</v>
          </cell>
        </row>
        <row r="650">
          <cell r="C650" t="str">
            <v>Belanja Perjalanan Dinas Luar Negeri</v>
          </cell>
          <cell r="D650">
            <v>665978000</v>
          </cell>
        </row>
        <row r="651">
          <cell r="C651" t="str">
            <v>Belanja Uang dan/atau Jasa untuk Diberikan kepada Pihak Ketiga/Pihak Lain/Masyarakat</v>
          </cell>
          <cell r="D651">
            <v>52294520000</v>
          </cell>
        </row>
        <row r="652">
          <cell r="C652" t="str">
            <v>Belanja Uang yang Diberikan kepada Pihak Ketiga/Pihak Lain/Masyarakat</v>
          </cell>
          <cell r="D652">
            <v>47662650000</v>
          </cell>
        </row>
        <row r="653">
          <cell r="C653" t="str">
            <v>Belanja Jasa yang Diberikan kepada Pihak Ketiga/Pihak Lain/Masyarakat</v>
          </cell>
          <cell r="D653">
            <v>4631870000</v>
          </cell>
        </row>
        <row r="654">
          <cell r="C654" t="str">
            <v>Belanja Penunjang Otonomi Khusus*)</v>
          </cell>
          <cell r="D654">
            <v>0</v>
          </cell>
        </row>
        <row r="655">
          <cell r="C655" t="str">
            <v>Belanja Penunjang Otonomi Khusus*)</v>
          </cell>
          <cell r="D655">
            <v>0</v>
          </cell>
        </row>
        <row r="656">
          <cell r="C656" t="str">
            <v>Belanja Barang dan Jasa BOS</v>
          </cell>
          <cell r="D656">
            <v>0</v>
          </cell>
        </row>
        <row r="657">
          <cell r="C657" t="str">
            <v>Belanja Barang dan Jasa BOS</v>
          </cell>
          <cell r="D657">
            <v>0</v>
          </cell>
        </row>
        <row r="658">
          <cell r="C658" t="str">
            <v>Belanja Barang dan Jasa BOSP</v>
          </cell>
          <cell r="D658">
            <v>15602411935</v>
          </cell>
        </row>
        <row r="659">
          <cell r="C659" t="str">
            <v>Belanja Barang dan Jasa BOSP-BOS</v>
          </cell>
          <cell r="D659">
            <v>14617951460</v>
          </cell>
        </row>
        <row r="660">
          <cell r="C660" t="str">
            <v>Belanja Barang dan Jasa BOSP-BOP PAUD</v>
          </cell>
          <cell r="D660">
            <v>872660475</v>
          </cell>
        </row>
        <row r="661">
          <cell r="C661" t="str">
            <v>Belanja Barang dan Jasa BOSP-BOP Kesetaraan</v>
          </cell>
          <cell r="D661">
            <v>111800000</v>
          </cell>
        </row>
        <row r="662">
          <cell r="C662" t="str">
            <v>Belanja Barang dan Jasa BOK Puskesmas</v>
          </cell>
          <cell r="D662">
            <v>4909174850</v>
          </cell>
        </row>
        <row r="663">
          <cell r="C663" t="str">
            <v>Belanja Barang dan Jasa BOK Puskesmas</v>
          </cell>
          <cell r="D663">
            <v>4909174850</v>
          </cell>
        </row>
        <row r="664">
          <cell r="C664" t="str">
            <v>Belanja Barang dan Jasa BLUD</v>
          </cell>
          <cell r="D664">
            <v>42262297365</v>
          </cell>
        </row>
        <row r="665">
          <cell r="C665" t="str">
            <v>Belanja Barang dan Jasa BLUD</v>
          </cell>
          <cell r="D665">
            <v>42262297365</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cell r="D668">
            <v>0</v>
          </cell>
        </row>
        <row r="669">
          <cell r="C669" t="str">
            <v>Belanja Bunga Utang Pinjaman kepada Pemerintah Pusat atas Penerusan Pinjaman Dalam Negeri-Jangka Panjang</v>
          </cell>
          <cell r="D669">
            <v>0</v>
          </cell>
        </row>
        <row r="670">
          <cell r="C670" t="str">
            <v>Belanja Bunga Utang Pinjaman kepada Pemerintah Pusat atas Penerusan Pinjaman Luar Negeri-Jangka Menengah</v>
          </cell>
          <cell r="D670">
            <v>0</v>
          </cell>
        </row>
        <row r="671">
          <cell r="C671" t="str">
            <v>Belanja Bunga Utang Pinjaman kepada Pemerintah Pusat atas Penerusan Pinjaman Luar Negeri-Jangka Panjang</v>
          </cell>
          <cell r="D671">
            <v>0</v>
          </cell>
        </row>
        <row r="672">
          <cell r="C672" t="str">
            <v>Belanja Bunga Utang Pinjaman Sumber Lainnya sesuai Ketentuan Peraturan Perundang-Undangan-Jangka Menengah</v>
          </cell>
          <cell r="D672">
            <v>0</v>
          </cell>
        </row>
        <row r="673">
          <cell r="C673" t="str">
            <v>Belanja Bunga Utang Pinjaman Sumber Lainnya sesuai Ketentuan Peraturan Perundang-Undangan-Jangka Panjang</v>
          </cell>
          <cell r="D673">
            <v>0</v>
          </cell>
        </row>
        <row r="674">
          <cell r="C674" t="str">
            <v>Belanja Bunga Utang Pinjaman kepada Pemerintah Daerah Lain</v>
          </cell>
          <cell r="D674">
            <v>0</v>
          </cell>
        </row>
        <row r="675">
          <cell r="C675" t="str">
            <v>Belanja Bunga Utang Pinjaman kepada Pemerintah Daerah-Jangka Pendek</v>
          </cell>
          <cell r="D675">
            <v>0</v>
          </cell>
        </row>
        <row r="676">
          <cell r="C676" t="str">
            <v>Belanja Bunga Utang Pinjaman kepada Lembaga Keuangan Bank (LKB)</v>
          </cell>
          <cell r="D676">
            <v>0</v>
          </cell>
        </row>
        <row r="677">
          <cell r="C677" t="str">
            <v>Belanja Bunga Utang Pinjaman kepada Lembaga Keuangan Bank (LKB)-BUMN-Jangka Pendek</v>
          </cell>
          <cell r="D677">
            <v>0</v>
          </cell>
        </row>
        <row r="678">
          <cell r="C678" t="str">
            <v>Belanja Bunga Utang Pinjaman kepada Lembaga Keuangan Bank (LKB)-BUMN-Jangka Menengah</v>
          </cell>
          <cell r="D678">
            <v>0</v>
          </cell>
        </row>
        <row r="679">
          <cell r="C679" t="str">
            <v>Belanja Bunga Utang Pinjaman kepada Lembaga Keuangan Bank (LKB)-BUMN-Jangka Panjang</v>
          </cell>
          <cell r="D679">
            <v>0</v>
          </cell>
        </row>
        <row r="680">
          <cell r="C680" t="str">
            <v>Belanja Bunga Utang Pinjaman kepada Lembaga Keuangan Bank (LKB)-BUMD-Jangka Pendek</v>
          </cell>
          <cell r="D680">
            <v>0</v>
          </cell>
        </row>
        <row r="681">
          <cell r="C681" t="str">
            <v>Belanja Bunga Utang Pinjaman kepada Lembaga Keuangan Bank (LKB)-BUMD-Jangka Menengah</v>
          </cell>
          <cell r="D681">
            <v>0</v>
          </cell>
        </row>
        <row r="682">
          <cell r="C682" t="str">
            <v>Belanja Bunga Utang Pinjaman kepada Lembaga Keuangan Bank (LKB)-BUMD-Jangka Panjang</v>
          </cell>
          <cell r="D682">
            <v>0</v>
          </cell>
        </row>
        <row r="683">
          <cell r="C683" t="str">
            <v>Belanja Bunga Utang Pinjaman kepada Lembaga Keuangan Bank (LKB)-Swasta-Jangka Pendek</v>
          </cell>
          <cell r="D683">
            <v>0</v>
          </cell>
        </row>
        <row r="684">
          <cell r="C684" t="str">
            <v>Belanja Bunga Utang Pinjaman kepada Lembaga Keuangan Bank (LKB)-Swasta-Jangka Menengah</v>
          </cell>
          <cell r="D684">
            <v>0</v>
          </cell>
        </row>
        <row r="685">
          <cell r="C685" t="str">
            <v>Belanja Bunga Utang Pinjaman kepada Lembaga Keuangan Bank (LKB)-Swasta-Jangka Panjang</v>
          </cell>
          <cell r="D685">
            <v>0</v>
          </cell>
        </row>
        <row r="686">
          <cell r="C686" t="str">
            <v>Belanja Bunga Utang Pinjaman kepada Lembaga Keuangan Bukan Bank (LKBB)</v>
          </cell>
          <cell r="D686">
            <v>0</v>
          </cell>
        </row>
        <row r="687">
          <cell r="C687" t="str">
            <v>Belanja Bunga Utang Pinjaman kepada Lembaga Keuangan Bukan Bank (LKBB)-BUMN-Jangka Pendek</v>
          </cell>
          <cell r="D687">
            <v>0</v>
          </cell>
        </row>
        <row r="688">
          <cell r="C688" t="str">
            <v>Belanja Bunga Utang Pinjaman kepada Lembaga Keuangan Bukan Bank (LKBB)-BUMN-Jangka Menengah</v>
          </cell>
          <cell r="D688">
            <v>0</v>
          </cell>
        </row>
        <row r="689">
          <cell r="C689" t="str">
            <v>Belanja Bunga Utang Pinjaman kepada Lembaga Keuangan Bukan Bank (LKBB)-BUMN-Jangka Panjang</v>
          </cell>
          <cell r="D689">
            <v>0</v>
          </cell>
        </row>
        <row r="690">
          <cell r="C690" t="str">
            <v>Belanja Bunga Utang Pinjaman kepada Lembaga Keuangan Bukan Bank (LKBB)-BUMD-Jangka Pendek</v>
          </cell>
          <cell r="D690">
            <v>0</v>
          </cell>
        </row>
        <row r="691">
          <cell r="C691" t="str">
            <v>Belanja Bunga Utang Pinjaman kepada Lembaga Keuangan Bukan Bank (LKBB)-BUMD-Jangka Menengah</v>
          </cell>
          <cell r="D691">
            <v>0</v>
          </cell>
        </row>
        <row r="692">
          <cell r="C692" t="str">
            <v>Belanja Bunga Utang Pinjaman kepada Lembaga Keuangan Bukan Bank (LKBB)-BUMD-Jangka Panjang</v>
          </cell>
          <cell r="D692">
            <v>0</v>
          </cell>
        </row>
        <row r="693">
          <cell r="C693" t="str">
            <v>Belanja Bunga Utang Pinjaman kepada Lembaga Keuangan Bukan Bank (LKBB)-Swasta-Jangka Pendek</v>
          </cell>
          <cell r="D693">
            <v>0</v>
          </cell>
        </row>
        <row r="694">
          <cell r="C694" t="str">
            <v>Belanja Bunga Utang Pinjaman kepada Lembaga Keuangan Bukan Bank (LKBB)-Swasta-Jangka Menengah</v>
          </cell>
          <cell r="D694">
            <v>0</v>
          </cell>
        </row>
        <row r="695">
          <cell r="C695" t="str">
            <v>Belanja Bunga Utang Pinjaman kepada Lembaga Keuangan Bukan Bank (LKBB)-Swasta-Jangka Panjang</v>
          </cell>
          <cell r="D695">
            <v>0</v>
          </cell>
        </row>
        <row r="696">
          <cell r="C696" t="str">
            <v>Belanja Bunga Utang Kepada Masyarakat (Obligasi)</v>
          </cell>
          <cell r="D696">
            <v>0</v>
          </cell>
        </row>
        <row r="697">
          <cell r="C697" t="str">
            <v>Belanja Bunga Utang Kepada Masyarakat (Obligasi)</v>
          </cell>
          <cell r="D697">
            <v>0</v>
          </cell>
        </row>
        <row r="698">
          <cell r="C698" t="str">
            <v>Belanja Bunga Utang Pinjaman melalui BLUD</v>
          </cell>
          <cell r="D698">
            <v>0</v>
          </cell>
        </row>
        <row r="699">
          <cell r="C699" t="str">
            <v>Belanja Bunga Utang Pinjaman melalui BLUD-Jangka Pendek</v>
          </cell>
          <cell r="D699">
            <v>0</v>
          </cell>
        </row>
        <row r="700">
          <cell r="C700" t="str">
            <v>Belanja Bunga Utang Pinjaman melalui BLUD-Jangka Menengah</v>
          </cell>
          <cell r="D700">
            <v>0</v>
          </cell>
        </row>
        <row r="701">
          <cell r="C701" t="str">
            <v>Belanja Bunga Utang Pinjaman melalui BLUD-Jangka Panjang</v>
          </cell>
          <cell r="D701">
            <v>0</v>
          </cell>
        </row>
        <row r="702">
          <cell r="C702" t="str">
            <v>Belanja Bunga Pembiayaan Utang Daerah-Pinjaman Daerah</v>
          </cell>
          <cell r="D702">
            <v>0</v>
          </cell>
        </row>
        <row r="703">
          <cell r="C703" t="str">
            <v>Belanja Bunga Pinjaman Daerah dari Pemerintah</v>
          </cell>
          <cell r="D703">
            <v>0</v>
          </cell>
        </row>
        <row r="704">
          <cell r="C704" t="str">
            <v>Belanja Bunga Pinjaman Daerah dari Pemerintah Daerah Lain</v>
          </cell>
          <cell r="D704">
            <v>0</v>
          </cell>
        </row>
        <row r="705">
          <cell r="C705" t="str">
            <v>Belanja Bunga Pinjaman Daerah dari Lembaga Keuangan Bank (LKB)</v>
          </cell>
          <cell r="D705">
            <v>0</v>
          </cell>
        </row>
        <row r="706">
          <cell r="C706" t="str">
            <v>Belanja Bunga Pinjaman Daerah dari Lembaga Keuangan Bukan Bank (LKBB)</v>
          </cell>
          <cell r="D706">
            <v>0</v>
          </cell>
        </row>
        <row r="707">
          <cell r="C707" t="str">
            <v>Belanja Bunga Pembiayaan Utang Daerah-Obligasi Daerah</v>
          </cell>
          <cell r="D707">
            <v>0</v>
          </cell>
        </row>
        <row r="708">
          <cell r="C708" t="str">
            <v>Belanja Bunga Obligasi Daerah</v>
          </cell>
          <cell r="D708"/>
        </row>
        <row r="709">
          <cell r="C709" t="str">
            <v>Belanja Subsidi</v>
          </cell>
          <cell r="D709">
            <v>0</v>
          </cell>
        </row>
        <row r="710">
          <cell r="C710" t="str">
            <v>Belanja Subsidi kepada BUMN</v>
          </cell>
          <cell r="D710">
            <v>0</v>
          </cell>
        </row>
        <row r="711">
          <cell r="C711" t="str">
            <v>Belanja Subsidi kepada BUMN</v>
          </cell>
          <cell r="D711">
            <v>0</v>
          </cell>
        </row>
        <row r="712">
          <cell r="C712" t="str">
            <v>Belanja Subsidi kepada BUMD</v>
          </cell>
          <cell r="D712">
            <v>0</v>
          </cell>
        </row>
        <row r="713">
          <cell r="C713" t="str">
            <v>Belanja Subsidi kepada BUMD</v>
          </cell>
          <cell r="D713">
            <v>0</v>
          </cell>
        </row>
        <row r="714">
          <cell r="C714" t="str">
            <v>Belanja Subsidi kepada Badan Usaha Milik Swasta</v>
          </cell>
          <cell r="D714">
            <v>0</v>
          </cell>
        </row>
        <row r="715">
          <cell r="C715" t="str">
            <v>Belanja Subsidi kepada Badan Usaha Milik Swasta</v>
          </cell>
          <cell r="D715">
            <v>0</v>
          </cell>
        </row>
        <row r="716">
          <cell r="C716" t="str">
            <v>Belanja Subsidi kepada Koperasi</v>
          </cell>
          <cell r="D716">
            <v>0</v>
          </cell>
        </row>
        <row r="717">
          <cell r="C717" t="str">
            <v>Belanja Subsidi kepada Koperasi</v>
          </cell>
          <cell r="D717">
            <v>0</v>
          </cell>
        </row>
        <row r="718">
          <cell r="C718" t="str">
            <v>Belanja Hibah</v>
          </cell>
          <cell r="D718">
            <v>57692289917.459999</v>
          </cell>
        </row>
        <row r="719">
          <cell r="C719" t="str">
            <v>Belanja Hibah kepada Pemerintah Pusat</v>
          </cell>
          <cell r="D719">
            <v>8082364343</v>
          </cell>
        </row>
        <row r="720">
          <cell r="C720" t="str">
            <v>Belanja Hibah Uang kepada Pemerintah Pusat</v>
          </cell>
          <cell r="D720">
            <v>0</v>
          </cell>
        </row>
        <row r="721">
          <cell r="C721" t="str">
            <v>Belanja Hibah Barang kepada Pemerintah Pusat</v>
          </cell>
          <cell r="D721">
            <v>8082364343</v>
          </cell>
        </row>
        <row r="722">
          <cell r="C722" t="str">
            <v>Belanja Hibah Jasa kepada Pemerintah Pusat</v>
          </cell>
          <cell r="D722">
            <v>0</v>
          </cell>
        </row>
        <row r="723">
          <cell r="C723" t="str">
            <v>Belanja Hibah kepada Pemerintah Daerah Lainnya</v>
          </cell>
          <cell r="D723">
            <v>0</v>
          </cell>
        </row>
        <row r="724">
          <cell r="C724" t="str">
            <v>Belanja Hibah Uang kepada Pemerintah Daerah Lainnya</v>
          </cell>
          <cell r="D724">
            <v>0</v>
          </cell>
        </row>
        <row r="725">
          <cell r="C725" t="str">
            <v>Belanja Hibah Barang kepada Pemerintah Daerah Lainnya</v>
          </cell>
          <cell r="D725">
            <v>0</v>
          </cell>
        </row>
        <row r="726">
          <cell r="C726" t="str">
            <v>Belanja Hibah Jasa kepada Pemerintah Daerah Lainnya</v>
          </cell>
          <cell r="D726">
            <v>0</v>
          </cell>
        </row>
        <row r="727">
          <cell r="C727" t="str">
            <v>Belanja Hibah kepada BUMN</v>
          </cell>
          <cell r="D727">
            <v>0</v>
          </cell>
        </row>
        <row r="728">
          <cell r="C728" t="str">
            <v>Belanja Hibah Uang kepada BUMN</v>
          </cell>
          <cell r="D728">
            <v>0</v>
          </cell>
        </row>
        <row r="729">
          <cell r="C729" t="str">
            <v>Belanja Hibah Barang kepada BUMN</v>
          </cell>
          <cell r="D729">
            <v>0</v>
          </cell>
        </row>
        <row r="730">
          <cell r="C730" t="str">
            <v>Belanja Hibah Jasa kepada BUMN</v>
          </cell>
          <cell r="D730">
            <v>0</v>
          </cell>
        </row>
        <row r="731">
          <cell r="C731" t="str">
            <v>Belanja Hibah kepada BUMD</v>
          </cell>
          <cell r="D731">
            <v>0</v>
          </cell>
        </row>
        <row r="732">
          <cell r="C732" t="str">
            <v>Belanja Hibah Uang kepada BUMD</v>
          </cell>
          <cell r="D732">
            <v>0</v>
          </cell>
        </row>
        <row r="733">
          <cell r="C733" t="str">
            <v>Belanja Hibah Barang kepada BUMD</v>
          </cell>
          <cell r="D733">
            <v>0</v>
          </cell>
        </row>
        <row r="734">
          <cell r="C734" t="str">
            <v>Belanja Hibah Jasa kepada BUMD</v>
          </cell>
          <cell r="D734">
            <v>0</v>
          </cell>
        </row>
        <row r="735">
          <cell r="C735" t="str">
            <v>Belanja Hibah kepada Badan, Lembaga, Organisasi Kemasyarakatan yang Berbadan Hukum Indonesia</v>
          </cell>
          <cell r="D735">
            <v>36332822981.459999</v>
          </cell>
        </row>
        <row r="736">
          <cell r="C736" t="str">
            <v>Belanja Hibah kepada Badan dan Lembaga yang Bersifat Nirlaba, Sukarela dan Sosial yang Dibentuk Berdasarkan Peraturan Perundang-Undangan</v>
          </cell>
          <cell r="D736">
            <v>4055000261.46</v>
          </cell>
        </row>
        <row r="737">
          <cell r="C737" t="str">
            <v>Belanja Hibah kepada Badan dan Lembaga Nirlaba, Sukarela dan Sosial yang Telah Memiliki Surat Keterangan Terdaftar</v>
          </cell>
          <cell r="D737">
            <v>26944822720</v>
          </cell>
        </row>
        <row r="738">
          <cell r="C738" t="str">
            <v>Belanja Hibah kepada Badan dan Lembaga Nirlaba, Sukarela Bersifat Sosial Kemasyarakatan</v>
          </cell>
          <cell r="D738">
            <v>275000000</v>
          </cell>
        </row>
        <row r="739">
          <cell r="C739" t="str">
            <v>Belanja Hibah kepada Koperasi</v>
          </cell>
          <cell r="D739">
            <v>4050000000</v>
          </cell>
        </row>
        <row r="740">
          <cell r="C740" t="str">
            <v>Belanja Hibah kepada Usaha Mikro dan Usaha Kecil</v>
          </cell>
          <cell r="D740">
            <v>958000000</v>
          </cell>
        </row>
        <row r="741">
          <cell r="C741" t="str">
            <v>Belanja Hibah kepada Organisasi Kemasyarakatan yang Berbadan Hukum Indonesia</v>
          </cell>
          <cell r="D741">
            <v>50000000</v>
          </cell>
        </row>
        <row r="742">
          <cell r="C742" t="str">
            <v>Belanja Hibah Dana BOS</v>
          </cell>
          <cell r="D742">
            <v>10081818888</v>
          </cell>
        </row>
        <row r="743">
          <cell r="C743" t="str">
            <v>Belanja Hibah Uang Dana BOS yang Diterima oleh Satdikdas Negeri</v>
          </cell>
          <cell r="D743">
            <v>5962050000</v>
          </cell>
        </row>
        <row r="744">
          <cell r="C744" t="str">
            <v>Belanja Hibah Uang Dana BOS yang Diterima oleh Satdikdas Swasta</v>
          </cell>
          <cell r="D744">
            <v>4119768888</v>
          </cell>
        </row>
        <row r="745">
          <cell r="C745" t="str">
            <v>Belanja Hibah Uang Dana BOS yang Diterima oleh Satdikmen Swasta</v>
          </cell>
          <cell r="D745">
            <v>0</v>
          </cell>
        </row>
        <row r="746">
          <cell r="C746" t="str">
            <v>Belanja Hibah Uang Dana BOS yang Diterima oleh Satdiksus Swasta</v>
          </cell>
          <cell r="D746">
            <v>0</v>
          </cell>
        </row>
        <row r="747">
          <cell r="C747" t="str">
            <v>Belanja Hibah Bantuan Keuangan kepada Partai Politik</v>
          </cell>
          <cell r="D747">
            <v>469713705</v>
          </cell>
        </row>
        <row r="748">
          <cell r="C748" t="str">
            <v>Belanja Hibah Bantuan Keuangan kepada Partai Politik</v>
          </cell>
          <cell r="D748">
            <v>469713705</v>
          </cell>
        </row>
        <row r="749">
          <cell r="C749" t="str">
            <v>Belanja Hibah Dana BOSP</v>
          </cell>
          <cell r="D749">
            <v>2725570000</v>
          </cell>
        </row>
        <row r="750">
          <cell r="C750" t="str">
            <v>Belanja Hibah Dana BOSP-BOS</v>
          </cell>
          <cell r="D750">
            <v>0</v>
          </cell>
        </row>
        <row r="751">
          <cell r="C751" t="str">
            <v>Belanja Hibah Dana BOSP-BOP PAUD</v>
          </cell>
          <cell r="D751">
            <v>2507710000</v>
          </cell>
        </row>
        <row r="752">
          <cell r="C752" t="str">
            <v>Belanja Hibah Dana BOSP-BOP Kesetaraan</v>
          </cell>
          <cell r="D752">
            <v>217860000</v>
          </cell>
        </row>
        <row r="753">
          <cell r="C753" t="str">
            <v>Belanja Hibah kepada BUMDesa</v>
          </cell>
          <cell r="D753">
            <v>0</v>
          </cell>
        </row>
        <row r="754">
          <cell r="C754" t="str">
            <v>Belanja Hibah Uang kepada BUMDesa</v>
          </cell>
          <cell r="D754">
            <v>0</v>
          </cell>
        </row>
        <row r="755">
          <cell r="C755" t="str">
            <v>Belanja Hibah Barang kepada BUMDesa</v>
          </cell>
          <cell r="D755">
            <v>0</v>
          </cell>
        </row>
        <row r="756">
          <cell r="C756" t="str">
            <v>Belanja Hibah Jasa kepada BUMDesa</v>
          </cell>
          <cell r="D756">
            <v>0</v>
          </cell>
        </row>
        <row r="757">
          <cell r="C757" t="str">
            <v>Belanja Hibah kepada Koperasi</v>
          </cell>
          <cell r="D757">
            <v>0</v>
          </cell>
        </row>
        <row r="758">
          <cell r="C758" t="str">
            <v>Belanja Hibah Uang kepada Koperasi</v>
          </cell>
          <cell r="D758">
            <v>0</v>
          </cell>
        </row>
        <row r="759">
          <cell r="C759" t="str">
            <v>Belanja Hibah Barang kepada Koperasi</v>
          </cell>
          <cell r="D759">
            <v>0</v>
          </cell>
        </row>
        <row r="760">
          <cell r="C760" t="str">
            <v>Belanja Hibah Jasa kepada Koperasi</v>
          </cell>
          <cell r="D760">
            <v>0</v>
          </cell>
        </row>
        <row r="761">
          <cell r="C761" t="str">
            <v>Belanja Bantuan Sosial</v>
          </cell>
          <cell r="D761">
            <v>14851100000</v>
          </cell>
        </row>
        <row r="762">
          <cell r="C762" t="str">
            <v>Belanja Bantuan Sosial kepada Individu</v>
          </cell>
          <cell r="D762">
            <v>9101000000</v>
          </cell>
        </row>
        <row r="763">
          <cell r="C763" t="str">
            <v>Belanja Bantuan Sosial Uang yang direncanakan kepada Individu</v>
          </cell>
          <cell r="D763">
            <v>9101000000</v>
          </cell>
        </row>
        <row r="764">
          <cell r="C764" t="str">
            <v>Belanja Bantuan Sosial Barang yang Direncanakan kepada Individu</v>
          </cell>
          <cell r="D764">
            <v>0</v>
          </cell>
        </row>
        <row r="765">
          <cell r="C765" t="str">
            <v>Belanja Bantuan Sosial kepada Keluarga</v>
          </cell>
          <cell r="D765">
            <v>5750100000</v>
          </cell>
        </row>
        <row r="766">
          <cell r="C766" t="str">
            <v>Belanja Bantuan Sosial Uang yang direncanakan kepada Keluarga</v>
          </cell>
          <cell r="D766">
            <v>5750100000</v>
          </cell>
        </row>
        <row r="767">
          <cell r="C767" t="str">
            <v>Belanja Bantuan Sosial Barang yang Direncanakan kepada Keluarga</v>
          </cell>
          <cell r="D767">
            <v>0</v>
          </cell>
        </row>
        <row r="768">
          <cell r="C768" t="str">
            <v>Belanja Bantuan Sosial kepada Kelompok Masyarakat</v>
          </cell>
          <cell r="D768">
            <v>0</v>
          </cell>
        </row>
        <row r="769">
          <cell r="C769" t="str">
            <v>Belanja Bantuan Sosial Uang yang direncanakan kepada Kelompok Masyarakat</v>
          </cell>
          <cell r="D769">
            <v>0</v>
          </cell>
        </row>
        <row r="770">
          <cell r="C770" t="str">
            <v>Belanja Bantuan Sosial Barang yang Direncanakan kepada Kelompok Masyarakat</v>
          </cell>
          <cell r="D770">
            <v>0</v>
          </cell>
        </row>
        <row r="771">
          <cell r="C771" t="str">
            <v>Belanja Bantuan Sosial kepada Lembaga Non Pemerintahan (Bidang Pendidikan, Keagamaan dan Bidang Lainnya)</v>
          </cell>
          <cell r="D771">
            <v>0</v>
          </cell>
        </row>
        <row r="772">
          <cell r="C772" t="str">
            <v>Belanja Bantuan Sosial Uang yang direncanakan kepada Lembaga Non Pemerintahan (Bidang Pendidikan, Keagamaan dan Bidang Lainnya)</v>
          </cell>
          <cell r="D772">
            <v>0</v>
          </cell>
        </row>
        <row r="773">
          <cell r="C773" t="str">
            <v>Belanja Bantuan Sosial Barang yang Direncanakan kepada Lembaga Non Pemerintahan Bidang (Pendidikan, Keagamaan dan Bidang Lainnya)</v>
          </cell>
          <cell r="D773">
            <v>0</v>
          </cell>
        </row>
        <row r="774">
          <cell r="C774" t="str">
            <v>Belanja Imbalan</v>
          </cell>
          <cell r="D774">
            <v>0</v>
          </cell>
        </row>
        <row r="775">
          <cell r="C775" t="str">
            <v>Belanja Imbalan Sukuk Daerah</v>
          </cell>
          <cell r="D775">
            <v>0</v>
          </cell>
        </row>
        <row r="776">
          <cell r="C776" t="str">
            <v>Belanja Imbalan Sukuk Daerah</v>
          </cell>
          <cell r="D776">
            <v>0</v>
          </cell>
        </row>
        <row r="777">
          <cell r="C777" t="str">
            <v>BELANJA MODAL</v>
          </cell>
          <cell r="D777">
            <v>625958452087.80005</v>
          </cell>
        </row>
        <row r="778">
          <cell r="C778" t="str">
            <v>Belanja Modal Tanah</v>
          </cell>
          <cell r="D778">
            <v>44869422924.800003</v>
          </cell>
        </row>
        <row r="779">
          <cell r="C779" t="str">
            <v>Belanja Modal Tanah</v>
          </cell>
          <cell r="D779">
            <v>44869422924.800003</v>
          </cell>
        </row>
        <row r="780">
          <cell r="C780" t="str">
            <v>Belanja Modal Tanah Persil</v>
          </cell>
          <cell r="D780">
            <v>42617025227.800003</v>
          </cell>
        </row>
        <row r="781">
          <cell r="C781" t="str">
            <v>Belanja Modal Tanah Non Persil</v>
          </cell>
          <cell r="D781">
            <v>2106375000</v>
          </cell>
        </row>
        <row r="782">
          <cell r="C782" t="str">
            <v>Belanja Modal Lapangan</v>
          </cell>
          <cell r="D782">
            <v>146022697</v>
          </cell>
        </row>
        <row r="783">
          <cell r="C783" t="str">
            <v>Belanja Modal Tanah BLUD</v>
          </cell>
          <cell r="D783">
            <v>0</v>
          </cell>
        </row>
        <row r="784">
          <cell r="C784" t="str">
            <v>Belanja Modal Tanah BLUD</v>
          </cell>
          <cell r="D784">
            <v>0</v>
          </cell>
        </row>
        <row r="785">
          <cell r="C785" t="str">
            <v>Belanja Modal Peralatan dan Mesin</v>
          </cell>
          <cell r="D785">
            <v>107739357458</v>
          </cell>
        </row>
        <row r="786">
          <cell r="C786" t="str">
            <v>Belanja Modal Alat Besar</v>
          </cell>
          <cell r="D786">
            <v>20443970000</v>
          </cell>
        </row>
        <row r="787">
          <cell r="C787" t="str">
            <v>Belanja Modal Alat Besar Darat</v>
          </cell>
          <cell r="D787">
            <v>15103000000</v>
          </cell>
        </row>
        <row r="788">
          <cell r="C788" t="str">
            <v>Belanja Modal Alat Besar Apung</v>
          </cell>
          <cell r="D788">
            <v>0</v>
          </cell>
        </row>
        <row r="789">
          <cell r="C789" t="str">
            <v>Belanja Modal Alat Bantu</v>
          </cell>
          <cell r="D789">
            <v>5340970000</v>
          </cell>
        </row>
        <row r="790">
          <cell r="C790" t="str">
            <v>Belanja Modal Alat Angkutan</v>
          </cell>
          <cell r="D790">
            <v>30672242100</v>
          </cell>
        </row>
        <row r="791">
          <cell r="C791" t="str">
            <v>Belanja Modal Alat Angkutan Darat Bermotor</v>
          </cell>
          <cell r="D791">
            <v>30672242100</v>
          </cell>
        </row>
        <row r="792">
          <cell r="C792" t="str">
            <v>Belanja Modal Alat Angkutan Darat Tak Bermotor</v>
          </cell>
          <cell r="D792">
            <v>0</v>
          </cell>
        </row>
        <row r="793">
          <cell r="C793" t="str">
            <v>Belanja Modal Alat Angkutan Apung Bermotor</v>
          </cell>
          <cell r="D793">
            <v>0</v>
          </cell>
        </row>
        <row r="794">
          <cell r="C794" t="str">
            <v>Belanja Modal Alat Angkutan Apung Tak Bermotor</v>
          </cell>
          <cell r="D794">
            <v>0</v>
          </cell>
        </row>
        <row r="795">
          <cell r="C795" t="str">
            <v>Belanja Modal Alat Angkutan Bermotor Udara</v>
          </cell>
          <cell r="D795">
            <v>0</v>
          </cell>
        </row>
        <row r="796">
          <cell r="C796" t="str">
            <v>Belanja Modal Alat Bengkel dan Alat Ukur</v>
          </cell>
          <cell r="D796">
            <v>329332000</v>
          </cell>
        </row>
        <row r="797">
          <cell r="C797" t="str">
            <v>Belanja Modal Alat Bengkel Bermesin</v>
          </cell>
          <cell r="D797">
            <v>85682000</v>
          </cell>
        </row>
        <row r="798">
          <cell r="C798" t="str">
            <v>Belanja Modal Alat Bengkel Tak Bermesin</v>
          </cell>
          <cell r="D798">
            <v>0</v>
          </cell>
        </row>
        <row r="799">
          <cell r="C799" t="str">
            <v>Belanja Modal Alat Ukur</v>
          </cell>
          <cell r="D799">
            <v>243650000</v>
          </cell>
        </row>
        <row r="800">
          <cell r="C800" t="str">
            <v>Belanja Modal Alat Pertanian</v>
          </cell>
          <cell r="D800">
            <v>0</v>
          </cell>
        </row>
        <row r="801">
          <cell r="C801" t="str">
            <v>Belanja Modal Alat Pengolahan</v>
          </cell>
          <cell r="D801">
            <v>0</v>
          </cell>
        </row>
        <row r="802">
          <cell r="C802" t="str">
            <v>Belanja Modal Alat Kantor dan Rumah Tangga</v>
          </cell>
          <cell r="D802">
            <v>18235877102</v>
          </cell>
        </row>
        <row r="803">
          <cell r="C803" t="str">
            <v>Belanja Modal Alat Kantor</v>
          </cell>
          <cell r="D803">
            <v>2517505727</v>
          </cell>
        </row>
        <row r="804">
          <cell r="C804" t="str">
            <v>Belanja Modal Alat Rumah Tangga</v>
          </cell>
          <cell r="D804">
            <v>15496871375</v>
          </cell>
        </row>
        <row r="805">
          <cell r="C805" t="str">
            <v>Belanja Modal Meja dan Kursi Kerja/Rapat Pejabat</v>
          </cell>
          <cell r="D805">
            <v>221500000</v>
          </cell>
        </row>
        <row r="806">
          <cell r="C806" t="str">
            <v>Belanja Modal Alat Studio, Komunikasi, dan Pemancar</v>
          </cell>
          <cell r="D806">
            <v>5185774675</v>
          </cell>
        </row>
        <row r="807">
          <cell r="C807" t="str">
            <v>Belanja Modal Alat Studio</v>
          </cell>
          <cell r="D807">
            <v>3833594375</v>
          </cell>
        </row>
        <row r="808">
          <cell r="C808" t="str">
            <v>Belanja Modal Alat Komunikasi</v>
          </cell>
          <cell r="D808">
            <v>1352180300</v>
          </cell>
        </row>
        <row r="809">
          <cell r="C809" t="str">
            <v>Belanja Modal Peralatan Pemancar</v>
          </cell>
          <cell r="D809">
            <v>0</v>
          </cell>
        </row>
        <row r="810">
          <cell r="C810" t="str">
            <v>Belanja Modal Peralatan Komunikasi Navigasi</v>
          </cell>
          <cell r="D810">
            <v>0</v>
          </cell>
        </row>
        <row r="811">
          <cell r="C811" t="str">
            <v>Belanja Modal Alat Kedokteran dan Kesehatan</v>
          </cell>
          <cell r="D811">
            <v>6028327977</v>
          </cell>
        </row>
        <row r="812">
          <cell r="C812" t="str">
            <v>Belanja Modal Alat Kedokteran</v>
          </cell>
          <cell r="D812">
            <v>5904327977</v>
          </cell>
        </row>
        <row r="813">
          <cell r="C813" t="str">
            <v>Belanja Modal Alat Kesehatan Umum</v>
          </cell>
          <cell r="D813">
            <v>124000000</v>
          </cell>
        </row>
        <row r="814">
          <cell r="C814" t="str">
            <v>Belanja Modal Alat Laboratorium</v>
          </cell>
          <cell r="D814">
            <v>3343429685</v>
          </cell>
        </row>
        <row r="815">
          <cell r="C815" t="str">
            <v>Belanja Modal Unit Alat Laboratorium</v>
          </cell>
          <cell r="D815">
            <v>1908129685</v>
          </cell>
        </row>
        <row r="816">
          <cell r="C816" t="str">
            <v>Belanja Modal Unit Alat Laboratorium Kimia Nuklir</v>
          </cell>
          <cell r="D816">
            <v>0</v>
          </cell>
        </row>
        <row r="817">
          <cell r="C817" t="str">
            <v>Belanja Modal Alat Peraga Praktek Sekolah</v>
          </cell>
          <cell r="D817">
            <v>1041000000</v>
          </cell>
        </row>
        <row r="818">
          <cell r="C818" t="str">
            <v>Belanja Modal Alat Laboratorium Fisika Nuklir/Elektronika</v>
          </cell>
          <cell r="D818">
            <v>394300000</v>
          </cell>
        </row>
        <row r="819">
          <cell r="C819" t="str">
            <v>Belanja Modal Alat Proteksi Radiasi/Proteksi Lingkungan</v>
          </cell>
          <cell r="D819">
            <v>0</v>
          </cell>
        </row>
        <row r="820">
          <cell r="C820" t="str">
            <v>Belanja Modal Radiation Application and Non Destructive Testing Laboratory Lainnya</v>
          </cell>
          <cell r="D820">
            <v>0</v>
          </cell>
        </row>
        <row r="821">
          <cell r="C821" t="str">
            <v>Belanja Modal Alat Laboratorium Lingkungan Hidup</v>
          </cell>
          <cell r="D821">
            <v>0</v>
          </cell>
        </row>
        <row r="822">
          <cell r="C822" t="str">
            <v>Belanja Modal Peralatan Laboratorium Hydrodinamica</v>
          </cell>
          <cell r="D822">
            <v>0</v>
          </cell>
        </row>
        <row r="823">
          <cell r="C823" t="str">
            <v>Belanja Modal Alat Laboratorium Standarisasi Kalibrasi dan Instrumentasi</v>
          </cell>
          <cell r="D823">
            <v>0</v>
          </cell>
        </row>
        <row r="824">
          <cell r="C824" t="str">
            <v>Belanja Modal Komputer</v>
          </cell>
          <cell r="D824">
            <v>15434388789</v>
          </cell>
        </row>
        <row r="825">
          <cell r="C825" t="str">
            <v>Belanja Modal Komputer Unit</v>
          </cell>
          <cell r="D825">
            <v>12665208789</v>
          </cell>
        </row>
        <row r="826">
          <cell r="C826" t="str">
            <v>Belanja Modal Peralatan Komputer</v>
          </cell>
          <cell r="D826">
            <v>2769180000</v>
          </cell>
        </row>
        <row r="827">
          <cell r="C827" t="str">
            <v>Belanja Modal Alat Eksplorasi</v>
          </cell>
          <cell r="D827">
            <v>1500000</v>
          </cell>
        </row>
        <row r="828">
          <cell r="C828" t="str">
            <v>Belanja Modal Alat Eksplorasi Topografi</v>
          </cell>
          <cell r="D828">
            <v>1500000</v>
          </cell>
        </row>
        <row r="829">
          <cell r="C829" t="str">
            <v>Belanja Modal Alat Eksplorasi Geofisika</v>
          </cell>
          <cell r="D829">
            <v>0</v>
          </cell>
        </row>
        <row r="830">
          <cell r="C830" t="str">
            <v>Belanja Modal Alat Pengeboran</v>
          </cell>
          <cell r="D830">
            <v>0</v>
          </cell>
        </row>
        <row r="831">
          <cell r="C831" t="str">
            <v>Belanja Modal Alat Pengeboran Mesin</v>
          </cell>
          <cell r="D831">
            <v>0</v>
          </cell>
        </row>
        <row r="832">
          <cell r="C832" t="str">
            <v>Belanja Modal Alat Pengeboran Non Mesin</v>
          </cell>
          <cell r="D832">
            <v>0</v>
          </cell>
        </row>
        <row r="833">
          <cell r="C833" t="str">
            <v>Belanja Modal Alat Produksi, Pengolahan, dan Pemurnian</v>
          </cell>
          <cell r="D833">
            <v>327900000</v>
          </cell>
        </row>
        <row r="834">
          <cell r="C834" t="str">
            <v>Belanja Modal Sumur</v>
          </cell>
          <cell r="D834">
            <v>327900000</v>
          </cell>
        </row>
        <row r="835">
          <cell r="C835" t="str">
            <v>Belanja Modal Produksi</v>
          </cell>
          <cell r="D835">
            <v>0</v>
          </cell>
        </row>
        <row r="836">
          <cell r="C836" t="str">
            <v>Belanja Modal Pengolahan dan Pemurnian</v>
          </cell>
          <cell r="D836">
            <v>0</v>
          </cell>
        </row>
        <row r="837">
          <cell r="C837" t="str">
            <v>Belanja Modal Alat Bantu Eksplorasi</v>
          </cell>
          <cell r="D837">
            <v>1000000</v>
          </cell>
        </row>
        <row r="838">
          <cell r="C838" t="str">
            <v>Belanja Modal Alat Bantu Eksplorasi</v>
          </cell>
          <cell r="D838">
            <v>0</v>
          </cell>
        </row>
        <row r="839">
          <cell r="C839" t="str">
            <v>Belanja Modal Alat Bantu Produksi</v>
          </cell>
          <cell r="D839">
            <v>1000000</v>
          </cell>
        </row>
        <row r="840">
          <cell r="C840" t="str">
            <v>Belanja Modal Alat Keselamatan Kerja</v>
          </cell>
          <cell r="D840">
            <v>106095000</v>
          </cell>
        </row>
        <row r="841">
          <cell r="C841" t="str">
            <v>Belanja Modal Alat Deteksi</v>
          </cell>
          <cell r="D841">
            <v>40000000</v>
          </cell>
        </row>
        <row r="842">
          <cell r="C842" t="str">
            <v>Belanja Modal Alat Pelindung</v>
          </cell>
          <cell r="D842">
            <v>66095000</v>
          </cell>
        </row>
        <row r="843">
          <cell r="C843" t="str">
            <v>Belanja Modal Alat SAR</v>
          </cell>
          <cell r="D843">
            <v>0</v>
          </cell>
        </row>
        <row r="844">
          <cell r="C844" t="str">
            <v>Belanja Modal Alat Kerja Penerbangan</v>
          </cell>
          <cell r="D844">
            <v>0</v>
          </cell>
        </row>
        <row r="845">
          <cell r="C845" t="str">
            <v>Belanja Modal Alat Peraga</v>
          </cell>
          <cell r="D845">
            <v>0</v>
          </cell>
        </row>
        <row r="846">
          <cell r="C846" t="str">
            <v>Belanja Modal Alat Peraga Pelatihan dan Percontohan</v>
          </cell>
          <cell r="D846">
            <v>0</v>
          </cell>
        </row>
        <row r="847">
          <cell r="C847" t="str">
            <v>Belanja Modal Peralatan Proses/Produksi</v>
          </cell>
          <cell r="D847">
            <v>0</v>
          </cell>
        </row>
        <row r="848">
          <cell r="C848" t="str">
            <v>Belanja Modal Unit Peralatan Proses/Produksi</v>
          </cell>
          <cell r="D848">
            <v>0</v>
          </cell>
        </row>
        <row r="849">
          <cell r="C849" t="str">
            <v>Belanja Modal Rambu-Rambu</v>
          </cell>
          <cell r="D849">
            <v>663680000</v>
          </cell>
        </row>
        <row r="850">
          <cell r="C850" t="str">
            <v>Belanja Modal Rambu-Rambu Lalu Lintas Darat</v>
          </cell>
          <cell r="D850">
            <v>663680000</v>
          </cell>
        </row>
        <row r="851">
          <cell r="C851" t="str">
            <v>Belanja Modal Rambu-Rambu Lalu Lintas Udara</v>
          </cell>
          <cell r="D851">
            <v>0</v>
          </cell>
        </row>
        <row r="852">
          <cell r="C852" t="str">
            <v>Belanja Modal Rambu-Rambu Lalu Lintas Laut</v>
          </cell>
          <cell r="D852">
            <v>0</v>
          </cell>
        </row>
        <row r="853">
          <cell r="C853" t="str">
            <v>Belanja Modal Peralatan Olahraga</v>
          </cell>
          <cell r="D853">
            <v>277500000</v>
          </cell>
        </row>
        <row r="854">
          <cell r="C854" t="str">
            <v>Belanja Modal Peralatan Olahraga</v>
          </cell>
          <cell r="D854">
            <v>277500000</v>
          </cell>
        </row>
        <row r="855">
          <cell r="C855" t="str">
            <v>Belanja Modal Peralatan dan Mesin BOS</v>
          </cell>
          <cell r="D855">
            <v>0</v>
          </cell>
        </row>
        <row r="856">
          <cell r="C856" t="str">
            <v>Belanja Modal Peralatan dan Mesin BOS</v>
          </cell>
          <cell r="D856">
            <v>0</v>
          </cell>
        </row>
        <row r="857">
          <cell r="C857" t="str">
            <v>Belanja Modal Peralatan dan Mesin BOSP</v>
          </cell>
          <cell r="D857">
            <v>4191157243</v>
          </cell>
        </row>
        <row r="858">
          <cell r="C858" t="str">
            <v>Belanja Modal Peralatan dan Mesin BOSP-BOS</v>
          </cell>
          <cell r="D858">
            <v>3873995318</v>
          </cell>
        </row>
        <row r="859">
          <cell r="C859" t="str">
            <v>Belanja Modal Peralatan dan Mesin BOSP-BOP PAUD</v>
          </cell>
          <cell r="D859">
            <v>265961925</v>
          </cell>
        </row>
        <row r="860">
          <cell r="C860" t="str">
            <v>Belanja Modal Peralatan dan Mesin BOSP-BOP Kesetaraan</v>
          </cell>
          <cell r="D860">
            <v>51200000</v>
          </cell>
        </row>
        <row r="861">
          <cell r="C861" t="str">
            <v>Belanja Modal Peralatan dan Mesin BLUD</v>
          </cell>
          <cell r="D861">
            <v>2497182887</v>
          </cell>
        </row>
        <row r="862">
          <cell r="C862" t="str">
            <v>Belanja Modal Peralatan dan Mesin BLUD</v>
          </cell>
          <cell r="D862">
            <v>2497182887</v>
          </cell>
        </row>
        <row r="863">
          <cell r="C863" t="str">
            <v>Belanja Modal Gedung dan Bangunan</v>
          </cell>
          <cell r="D863">
            <v>139154966157.5</v>
          </cell>
        </row>
        <row r="864">
          <cell r="C864" t="str">
            <v>Belanja Modal Bangunan Gedung</v>
          </cell>
          <cell r="D864">
            <v>131563867955.5</v>
          </cell>
        </row>
        <row r="865">
          <cell r="C865" t="str">
            <v>Belanja Modal Bangunan Gedung Tempat Kerja</v>
          </cell>
          <cell r="D865">
            <v>129190257329.5</v>
          </cell>
        </row>
        <row r="866">
          <cell r="C866" t="str">
            <v>Belanja Modal Bangunan Gedung Tempat Tinggal</v>
          </cell>
          <cell r="D866">
            <v>2373610626</v>
          </cell>
        </row>
        <row r="867">
          <cell r="C867" t="str">
            <v>Belanja Modal Monumen</v>
          </cell>
          <cell r="D867">
            <v>0</v>
          </cell>
        </row>
        <row r="868">
          <cell r="C868" t="str">
            <v>Belanja Modal Candi/Tugu Peringatan/Prasasti</v>
          </cell>
          <cell r="D868">
            <v>0</v>
          </cell>
        </row>
        <row r="869">
          <cell r="C869" t="str">
            <v>Belanja Modal Bangunan Menara</v>
          </cell>
          <cell r="D869">
            <v>0</v>
          </cell>
        </row>
        <row r="870">
          <cell r="C870" t="str">
            <v>Belanja Modal Bangunan Menara Perambuan</v>
          </cell>
          <cell r="D870">
            <v>0</v>
          </cell>
        </row>
        <row r="871">
          <cell r="C871" t="str">
            <v>Belanja Modal Tugu Titik Kontrol/Pasti</v>
          </cell>
          <cell r="D871">
            <v>6539131959</v>
          </cell>
        </row>
        <row r="872">
          <cell r="C872" t="str">
            <v>Belanja Modal Tugu/Tanda Batas</v>
          </cell>
          <cell r="D872">
            <v>6539131959</v>
          </cell>
        </row>
        <row r="873">
          <cell r="C873" t="str">
            <v>Belanja Modal Gedung dan Bangunan BLUD</v>
          </cell>
          <cell r="D873">
            <v>1051966243</v>
          </cell>
        </row>
        <row r="874">
          <cell r="C874" t="str">
            <v>Belanja Modal Gedung dan Bangunan BLUD</v>
          </cell>
          <cell r="D874">
            <v>1051966243</v>
          </cell>
        </row>
        <row r="875">
          <cell r="C875" t="str">
            <v>Belanja Modal Jalan, Jaringan, dan Irigasi</v>
          </cell>
          <cell r="D875">
            <v>327994544723.5</v>
          </cell>
        </row>
        <row r="876">
          <cell r="C876" t="str">
            <v>Belanja Modal Jalan dan Jembatan</v>
          </cell>
          <cell r="D876">
            <v>234970616734</v>
          </cell>
        </row>
        <row r="877">
          <cell r="C877" t="str">
            <v>Belanja Modal Jalan</v>
          </cell>
          <cell r="D877">
            <v>223291558684</v>
          </cell>
        </row>
        <row r="878">
          <cell r="C878" t="str">
            <v>Belanja Modal Jembatan</v>
          </cell>
          <cell r="D878">
            <v>11679058050</v>
          </cell>
        </row>
        <row r="879">
          <cell r="C879" t="str">
            <v>Belanja Modal Bangunan Air</v>
          </cell>
          <cell r="D879">
            <v>73794026579.5</v>
          </cell>
        </row>
        <row r="880">
          <cell r="C880" t="str">
            <v>Belanja Modal Bangunan Air Irigasi</v>
          </cell>
          <cell r="D880">
            <v>21171363827.5</v>
          </cell>
        </row>
        <row r="881">
          <cell r="C881" t="str">
            <v>Belanja Modal Bangunan Pengairan Pasang Surut</v>
          </cell>
          <cell r="D881">
            <v>0</v>
          </cell>
        </row>
        <row r="882">
          <cell r="C882" t="str">
            <v>Belanja Modal Bangunan Pengembangan Rawa dan Polder</v>
          </cell>
          <cell r="D882">
            <v>0</v>
          </cell>
        </row>
        <row r="883">
          <cell r="C883" t="str">
            <v>Belanja Modal Bangunan Pengaman Sungai/Pantai dan Penanggulangan Bencana Alam</v>
          </cell>
          <cell r="D883">
            <v>39648696634</v>
          </cell>
        </row>
        <row r="884">
          <cell r="C884" t="str">
            <v>Belanja Modal Bangunan Pengembangan Sumber Air dan Air Tanah</v>
          </cell>
          <cell r="D884">
            <v>0</v>
          </cell>
        </row>
        <row r="885">
          <cell r="C885" t="str">
            <v>Belanja Modal Bangunan Air Bersih/Air Baku</v>
          </cell>
          <cell r="D885">
            <v>2320314000</v>
          </cell>
        </row>
        <row r="886">
          <cell r="C886" t="str">
            <v>Belanja Modal Bangunan Air Kotor</v>
          </cell>
          <cell r="D886">
            <v>10653652118</v>
          </cell>
        </row>
        <row r="887">
          <cell r="C887" t="str">
            <v>Belanja Modal Instalasi</v>
          </cell>
          <cell r="D887">
            <v>7008931890</v>
          </cell>
        </row>
        <row r="888">
          <cell r="C888" t="str">
            <v>Belanja Modal Instalasi Air Bersih/Air Baku</v>
          </cell>
          <cell r="D888">
            <v>6858931890</v>
          </cell>
        </row>
        <row r="889">
          <cell r="C889" t="str">
            <v>Belanja Modal Instalasi Air Kotor</v>
          </cell>
          <cell r="D889">
            <v>0</v>
          </cell>
        </row>
        <row r="890">
          <cell r="C890" t="str">
            <v>Belanja Modal Instalasi Pengolahan Sampah</v>
          </cell>
          <cell r="D890">
            <v>0</v>
          </cell>
        </row>
        <row r="891">
          <cell r="C891" t="str">
            <v>Belanja Modal Instalasi Pengolahan Bahan Bangunan</v>
          </cell>
          <cell r="D891">
            <v>0</v>
          </cell>
        </row>
        <row r="892">
          <cell r="C892" t="str">
            <v>Belanja Modal Instalasi Pembangkit Listrik</v>
          </cell>
          <cell r="D892">
            <v>0</v>
          </cell>
        </row>
        <row r="893">
          <cell r="C893" t="str">
            <v>Belanja Modal Instalasi Gardu Listrik</v>
          </cell>
          <cell r="D893">
            <v>0</v>
          </cell>
        </row>
        <row r="894">
          <cell r="C894" t="str">
            <v>Belanja Modal Instalasi Pertahanan</v>
          </cell>
          <cell r="D894">
            <v>0</v>
          </cell>
        </row>
        <row r="895">
          <cell r="C895" t="str">
            <v>Belanja Modal Instalasi Gas</v>
          </cell>
          <cell r="D895">
            <v>0</v>
          </cell>
        </row>
        <row r="896">
          <cell r="C896" t="str">
            <v>Belanja Modal Instalasi Pengaman</v>
          </cell>
          <cell r="D896">
            <v>0</v>
          </cell>
        </row>
        <row r="897">
          <cell r="C897" t="str">
            <v>Belanja Modal Instalasi Lain</v>
          </cell>
          <cell r="D897">
            <v>150000000</v>
          </cell>
        </row>
        <row r="898">
          <cell r="C898" t="str">
            <v>Belanja Modal Jaringan</v>
          </cell>
          <cell r="D898">
            <v>12190969520</v>
          </cell>
        </row>
        <row r="899">
          <cell r="C899" t="str">
            <v>Belanja Modal Jaringan Air Minum</v>
          </cell>
          <cell r="D899">
            <v>0</v>
          </cell>
        </row>
        <row r="900">
          <cell r="C900" t="str">
            <v>Belanja Modal Jaringan Listrik</v>
          </cell>
          <cell r="D900">
            <v>12190969520</v>
          </cell>
        </row>
        <row r="901">
          <cell r="C901" t="str">
            <v>Belanja Modal Jaringan Telepon</v>
          </cell>
          <cell r="D901">
            <v>0</v>
          </cell>
        </row>
        <row r="902">
          <cell r="C902" t="str">
            <v>Belanja Modal Jaringan Gas</v>
          </cell>
          <cell r="D902">
            <v>0</v>
          </cell>
        </row>
        <row r="903">
          <cell r="C903" t="str">
            <v>Belanja Modal Jalan, Jaringan, dan Irigasi BLUD</v>
          </cell>
          <cell r="D903">
            <v>30000000</v>
          </cell>
        </row>
        <row r="904">
          <cell r="C904" t="str">
            <v>Belanja Modal Jalan, Jaringan, dan Irigasi BLUD</v>
          </cell>
          <cell r="D904">
            <v>30000000</v>
          </cell>
        </row>
        <row r="905">
          <cell r="C905" t="str">
            <v>Belanja Modal Aset Tetap Lainnya</v>
          </cell>
          <cell r="D905">
            <v>4245160824</v>
          </cell>
        </row>
        <row r="906">
          <cell r="C906" t="str">
            <v>Belanja Modal Bahan Perpustakaan</v>
          </cell>
          <cell r="D906">
            <v>1593400002</v>
          </cell>
        </row>
        <row r="907">
          <cell r="C907" t="str">
            <v>Belanja Modal Bahan Perpustakaan Tercetak</v>
          </cell>
          <cell r="D907">
            <v>1593400002</v>
          </cell>
        </row>
        <row r="908">
          <cell r="C908" t="str">
            <v>Belanja Modal Bahan Perpustakaan Terekam dan Bentuk Mikro</v>
          </cell>
          <cell r="D908">
            <v>0</v>
          </cell>
        </row>
        <row r="909">
          <cell r="C909" t="str">
            <v>Belanja Modal Kartografi, Naskah, dan Lukisan</v>
          </cell>
          <cell r="D909">
            <v>0</v>
          </cell>
        </row>
        <row r="910">
          <cell r="C910" t="str">
            <v>Belanja Modal Musik</v>
          </cell>
          <cell r="D910">
            <v>0</v>
          </cell>
        </row>
        <row r="911">
          <cell r="C911" t="str">
            <v>Belanja Modal Karya Grafika (Graphic Material)</v>
          </cell>
          <cell r="D911">
            <v>0</v>
          </cell>
        </row>
        <row r="912">
          <cell r="C912" t="str">
            <v>Belanja Modal Three Dimensional Artifacts and Realita</v>
          </cell>
          <cell r="D912">
            <v>0</v>
          </cell>
        </row>
        <row r="913">
          <cell r="C913" t="str">
            <v>Belanja Modal Tarscalt</v>
          </cell>
          <cell r="D913">
            <v>0</v>
          </cell>
        </row>
        <row r="914">
          <cell r="C914" t="str">
            <v>Belanja Modal Barang Bercorak Kesenian/Kebudayaan/Olahraga</v>
          </cell>
          <cell r="D914">
            <v>100000000</v>
          </cell>
        </row>
        <row r="915">
          <cell r="C915" t="str">
            <v>Belanja Modal Barang Bercorak Kesenian</v>
          </cell>
          <cell r="D915">
            <v>0</v>
          </cell>
        </row>
        <row r="916">
          <cell r="C916" t="str">
            <v>Belanja Modal Alat Bercorak Kebudayaan</v>
          </cell>
          <cell r="D916">
            <v>100000000</v>
          </cell>
        </row>
        <row r="917">
          <cell r="C917" t="str">
            <v>Belanja Modal Tanda Penghargaan</v>
          </cell>
          <cell r="D917">
            <v>0</v>
          </cell>
        </row>
        <row r="918">
          <cell r="C918" t="str">
            <v>Belanja Modal Hewan</v>
          </cell>
          <cell r="D918">
            <v>0</v>
          </cell>
        </row>
        <row r="919">
          <cell r="C919" t="str">
            <v>Belanja Modal Hewan Piaraan</v>
          </cell>
          <cell r="D919">
            <v>0</v>
          </cell>
        </row>
        <row r="920">
          <cell r="C920" t="str">
            <v>Belanja Modal Ternak</v>
          </cell>
          <cell r="D920">
            <v>0</v>
          </cell>
        </row>
        <row r="921">
          <cell r="C921" t="str">
            <v>Belanja Modal Hewan Lainnya</v>
          </cell>
          <cell r="D921">
            <v>0</v>
          </cell>
        </row>
        <row r="922">
          <cell r="C922" t="str">
            <v>Belanja Modal Biota Perairan</v>
          </cell>
          <cell r="D922">
            <v>0</v>
          </cell>
        </row>
        <row r="923">
          <cell r="C923" t="str">
            <v>Belanja Modal Ikan Bersirip (Pisces/Ikan Bersirip)</v>
          </cell>
          <cell r="D923">
            <v>0</v>
          </cell>
        </row>
        <row r="924">
          <cell r="C924" t="str">
            <v>Belanja Modal Crustacea (Udang, Rajungan, Kepiting, dan Sebangsanya)</v>
          </cell>
          <cell r="D924">
            <v>0</v>
          </cell>
        </row>
        <row r="925">
          <cell r="C925" t="str">
            <v>Belanja Modal Mollusca (Kerang, Tiram, Cumi-cumi, Gurita, Siput, dan Sebangsanya)</v>
          </cell>
          <cell r="D925">
            <v>0</v>
          </cell>
        </row>
        <row r="926">
          <cell r="C926" t="str">
            <v>Belanja Modal Coelenterata (Ubur-ubur dan Sebangsanya)</v>
          </cell>
          <cell r="D926">
            <v>0</v>
          </cell>
        </row>
        <row r="927">
          <cell r="C927" t="str">
            <v>Belanja Modal Echinodermata (Tripang, Bulu Babi, dan Sebangsanya)</v>
          </cell>
          <cell r="D927">
            <v>0</v>
          </cell>
        </row>
        <row r="928">
          <cell r="C928" t="str">
            <v>Belanja Modal Amphibia (Kodok dan Sebangsanya)</v>
          </cell>
          <cell r="D928">
            <v>0</v>
          </cell>
        </row>
        <row r="929">
          <cell r="C929" t="str">
            <v>Belanja Modal Reptilia (Buaya, Penyu, Kura-kura, Biawak, Ular Air, dan Sebangsanya)</v>
          </cell>
          <cell r="D929">
            <v>0</v>
          </cell>
        </row>
        <row r="930">
          <cell r="C930" t="str">
            <v>Belanja Modal Mammalia (Paus, Lumba-lumba, Pesut, Duyung, dan Sebangsanya)</v>
          </cell>
          <cell r="D930">
            <v>0</v>
          </cell>
        </row>
        <row r="931">
          <cell r="C931" t="str">
            <v>Belanja Modal Algae (Rumput Laut dan Tumbuh-Tumbuhan Lain yang Hidup di Dalam Air)</v>
          </cell>
          <cell r="D931">
            <v>0</v>
          </cell>
        </row>
        <row r="932">
          <cell r="C932" t="str">
            <v>Belanja Modal Biota Perairan Lainnya</v>
          </cell>
          <cell r="D932">
            <v>0</v>
          </cell>
        </row>
        <row r="933">
          <cell r="C933" t="str">
            <v>Belanja Modal Tanaman</v>
          </cell>
          <cell r="D933">
            <v>100000000</v>
          </cell>
        </row>
        <row r="934">
          <cell r="C934" t="str">
            <v>Belanja Modal Tanaman</v>
          </cell>
          <cell r="D934">
            <v>100000000</v>
          </cell>
        </row>
        <row r="935">
          <cell r="C935" t="str">
            <v>Belanja Modal Barang Koleksi Non Budaya</v>
          </cell>
          <cell r="D935">
            <v>0</v>
          </cell>
        </row>
        <row r="936">
          <cell r="C936" t="str">
            <v>Belanja Modal Barang Koleksi Non Budaya</v>
          </cell>
          <cell r="D936">
            <v>0</v>
          </cell>
        </row>
        <row r="937">
          <cell r="C937" t="str">
            <v>Belanja Modal Aset Tetap Dalam Renovasi</v>
          </cell>
          <cell r="D937">
            <v>0</v>
          </cell>
        </row>
        <row r="938">
          <cell r="C938" t="str">
            <v>Belanja Modal Aset Tetap Dalam Renovasi</v>
          </cell>
          <cell r="D938">
            <v>0</v>
          </cell>
        </row>
        <row r="939">
          <cell r="C939" t="str">
            <v>Belanja Modal Aset Tidak Berwujud</v>
          </cell>
          <cell r="D939">
            <v>0</v>
          </cell>
        </row>
        <row r="940">
          <cell r="C940" t="str">
            <v>Belanja Modal Aset Tidak Berwujud</v>
          </cell>
          <cell r="D940">
            <v>0</v>
          </cell>
        </row>
        <row r="941">
          <cell r="C941" t="str">
            <v>Belanja Modal Aset Tetap Lainnya BOS</v>
          </cell>
          <cell r="D941">
            <v>0</v>
          </cell>
        </row>
        <row r="942">
          <cell r="C942" t="str">
            <v>Belanja Modal Aset Tetap Lainnya BOS</v>
          </cell>
          <cell r="D942">
            <v>0</v>
          </cell>
        </row>
        <row r="943">
          <cell r="C943" t="str">
            <v>Belanja Modal Aset Tetap Lainnya BOSP</v>
          </cell>
          <cell r="D943">
            <v>2451760822</v>
          </cell>
        </row>
        <row r="944">
          <cell r="C944" t="str">
            <v>Belanja Modal Aset Tetap Lainnya BOSP-BOS</v>
          </cell>
          <cell r="D944">
            <v>2286003222</v>
          </cell>
        </row>
        <row r="945">
          <cell r="C945" t="str">
            <v>Belanja Modal Aset Tetap Lainnya BOSP-BOP PAUD</v>
          </cell>
          <cell r="D945">
            <v>147007600</v>
          </cell>
        </row>
        <row r="946">
          <cell r="C946" t="str">
            <v>Belanja Modal Aset Tetap Lainnya BOSP-BOP Kesetaraan</v>
          </cell>
          <cell r="D946">
            <v>18750000</v>
          </cell>
        </row>
        <row r="947">
          <cell r="C947" t="str">
            <v>Belanja Modal Aset Tetap Lainnya BLUD</v>
          </cell>
          <cell r="D947">
            <v>0</v>
          </cell>
        </row>
        <row r="948">
          <cell r="C948" t="str">
            <v>Belanja Modal Aset Tetap Lainnya BLUD</v>
          </cell>
          <cell r="D948">
            <v>0</v>
          </cell>
        </row>
        <row r="949">
          <cell r="C949" t="str">
            <v>Belanja Modal Aset Lainnya</v>
          </cell>
          <cell r="D949">
            <v>1955000000</v>
          </cell>
        </row>
        <row r="950">
          <cell r="C950" t="str">
            <v>Belanja Modal Aset Lainnya-Aset Tidak Berwujud</v>
          </cell>
          <cell r="D950">
            <v>1955000000</v>
          </cell>
        </row>
        <row r="951">
          <cell r="C951" t="str">
            <v>Belanja Modal Aset Tidak Berwujud</v>
          </cell>
          <cell r="D951">
            <v>1955000000</v>
          </cell>
        </row>
        <row r="952">
          <cell r="C952" t="str">
            <v>Belanja Modal Aset Lainnya BLUD</v>
          </cell>
          <cell r="D952">
            <v>0</v>
          </cell>
        </row>
        <row r="953">
          <cell r="C953" t="str">
            <v>Belanja Modal Aset Lainnya BLUD</v>
          </cell>
          <cell r="D953">
            <v>0</v>
          </cell>
        </row>
        <row r="954">
          <cell r="C954" t="str">
            <v>BELANJA TIDAK TERDUGA</v>
          </cell>
          <cell r="D954">
            <v>4703433816</v>
          </cell>
        </row>
        <row r="955">
          <cell r="C955" t="str">
            <v>Belanja Tidak Terduga</v>
          </cell>
          <cell r="D955">
            <v>4703433816</v>
          </cell>
        </row>
        <row r="956">
          <cell r="C956" t="str">
            <v>Belanja Tidak Terduga</v>
          </cell>
          <cell r="D956">
            <v>4703433816</v>
          </cell>
        </row>
        <row r="957">
          <cell r="C957" t="str">
            <v>Belanja Tidak Terduga</v>
          </cell>
          <cell r="D957">
            <v>4703433816</v>
          </cell>
        </row>
        <row r="958">
          <cell r="C958" t="str">
            <v>BELANJA TRANSFER</v>
          </cell>
          <cell r="D958">
            <v>181677817400</v>
          </cell>
        </row>
        <row r="959">
          <cell r="C959" t="str">
            <v>Belanja Bagi Hasil</v>
          </cell>
          <cell r="D959">
            <v>9962342400</v>
          </cell>
        </row>
        <row r="960">
          <cell r="C960" t="str">
            <v>Belanja Bagi Hasil Pajak Daerah Kepada Pemerintahan Kabupaten/Kota dan Desa</v>
          </cell>
          <cell r="D960">
            <v>9962342400</v>
          </cell>
        </row>
        <row r="961">
          <cell r="C961" t="str">
            <v>Belanja Bagi Hasil Pajak Daerah Kepada Pemerintahan Kabupaten</v>
          </cell>
          <cell r="D961">
            <v>0</v>
          </cell>
        </row>
        <row r="962">
          <cell r="C962" t="str">
            <v>Belanja Bagi Hasil Pajak Daerah Kepada Pemerintahan Kota</v>
          </cell>
          <cell r="D962">
            <v>0</v>
          </cell>
        </row>
        <row r="963">
          <cell r="C963" t="str">
            <v>Belanja Bagi Hasil Pajak Daerah Kepada Pemerintahan Desa</v>
          </cell>
          <cell r="D963">
            <v>9962342400</v>
          </cell>
        </row>
        <row r="964">
          <cell r="C964" t="str">
            <v>Belanja Bagi Hasil Retribusi Daerah Kabupaten/Kota Kepada Pemerintah Desa</v>
          </cell>
          <cell r="D964">
            <v>0</v>
          </cell>
        </row>
        <row r="965">
          <cell r="C965" t="str">
            <v>Belanja Bagi Hasil Retribusi Daerah Kabupaten/Kota Kepada Pemerintah Desa</v>
          </cell>
          <cell r="D965">
            <v>0</v>
          </cell>
        </row>
        <row r="966">
          <cell r="C966" t="str">
            <v>Belanja Bantuan Keuangan</v>
          </cell>
          <cell r="D966">
            <v>171715475000</v>
          </cell>
        </row>
        <row r="967">
          <cell r="C967" t="str">
            <v>Belanja Bantuan Keuangan antar Daerah Provinsi</v>
          </cell>
          <cell r="D967">
            <v>0</v>
          </cell>
        </row>
        <row r="968">
          <cell r="C968" t="str">
            <v>Belanja Bantuan Keuangan Umum antar Daerah Provinsi</v>
          </cell>
          <cell r="D968">
            <v>0</v>
          </cell>
        </row>
        <row r="969">
          <cell r="C969" t="str">
            <v>Belanja Bantuan Keuangan Khusus antar Daerah Provinsi</v>
          </cell>
          <cell r="D969">
            <v>0</v>
          </cell>
        </row>
        <row r="970">
          <cell r="C970" t="str">
            <v>Belanja Bantuan Keuangan antar Daerah Kabupaten/Kota</v>
          </cell>
          <cell r="D970">
            <v>0</v>
          </cell>
        </row>
        <row r="971">
          <cell r="C971" t="str">
            <v>Belanja Bantuan Keuangan Umum antar Daerah Kabupaten/Kota</v>
          </cell>
          <cell r="D971">
            <v>0</v>
          </cell>
        </row>
        <row r="972">
          <cell r="C972" t="str">
            <v>Belanja Bantuan Keuangan Khusus kepada Pemerintah Kabupaten/Kota</v>
          </cell>
          <cell r="D972">
            <v>0</v>
          </cell>
        </row>
        <row r="973">
          <cell r="C973" t="str">
            <v>Belanja Bantuan Keuangan Daerah Provinsi ke Kabupaten/Kota</v>
          </cell>
          <cell r="D973">
            <v>0</v>
          </cell>
        </row>
        <row r="974">
          <cell r="C974" t="str">
            <v>Belanja Bantuan Keuangan Umum Daerah Provinsi ke Kabupaten/Kota</v>
          </cell>
          <cell r="D974">
            <v>0</v>
          </cell>
        </row>
        <row r="975">
          <cell r="C975" t="str">
            <v>Belanja Bantuan Keuangan Khusus Daerah Provinsi ke Kabupaten/Kota</v>
          </cell>
          <cell r="D975">
            <v>0</v>
          </cell>
        </row>
        <row r="976">
          <cell r="C976" t="str">
            <v>Belanja Bantuan Keuangan Kabupaten/Kota ke Daerah Provinsi</v>
          </cell>
          <cell r="D976">
            <v>0</v>
          </cell>
        </row>
        <row r="977">
          <cell r="C977" t="str">
            <v>Belanja Bantuan Keuangan Umum Daerah Kabupaten/Kota ke Provinsi</v>
          </cell>
          <cell r="D977">
            <v>0</v>
          </cell>
        </row>
        <row r="978">
          <cell r="C978" t="str">
            <v>Belanja Bantuan Keuangan Khusus Daerah Kabupaten/Kota ke Provinsi</v>
          </cell>
          <cell r="D978">
            <v>0</v>
          </cell>
        </row>
        <row r="979">
          <cell r="C979" t="str">
            <v>Belanja Bantuan Keuangan Daerah Provinsi atau Kabupaten/Kota kepada Desa</v>
          </cell>
          <cell r="D979">
            <v>171715475000</v>
          </cell>
        </row>
        <row r="980">
          <cell r="C980" t="str">
            <v>Belanja Bantuan Keuangan Umum Daerah Provinsi atau Kabupaten/Kota kepada Desa</v>
          </cell>
          <cell r="D980">
            <v>171715475000</v>
          </cell>
        </row>
        <row r="981">
          <cell r="C981" t="str">
            <v>Belanja Bantuan Keuangan Khusus Daerah Provinsi atau Kabupaten/Kota kepada Desa</v>
          </cell>
          <cell r="D981">
            <v>0</v>
          </cell>
        </row>
        <row r="982">
          <cell r="C982" t="str">
            <v>Belanja Transfer Dana Otonomi Khusus Provinsi kepada Kabupaten/Kota</v>
          </cell>
          <cell r="D982">
            <v>0</v>
          </cell>
        </row>
        <row r="983">
          <cell r="C983" t="str">
            <v>Belanja Transfer Dana Otonomi Khusus Provinsi kepada Kabupaten/Kota</v>
          </cell>
          <cell r="D983">
            <v>0</v>
          </cell>
        </row>
        <row r="984">
          <cell r="C984"/>
          <cell r="D984"/>
        </row>
        <row r="985">
          <cell r="C985" t="str">
            <v>SURPLUS/(DEFISIT)</v>
          </cell>
          <cell r="D985">
            <v>-321244428062.02002</v>
          </cell>
        </row>
        <row r="986">
          <cell r="C986"/>
          <cell r="D986"/>
        </row>
        <row r="987">
          <cell r="C987" t="str">
            <v>PEMBIAYAAN DAERAH</v>
          </cell>
          <cell r="D987">
            <v>321244428062.02002</v>
          </cell>
        </row>
        <row r="988">
          <cell r="C988" t="str">
            <v>PENERIMAAN PEMBIAYAAN</v>
          </cell>
          <cell r="D988">
            <v>331601148062.02002</v>
          </cell>
        </row>
        <row r="989">
          <cell r="C989" t="str">
            <v>Sisa Lebih Perhitungan Anggaran Tahun Sebelumnya</v>
          </cell>
          <cell r="D989">
            <v>331601148062.02002</v>
          </cell>
        </row>
        <row r="990">
          <cell r="C990" t="str">
            <v>Pelampauan Penerimaan PAD</v>
          </cell>
          <cell r="D990">
            <v>0</v>
          </cell>
        </row>
        <row r="991">
          <cell r="C991" t="str">
            <v>Pelampauan Penerimaan PAD-Pajak Daerah</v>
          </cell>
          <cell r="D991">
            <v>0</v>
          </cell>
        </row>
        <row r="992">
          <cell r="C992" t="str">
            <v>Pelampauan Penerimaan PAD-Retribusi Daerah</v>
          </cell>
          <cell r="D992">
            <v>0</v>
          </cell>
        </row>
        <row r="993">
          <cell r="C993" t="str">
            <v>Pelampauan Penerimaan PAD-Hasil Pengelolaan Kekayaan Daerah yang Dipisahkan</v>
          </cell>
          <cell r="D993">
            <v>0</v>
          </cell>
        </row>
        <row r="994">
          <cell r="C994" t="str">
            <v>Pelampauan Penerimaan PAD-Lain-lain PAD yang Sah</v>
          </cell>
          <cell r="D994">
            <v>0</v>
          </cell>
        </row>
        <row r="995">
          <cell r="C995" t="str">
            <v>Pelampauan Penerimaan Pendapatan Transfer</v>
          </cell>
          <cell r="D995">
            <v>331601148062.02002</v>
          </cell>
        </row>
        <row r="996">
          <cell r="C996" t="str">
            <v>Pelampauan Penerimaan Pendapatan Transfer-Transfer Pemerintah Pusat</v>
          </cell>
          <cell r="D996">
            <v>331601148062.02002</v>
          </cell>
        </row>
        <row r="997">
          <cell r="C997" t="str">
            <v>Pelampauan Penerimaan Pendapatan Transfer antar Daerah</v>
          </cell>
          <cell r="D997">
            <v>0</v>
          </cell>
        </row>
        <row r="998">
          <cell r="C998" t="str">
            <v>Pelampauan Penerimaan Lain-Lain Pendapatan Daerah yang Sah</v>
          </cell>
          <cell r="D998">
            <v>0</v>
          </cell>
        </row>
        <row r="999">
          <cell r="C999" t="str">
            <v>Pelampauan Penerimaan Lain-Lain Pendapatan Daerah yang Sah-Pendapatan Hibah</v>
          </cell>
          <cell r="D999">
            <v>0</v>
          </cell>
        </row>
        <row r="1000">
          <cell r="C1000" t="str">
            <v>Pelampauan Penerimaan Lain-Lain Pendapatan Daerah yang Sah-Dana Darurat</v>
          </cell>
          <cell r="D1000">
            <v>0</v>
          </cell>
        </row>
        <row r="1001">
          <cell r="C1001" t="str">
            <v>Pelampauan Penerimaan Lain-Lain Pendapatan Daerah yang Sah-Lain-Lain Pendapatan Sesuai dengan Ketentuan Peraturan Perundang-Undangan</v>
          </cell>
          <cell r="D1001">
            <v>0</v>
          </cell>
        </row>
        <row r="1002">
          <cell r="C1002" t="str">
            <v>Pelampauan Penerimaan Pembiayaan</v>
          </cell>
          <cell r="D1002">
            <v>0</v>
          </cell>
        </row>
        <row r="1003">
          <cell r="C1003" t="str">
            <v>Pelampauan Penerimaan Pembiayaan-Pencairan Dana Cadangan</v>
          </cell>
          <cell r="D1003">
            <v>0</v>
          </cell>
        </row>
        <row r="1004">
          <cell r="C1004" t="str">
            <v>Pelampauan Penerimaan Pembiayaan-Hasil Penjualan Kekayaan Daerah yang Dipisahkan</v>
          </cell>
          <cell r="D1004">
            <v>0</v>
          </cell>
        </row>
        <row r="1005">
          <cell r="C1005" t="str">
            <v>Pelampauan Penerimaan Pembiayaan-Penerimaan Pinjaman Daerah</v>
          </cell>
          <cell r="D1005">
            <v>0</v>
          </cell>
        </row>
        <row r="1006">
          <cell r="C1006" t="str">
            <v>Pelampauan Penerimaan Pembiayaan-Penerimaan Kembali Pemberian Pinjaman Daerah</v>
          </cell>
          <cell r="D1006">
            <v>0</v>
          </cell>
        </row>
        <row r="1007">
          <cell r="C1007" t="str">
            <v>Pelampauan Penerimaan Pembiayaan-Penerimaan Pembiayaan Lainnya Sesuai dengan Ketentuan Peraturan Perundang-Undangan</v>
          </cell>
          <cell r="D1007">
            <v>0</v>
          </cell>
        </row>
        <row r="1008">
          <cell r="C1008" t="str">
            <v>Pelampauan Penerimaan Pembiayaan-Penarikan Pokok Dana Abadi Daerah</v>
          </cell>
          <cell r="D1008">
            <v>0</v>
          </cell>
        </row>
        <row r="1009">
          <cell r="C1009" t="str">
            <v>Pelampauan Penerimaan Pembiayaan-Penerimaan Pembiayaan Utang Daerah</v>
          </cell>
          <cell r="D1009">
            <v>0</v>
          </cell>
        </row>
        <row r="1010">
          <cell r="C1010" t="str">
            <v>Penghematan Belanja</v>
          </cell>
          <cell r="D1010">
            <v>0</v>
          </cell>
        </row>
        <row r="1011">
          <cell r="C1011" t="str">
            <v>Penghematan Belanja-Belanja Operasi</v>
          </cell>
          <cell r="D1011">
            <v>0</v>
          </cell>
        </row>
        <row r="1012">
          <cell r="C1012" t="str">
            <v>Penghematan Belanja-Belanja Modal</v>
          </cell>
          <cell r="D1012">
            <v>0</v>
          </cell>
        </row>
        <row r="1013">
          <cell r="C1013" t="str">
            <v>Sisa Penggunaan Belanja Tidak Terduga</v>
          </cell>
          <cell r="D1013">
            <v>0</v>
          </cell>
        </row>
        <row r="1014">
          <cell r="C1014" t="str">
            <v>Sisa Belanja Transfer</v>
          </cell>
          <cell r="D1014">
            <v>0</v>
          </cell>
        </row>
        <row r="1015">
          <cell r="C1015" t="str">
            <v>Kewajiban kepada Pihak Ketiga sampai dengan Akhir Tahun Belum Terselesaikan</v>
          </cell>
          <cell r="D1015">
            <v>0</v>
          </cell>
        </row>
        <row r="1016">
          <cell r="C1016" t="str">
            <v>Uang Jaminan</v>
          </cell>
          <cell r="D1016">
            <v>0</v>
          </cell>
        </row>
        <row r="1017">
          <cell r="C1017" t="str">
            <v>Sisa Dana Akibat Tidak Tercapainya Capaian Target Kinerja dan Sisa Dana Pengeluaran Pembiayaan</v>
          </cell>
          <cell r="D1017">
            <v>0</v>
          </cell>
        </row>
        <row r="1018">
          <cell r="C1018" t="str">
            <v>Sisa Dana Akibat Tidak Tercapainya Capaian Target Kinerja</v>
          </cell>
          <cell r="D1018">
            <v>0</v>
          </cell>
        </row>
        <row r="1019">
          <cell r="C1019" t="str">
            <v>Sisa Dana Pengeluaran Pembiayaan</v>
          </cell>
          <cell r="D1019">
            <v>0</v>
          </cell>
        </row>
        <row r="1020">
          <cell r="C1020" t="str">
            <v>Sisa Belanja Lainnya</v>
          </cell>
          <cell r="D1020">
            <v>0</v>
          </cell>
        </row>
        <row r="1021">
          <cell r="C1021" t="str">
            <v>Sisa Lebih Perhitungan Anggaran BLUD</v>
          </cell>
          <cell r="D1021">
            <v>0</v>
          </cell>
        </row>
        <row r="1022">
          <cell r="C1022" t="str">
            <v>Sisa Dana BOS</v>
          </cell>
          <cell r="D1022">
            <v>0</v>
          </cell>
        </row>
        <row r="1023">
          <cell r="C1023" t="str">
            <v>Sisa Dana Kapitasi</v>
          </cell>
          <cell r="D1023">
            <v>0</v>
          </cell>
        </row>
        <row r="1024">
          <cell r="C1024" t="str">
            <v>Sisa Dana BOSP</v>
          </cell>
          <cell r="D1024">
            <v>0</v>
          </cell>
        </row>
        <row r="1025">
          <cell r="C1025" t="str">
            <v>Sisa Dana BOK Puskesmas</v>
          </cell>
          <cell r="D1025">
            <v>0</v>
          </cell>
        </row>
        <row r="1026">
          <cell r="C1026" t="str">
            <v>Penarikan Sisa Lebih Perhitungan Anggaran BLUD</v>
          </cell>
          <cell r="D1026">
            <v>0</v>
          </cell>
        </row>
        <row r="1027">
          <cell r="C1027" t="str">
            <v>Penarikan Sisa Lebih Perhitungan Anggaran BLUD</v>
          </cell>
          <cell r="D1027">
            <v>0</v>
          </cell>
        </row>
        <row r="1028">
          <cell r="C1028" t="str">
            <v>Sisa Dana Otonomi Khusus</v>
          </cell>
          <cell r="D1028">
            <v>0</v>
          </cell>
        </row>
        <row r="1029">
          <cell r="C1029" t="str">
            <v>Sisa Dana Otonomi Khusus-Papua</v>
          </cell>
          <cell r="D1029">
            <v>0</v>
          </cell>
        </row>
        <row r="1030">
          <cell r="C1030" t="str">
            <v>Sisa Dana Otonomi Khusus-Aceh</v>
          </cell>
          <cell r="D1030">
            <v>0</v>
          </cell>
        </row>
        <row r="1031">
          <cell r="C1031" t="str">
            <v>Pencairan Dana Cadangan</v>
          </cell>
          <cell r="D1031">
            <v>0</v>
          </cell>
        </row>
        <row r="1032">
          <cell r="C1032" t="str">
            <v>Pencairan Dana Cadangan</v>
          </cell>
          <cell r="D1032">
            <v>0</v>
          </cell>
        </row>
        <row r="1033">
          <cell r="C1033" t="str">
            <v>Pencairan Dana Cadangan</v>
          </cell>
          <cell r="D1033">
            <v>0</v>
          </cell>
        </row>
        <row r="1034">
          <cell r="C1034" t="str">
            <v>Pencairan Dana Cadangan untuk Pembayaran Pokok Obligasi</v>
          </cell>
          <cell r="D1034">
            <v>0</v>
          </cell>
        </row>
        <row r="1035">
          <cell r="C1035" t="str">
            <v>Pencairan Dana Cadangan untuk Pembayaran Pokok Obligasi</v>
          </cell>
          <cell r="D1035">
            <v>0</v>
          </cell>
        </row>
        <row r="1036">
          <cell r="C1036" t="str">
            <v>Pencairan Dana Cadangan untuk Pembayaran Pokok Sukuk</v>
          </cell>
          <cell r="D1036">
            <v>0</v>
          </cell>
        </row>
        <row r="1037">
          <cell r="C1037" t="str">
            <v>Pencairan Dana Cadangan untuk Pembayaran Pokok Sukuk</v>
          </cell>
          <cell r="D1037">
            <v>0</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cell r="D1040">
            <v>0</v>
          </cell>
        </row>
        <row r="1041">
          <cell r="C1041" t="str">
            <v>Hasil Penjualan Kekayaan Daerah yang Dipisahkan pada Badan Usaha Milik Daerah (BUMD)</v>
          </cell>
          <cell r="D1041">
            <v>0</v>
          </cell>
        </row>
        <row r="1042">
          <cell r="C1042" t="str">
            <v>Hasil Penjualan Kekayaan Daerah yang Dipisahkan pada BUMD</v>
          </cell>
          <cell r="D1042">
            <v>0</v>
          </cell>
        </row>
        <row r="1043">
          <cell r="C1043" t="str">
            <v>Penerimaan Pinjaman Daerah</v>
          </cell>
          <cell r="D1043">
            <v>0</v>
          </cell>
        </row>
        <row r="1044">
          <cell r="C1044" t="str">
            <v>Pinjaman Daerah dari Pemerintah Pusat</v>
          </cell>
          <cell r="D1044">
            <v>0</v>
          </cell>
        </row>
        <row r="1045">
          <cell r="C1045" t="str">
            <v>Pinjaman Daerah dari Pemerintah Pusat-Penerusan Pinjaman Dalam Negeri-Jangka Menengah</v>
          </cell>
          <cell r="D1045">
            <v>0</v>
          </cell>
        </row>
        <row r="1046">
          <cell r="C1046" t="str">
            <v>Pinjaman Daerah dari Pemerintah Pusat-Penerusan Pinjaman Dalam Negeri-Jangka Panjang</v>
          </cell>
          <cell r="D1046">
            <v>0</v>
          </cell>
        </row>
        <row r="1047">
          <cell r="C1047" t="str">
            <v>Pinjaman Daerah dari Pemerintah Pusat-Penerusan Pinjaman Luar Negeri-Jangka Menengah</v>
          </cell>
          <cell r="D1047">
            <v>0</v>
          </cell>
        </row>
        <row r="1048">
          <cell r="C1048" t="str">
            <v>Pinjaman Daerah dari Pemerintah Pusat-Penerusan Pinjaman Luar Negeri-Jangka Panjang</v>
          </cell>
          <cell r="D1048">
            <v>0</v>
          </cell>
        </row>
        <row r="1049">
          <cell r="C1049" t="str">
            <v>Pinjaman Daerah dari Pemerintah Pusat-Sumber Lainnya sesuai dengan Ketentuan Peraturan Perundang-Undangan-Jangka Menengah</v>
          </cell>
          <cell r="D1049">
            <v>0</v>
          </cell>
        </row>
        <row r="1050">
          <cell r="C1050" t="str">
            <v>Pinjaman Daerah dari Pemerintah Pusat-Sumber Lainnya sesuai dengan Ketentuan Peraturan Perundang-undangan-Jangka Panjang</v>
          </cell>
          <cell r="D1050">
            <v>0</v>
          </cell>
        </row>
        <row r="1051">
          <cell r="C1051" t="str">
            <v>Pinjaman Daerah dari Pemerintah Daerah Lain</v>
          </cell>
          <cell r="D1051">
            <v>0</v>
          </cell>
        </row>
        <row r="1052">
          <cell r="C1052" t="str">
            <v>Pinjaman Daerah dari Pemerintah Daerah-Jangka Pendek</v>
          </cell>
          <cell r="D1052">
            <v>0</v>
          </cell>
        </row>
        <row r="1053">
          <cell r="C1053" t="str">
            <v>Pinjaman Daerah dari Lembaga Keuangan Bank (LKB)</v>
          </cell>
          <cell r="D1053">
            <v>0</v>
          </cell>
        </row>
        <row r="1054">
          <cell r="C1054" t="str">
            <v>Pinjaman Daerah dari Lembaga Keuangan Bank (LKB)-BUMN-Jangka Pendek</v>
          </cell>
          <cell r="D1054">
            <v>0</v>
          </cell>
        </row>
        <row r="1055">
          <cell r="C1055" t="str">
            <v>Pinjaman Daerah dari Lembaga Keuangan Bank (LKB)-BUMN-Jangka Menengah</v>
          </cell>
          <cell r="D1055">
            <v>0</v>
          </cell>
        </row>
        <row r="1056">
          <cell r="C1056" t="str">
            <v>Pinjaman Daerah dari Lembaga Keuangan Bank (LKB)-BUMN-Jangka Panjang</v>
          </cell>
          <cell r="D1056">
            <v>0</v>
          </cell>
        </row>
        <row r="1057">
          <cell r="C1057" t="str">
            <v>Pinjaman Daerah dari Lembaga Keuangan Bank (LKB)-BUMD-Jangka Pendek</v>
          </cell>
          <cell r="D1057">
            <v>0</v>
          </cell>
        </row>
        <row r="1058">
          <cell r="C1058" t="str">
            <v>Pinjaman Daerah dari Lembaga Keuangan Bank (LKB)-BUMD-Jangka Menengah</v>
          </cell>
          <cell r="D1058">
            <v>0</v>
          </cell>
        </row>
        <row r="1059">
          <cell r="C1059" t="str">
            <v>Pinjaman Daerah dari Lembaga Keuangan Bank (LKB)-BUMD-Jangka Panjang</v>
          </cell>
          <cell r="D1059">
            <v>0</v>
          </cell>
        </row>
        <row r="1060">
          <cell r="C1060" t="str">
            <v>Pinjaman Daerah dari Lembaga Keuangan Bank (LKB)-Swasta-Jangka Pendek</v>
          </cell>
          <cell r="D1060">
            <v>0</v>
          </cell>
        </row>
        <row r="1061">
          <cell r="C1061" t="str">
            <v>Pinjaman Daerah dari Lembaga Keuangan Bank (LKB)-Swasta-Jangka Menengah</v>
          </cell>
          <cell r="D1061">
            <v>0</v>
          </cell>
        </row>
        <row r="1062">
          <cell r="C1062" t="str">
            <v>Pinjaman Daerah dari Lembaga Keuangan Bank (LKB)-Swasta-Jangka Panjang</v>
          </cell>
          <cell r="D1062">
            <v>0</v>
          </cell>
        </row>
        <row r="1063">
          <cell r="C1063" t="str">
            <v>Pinjaman Daerah dari Lembaga Keuangan Bukan Bank (LKBB)</v>
          </cell>
          <cell r="D1063">
            <v>0</v>
          </cell>
        </row>
        <row r="1064">
          <cell r="C1064" t="str">
            <v>Pinjaman Daerah dari Lembaga Keuangan Bukan Bank (LKBB)-BUMN-Jangka Pendek</v>
          </cell>
          <cell r="D1064">
            <v>0</v>
          </cell>
        </row>
        <row r="1065">
          <cell r="C1065" t="str">
            <v>Pinjaman Daerah dari Lembaga Keuangan Bukan Bank (LKBB)-BUMN-Jangka Menengah</v>
          </cell>
          <cell r="D1065">
            <v>0</v>
          </cell>
        </row>
        <row r="1066">
          <cell r="C1066" t="str">
            <v>Pinjaman Daerah dari Lembaga Keuangan Bukan Bank (LKBB)-BUMN-Jangka Panjang</v>
          </cell>
          <cell r="D1066">
            <v>0</v>
          </cell>
        </row>
        <row r="1067">
          <cell r="C1067" t="str">
            <v>Pinjaman Daerah dari Lembaga Keuangan Bukan Bank (LKBB)-BUMD-Jangka Pendek</v>
          </cell>
          <cell r="D1067">
            <v>0</v>
          </cell>
        </row>
        <row r="1068">
          <cell r="C1068" t="str">
            <v>Pinjaman Daerah dari Lembaga Keuangan Bukan Bank (LKBB)-BUMD-Jangka Menengah</v>
          </cell>
          <cell r="D1068">
            <v>0</v>
          </cell>
        </row>
        <row r="1069">
          <cell r="C1069" t="str">
            <v>Pinjaman Daerah dari Lembaga Keuangan Bukan Bank (LKBB)-BUMD-Jangka Panjang</v>
          </cell>
          <cell r="D1069">
            <v>0</v>
          </cell>
        </row>
        <row r="1070">
          <cell r="C1070" t="str">
            <v>Pinjaman Daerah dari Lembaga Keuangan Bukan Bank (LKBB)-Swasta-Jangka Pendek</v>
          </cell>
          <cell r="D1070">
            <v>0</v>
          </cell>
        </row>
        <row r="1071">
          <cell r="C1071" t="str">
            <v>Pinjaman Daerah dari Lembaga Keuangan Bukan Bank (LKBB)-Swasta-Jangka Menengah</v>
          </cell>
          <cell r="D1071">
            <v>0</v>
          </cell>
        </row>
        <row r="1072">
          <cell r="C1072" t="str">
            <v>Pinjaman Daerah dari Lembaga Keuangan Bukan Bank (LKBB)-Swasta-Jangka Panjang</v>
          </cell>
          <cell r="D1072">
            <v>0</v>
          </cell>
        </row>
        <row r="1073">
          <cell r="C1073" t="str">
            <v>Pinjaman Daerah dari Masyarakat</v>
          </cell>
          <cell r="D1073">
            <v>0</v>
          </cell>
        </row>
        <row r="1074">
          <cell r="C1074" t="str">
            <v>Obligasi Daerah</v>
          </cell>
          <cell r="D1074">
            <v>0</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cell r="D1077">
            <v>0</v>
          </cell>
        </row>
        <row r="1078">
          <cell r="C1078" t="str">
            <v>Penerimaan Kembali Investasi dalam Proyek Pembangunan kepada Pemerintah Pusat</v>
          </cell>
          <cell r="D1078">
            <v>0</v>
          </cell>
        </row>
        <row r="1079">
          <cell r="C1079" t="str">
            <v>Penerimaan Kembali Pemberian Pinjaman Daerah kepada Pemerintah Daerah Lainnya</v>
          </cell>
          <cell r="D1079">
            <v>0</v>
          </cell>
        </row>
        <row r="1080">
          <cell r="C1080" t="str">
            <v>Penerimaan Kembali Pemberian Pinjaman Daerah kepada Pemerintah Daerah Lainnya</v>
          </cell>
          <cell r="D1080">
            <v>0</v>
          </cell>
        </row>
        <row r="1081">
          <cell r="C1081" t="str">
            <v>Penerimaan Kembali Investasi dalam Proyek Pembangunan kepada Pemerintah Daerah Lainnya</v>
          </cell>
          <cell r="D1081">
            <v>0</v>
          </cell>
        </row>
        <row r="1082">
          <cell r="C1082" t="str">
            <v>Penerimaan Kembali Pinjaman kepada BUMD</v>
          </cell>
          <cell r="D1082">
            <v>0</v>
          </cell>
        </row>
        <row r="1083">
          <cell r="C1083" t="str">
            <v>Penerimaan Kembali Pinjaman kepada BUMD</v>
          </cell>
          <cell r="D1083">
            <v>0</v>
          </cell>
        </row>
        <row r="1084">
          <cell r="C1084" t="str">
            <v>Penerimaan Kembali Investasi Non Permanen kepada BUMD</v>
          </cell>
          <cell r="D1084">
            <v>0</v>
          </cell>
        </row>
        <row r="1085">
          <cell r="C1085" t="str">
            <v>Penerimaan Kembali Pinjaman kepada BUMN</v>
          </cell>
          <cell r="D1085">
            <v>0</v>
          </cell>
        </row>
        <row r="1086">
          <cell r="C1086" t="str">
            <v>Penerimaan Kembali Pinjaman kepada BUMN</v>
          </cell>
          <cell r="D1086">
            <v>0</v>
          </cell>
        </row>
        <row r="1087">
          <cell r="C1087" t="str">
            <v>Penerimaan Kembali Investasi Non Permanen kepada BUMN</v>
          </cell>
          <cell r="D1087">
            <v>0</v>
          </cell>
        </row>
        <row r="1088">
          <cell r="C1088" t="str">
            <v>Penerimaan Kembali Pinjaman kepada Koperasi</v>
          </cell>
          <cell r="D1088">
            <v>0</v>
          </cell>
        </row>
        <row r="1089">
          <cell r="C1089" t="str">
            <v>Penerimaan Kembali Pinjaman kepada Koperasi</v>
          </cell>
          <cell r="D1089">
            <v>0</v>
          </cell>
        </row>
        <row r="1090">
          <cell r="C1090" t="str">
            <v>Penerimaan Kembali Dana Bergulir kepada Koperasi</v>
          </cell>
          <cell r="D1090">
            <v>0</v>
          </cell>
        </row>
        <row r="1091">
          <cell r="C1091" t="str">
            <v>Penerimaan Kembali Pinjaman kepada Masyarakat</v>
          </cell>
          <cell r="D1091">
            <v>0</v>
          </cell>
        </row>
        <row r="1092">
          <cell r="C1092" t="str">
            <v>Penerimaan Kembali Pinjaman kepada Masyarakat</v>
          </cell>
          <cell r="D1092">
            <v>0</v>
          </cell>
        </row>
        <row r="1093">
          <cell r="C1093" t="str">
            <v>Penerimaan Kembali Dana Bergulir kepada Masyarakat</v>
          </cell>
          <cell r="D1093">
            <v>0</v>
          </cell>
        </row>
        <row r="1094">
          <cell r="C1094" t="str">
            <v>Penerimaan Kembali Dana Bergulir kepada BLUD</v>
          </cell>
          <cell r="D1094">
            <v>0</v>
          </cell>
        </row>
        <row r="1095">
          <cell r="C1095" t="str">
            <v>Penerimaan Kembali Dana Bergulir kepada BLUD</v>
          </cell>
          <cell r="D1095">
            <v>0</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cell r="D1098">
            <v>0</v>
          </cell>
        </row>
        <row r="1099">
          <cell r="C1099" t="str">
            <v>Penerimaan Kembali Pinjaman melalui BLUD-Jangka Menengah</v>
          </cell>
          <cell r="D1099">
            <v>0</v>
          </cell>
        </row>
        <row r="1100">
          <cell r="C1100" t="str">
            <v>Penerimaan Kembali Pinjaman melalui BLUD-Jangka Panjang</v>
          </cell>
          <cell r="D1100">
            <v>0</v>
          </cell>
        </row>
        <row r="1101">
          <cell r="C1101" t="str">
            <v>Divestasi BLUD</v>
          </cell>
          <cell r="D1101">
            <v>0</v>
          </cell>
        </row>
        <row r="1102">
          <cell r="C1102" t="str">
            <v>Divestasi Jangka Pendek BLUD</v>
          </cell>
          <cell r="D1102">
            <v>0</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cell r="D1105">
            <v>0</v>
          </cell>
        </row>
        <row r="1106">
          <cell r="C1106" t="str">
            <v>Penerimaan Pembiayaan Utang Daerah</v>
          </cell>
          <cell r="D1106">
            <v>0</v>
          </cell>
        </row>
        <row r="1107">
          <cell r="C1107" t="str">
            <v>Pinjaman Daerah</v>
          </cell>
          <cell r="D1107">
            <v>0</v>
          </cell>
        </row>
        <row r="1108">
          <cell r="C1108" t="str">
            <v>Pinjaman Daerah dari Pemerintah</v>
          </cell>
          <cell r="D1108">
            <v>0</v>
          </cell>
        </row>
        <row r="1109">
          <cell r="C1109" t="str">
            <v>Pinjaman Daerah dari Pemerintah Daerah Lain</v>
          </cell>
          <cell r="D1109">
            <v>0</v>
          </cell>
        </row>
        <row r="1110">
          <cell r="C1110" t="str">
            <v>Pinjaman Daerah dari Lembaga Keuangan Bank (LKB)</v>
          </cell>
          <cell r="D1110">
            <v>0</v>
          </cell>
        </row>
        <row r="1111">
          <cell r="C1111" t="str">
            <v>Pinjaman Daerah dari Lembaga Keuangan Bukan Bank (LKBB)</v>
          </cell>
          <cell r="D1111">
            <v>0</v>
          </cell>
        </row>
        <row r="1112">
          <cell r="C1112" t="str">
            <v>Obligasi Daerah</v>
          </cell>
          <cell r="D1112">
            <v>0</v>
          </cell>
        </row>
        <row r="1113">
          <cell r="C1113" t="str">
            <v>Obligasi Daerah</v>
          </cell>
          <cell r="D1113">
            <v>0</v>
          </cell>
        </row>
        <row r="1114">
          <cell r="C1114" t="str">
            <v>Sukuk Daerah</v>
          </cell>
          <cell r="D1114">
            <v>0</v>
          </cell>
        </row>
        <row r="1115">
          <cell r="C1115" t="str">
            <v>Sukuk Daerah</v>
          </cell>
          <cell r="D1115">
            <v>0</v>
          </cell>
        </row>
        <row r="1116">
          <cell r="C1116" t="str">
            <v>PENGELUARAN PEMBIAYAAN</v>
          </cell>
          <cell r="D1116">
            <v>10356720000</v>
          </cell>
        </row>
        <row r="1117">
          <cell r="C1117" t="str">
            <v>Pembentukan Dana Cadangan</v>
          </cell>
          <cell r="D1117">
            <v>0</v>
          </cell>
        </row>
        <row r="1118">
          <cell r="C1118" t="str">
            <v>Pembentukan Dana Cadangan</v>
          </cell>
          <cell r="D1118">
            <v>0</v>
          </cell>
        </row>
        <row r="1119">
          <cell r="C1119" t="str">
            <v>Pembentukan Dana Cadangan</v>
          </cell>
          <cell r="D1119">
            <v>0</v>
          </cell>
        </row>
        <row r="1120">
          <cell r="C1120" t="str">
            <v>Pembentukan Dana Cadangan untuk Pembayaran Pokok Obligasi</v>
          </cell>
          <cell r="D1120">
            <v>0</v>
          </cell>
        </row>
        <row r="1121">
          <cell r="C1121" t="str">
            <v>Pembentukan Dana Cadangan untuk Pembayaran Pokok Obligasi</v>
          </cell>
          <cell r="D1121">
            <v>0</v>
          </cell>
        </row>
        <row r="1122">
          <cell r="C1122" t="str">
            <v>Pembentukan Dana Cadangan untuk Pembayaran Pokok Sukuk</v>
          </cell>
          <cell r="D1122">
            <v>0</v>
          </cell>
        </row>
        <row r="1123">
          <cell r="C1123" t="str">
            <v>Pembentukan Dana Cadangan untuk Pembayaran Pokok Sukuk</v>
          </cell>
          <cell r="D1123">
            <v>0</v>
          </cell>
        </row>
        <row r="1124">
          <cell r="C1124" t="str">
            <v>Penyertaan Modal Daerah</v>
          </cell>
          <cell r="D1124">
            <v>10356720000</v>
          </cell>
        </row>
        <row r="1125">
          <cell r="C1125" t="str">
            <v>Penyertaan Modal Daerah pada Badan Usaha Milik Negara (BUMN)</v>
          </cell>
          <cell r="D1125">
            <v>0</v>
          </cell>
        </row>
        <row r="1126">
          <cell r="C1126" t="str">
            <v>Penyertaan Modal Daerah pada BUMN</v>
          </cell>
          <cell r="D1126">
            <v>0</v>
          </cell>
        </row>
        <row r="1127">
          <cell r="C1127" t="str">
            <v>Penyertaan Modal Daerah pada Badan Usaha Milik Daerah (BUMD)</v>
          </cell>
          <cell r="D1127">
            <v>10356720000</v>
          </cell>
        </row>
        <row r="1128">
          <cell r="C1128" t="str">
            <v>Penyertaan Modal Daerah pada BUMD</v>
          </cell>
          <cell r="D1128">
            <v>10356720000</v>
          </cell>
        </row>
        <row r="1129">
          <cell r="C1129" t="str">
            <v>Pembayaran Cicilan Pokok Utang yang Jatuh Tempo</v>
          </cell>
          <cell r="D1129">
            <v>0</v>
          </cell>
        </row>
        <row r="1130">
          <cell r="C1130" t="str">
            <v>Pembayaran Pinjaman Daerah dari Pemerintah Pusat</v>
          </cell>
          <cell r="D1130">
            <v>0</v>
          </cell>
        </row>
        <row r="1131">
          <cell r="C1131" t="str">
            <v>Pembayaran Pinjaman Daerah dari Pemerintah Pusat-Penerusan Pinjaman Dalam Negeri-Jangka Menengah</v>
          </cell>
          <cell r="D1131">
            <v>0</v>
          </cell>
        </row>
        <row r="1132">
          <cell r="C1132" t="str">
            <v>Pembayaran Pinjaman Daerah dari Pemerintah Pusat-Penerusan Pinjaman Dalam Negeri-Jangka Panjang</v>
          </cell>
          <cell r="D1132">
            <v>0</v>
          </cell>
        </row>
        <row r="1133">
          <cell r="C1133" t="str">
            <v>Pembayaran Pinjaman Daerah dari Pemerintah Pusat-Penerusan Pinjaman Luar Negeri-Jangka Menengah</v>
          </cell>
          <cell r="D1133">
            <v>0</v>
          </cell>
        </row>
        <row r="1134">
          <cell r="C1134" t="str">
            <v>Pembayaran Pinjaman Daerah dari Pemerintah Pusat-Penerusan Pinjaman Luar Negeri-Jangka Panjang</v>
          </cell>
          <cell r="D1134">
            <v>0</v>
          </cell>
        </row>
        <row r="1135">
          <cell r="C1135" t="str">
            <v>Pembayaran Pinjaman Daerah dari Pemerintah Pusat-Sumber Lainnya sesuai dengan Ketentuan Peraturan Perundang-Undangan-Jangka Menengah</v>
          </cell>
          <cell r="D1135">
            <v>0</v>
          </cell>
        </row>
        <row r="1136">
          <cell r="C1136" t="str">
            <v>Pembayaran Pinjaman Daerah dari Pemerintah Pusat-Sumber Lainnya sesuai dengan Ketentuan Peraturan Perundang-undangan-Jangka Panjang</v>
          </cell>
          <cell r="D1136">
            <v>0</v>
          </cell>
        </row>
        <row r="1137">
          <cell r="C1137" t="str">
            <v>Pembayaran Pinjaman dari Pemerintah Daerah Lain</v>
          </cell>
          <cell r="D1137">
            <v>0</v>
          </cell>
        </row>
        <row r="1138">
          <cell r="C1138" t="str">
            <v>Pembayaran Pinjaman dari Pemerintah Daerah Lain-Jangka Pendek</v>
          </cell>
          <cell r="D1138">
            <v>0</v>
          </cell>
        </row>
        <row r="1139">
          <cell r="C1139" t="str">
            <v>Pembayaran Pinjaman dari Lembaga Keuangan Bank (LKB)</v>
          </cell>
          <cell r="D1139">
            <v>0</v>
          </cell>
        </row>
        <row r="1140">
          <cell r="C1140" t="str">
            <v>Pembayaran Pinjaman dari Lembaga Keuangan Bank (LKB)-BUMN-Jangka Pendek</v>
          </cell>
          <cell r="D1140">
            <v>0</v>
          </cell>
        </row>
        <row r="1141">
          <cell r="C1141" t="str">
            <v>Pembayaran Pinjaman dari Lembaga Keuangan Bank (LKB)-BUMN-Jangka Menengah</v>
          </cell>
          <cell r="D1141">
            <v>0</v>
          </cell>
        </row>
        <row r="1142">
          <cell r="C1142" t="str">
            <v>Pembayaran Pinjaman dari Lembaga Keuangan Bank (LKB)-BUMN-Jangka Panjang</v>
          </cell>
          <cell r="D1142">
            <v>0</v>
          </cell>
        </row>
        <row r="1143">
          <cell r="C1143" t="str">
            <v>Pembayaran Pinjaman dari Lembaga Keuangan Bank (LKB)-BUMD-Jangka Pendek</v>
          </cell>
          <cell r="D1143">
            <v>0</v>
          </cell>
        </row>
        <row r="1144">
          <cell r="C1144" t="str">
            <v>Pembayaran Pinjaman dari Lembaga Keuangan Bank (LKB)-BUMD-Jangka Menengah</v>
          </cell>
          <cell r="D1144">
            <v>0</v>
          </cell>
        </row>
        <row r="1145">
          <cell r="C1145" t="str">
            <v>Pembayaran Pinjaman dari Lembaga Keuangan Bank (LKB)-BUMD-Jangka Panjang</v>
          </cell>
          <cell r="D1145">
            <v>0</v>
          </cell>
        </row>
        <row r="1146">
          <cell r="C1146" t="str">
            <v>Pembayaran Pinjaman dari Lembaga Keuangan Bank (LKB)-Swasta-Jangka Pendek</v>
          </cell>
          <cell r="D1146">
            <v>0</v>
          </cell>
        </row>
        <row r="1147">
          <cell r="C1147" t="str">
            <v>Pembayaran Pinjaman dari Lembaga Keuangan Bank (LKB)-Swasta-Jangka Menengah</v>
          </cell>
          <cell r="D1147">
            <v>0</v>
          </cell>
        </row>
        <row r="1148">
          <cell r="C1148" t="str">
            <v>Pembayaran Pinjaman dari Lembaga Keuangan Bank (LKB)-Swasta-Jangka Panjang</v>
          </cell>
          <cell r="D1148">
            <v>0</v>
          </cell>
        </row>
        <row r="1149">
          <cell r="C1149" t="str">
            <v>Pembayaran Pinjaman dari Lembaga Keuangan Bukan Bank (LKBB)</v>
          </cell>
          <cell r="D1149">
            <v>0</v>
          </cell>
        </row>
        <row r="1150">
          <cell r="C1150" t="str">
            <v>Pembayaran Pinjaman dari Lembaga Keuangan Bukan Bank (LKBB)-BUMN-Jangka Pendek</v>
          </cell>
          <cell r="D1150">
            <v>0</v>
          </cell>
        </row>
        <row r="1151">
          <cell r="C1151" t="str">
            <v>Pembayaran Pinjaman dari Lembaga Keuangan Bukan Bank (LKBB)-BUMN-Jangka Menengah</v>
          </cell>
          <cell r="D1151">
            <v>0</v>
          </cell>
        </row>
        <row r="1152">
          <cell r="C1152" t="str">
            <v>Pembayaran Pinjaman dari Lembaga Keuangan Bukan Bank (LKBB)-BUMN-Jangka Panjang</v>
          </cell>
          <cell r="D1152">
            <v>0</v>
          </cell>
        </row>
        <row r="1153">
          <cell r="C1153" t="str">
            <v>Pembayaran Pinjaman dari Lembaga Keuangan Bukan Bank (LKBB)-BUMD-Jangka Pendek</v>
          </cell>
          <cell r="D1153">
            <v>0</v>
          </cell>
        </row>
        <row r="1154">
          <cell r="C1154" t="str">
            <v>Pembayaran Pinjaman dari Lembaga Keuangan Bukan Bank (LKBB)-BUMD-Jangka Menengah</v>
          </cell>
          <cell r="D1154">
            <v>0</v>
          </cell>
        </row>
        <row r="1155">
          <cell r="C1155" t="str">
            <v>Pembayaran Pinjaman dari Lembaga Keuangan Bukan Bank (LKBB)-BUMD-Jangka Panjang</v>
          </cell>
          <cell r="D1155">
            <v>0</v>
          </cell>
        </row>
        <row r="1156">
          <cell r="C1156" t="str">
            <v>Pembayaran Pinjaman dari Lembaga Keuangan Bukan Bank (LKBB)-Swasta-Jangka Pendek</v>
          </cell>
          <cell r="D1156">
            <v>0</v>
          </cell>
        </row>
        <row r="1157">
          <cell r="C1157" t="str">
            <v>Pembayaran Pinjaman dari Lembaga Keuangan Bukan Bank (LKBB)-Swasta-Jangka Menengah</v>
          </cell>
          <cell r="D1157">
            <v>0</v>
          </cell>
        </row>
        <row r="1158">
          <cell r="C1158" t="str">
            <v>Pembayaran Pinjaman dari Lembaga Keuangan Bukan Bank (LKBB)-Swasta-Jangka Panjang</v>
          </cell>
          <cell r="D1158">
            <v>0</v>
          </cell>
        </row>
        <row r="1159">
          <cell r="C1159" t="str">
            <v>Pembayaran Pinjaman Daerah dari Masyarakat</v>
          </cell>
          <cell r="D1159">
            <v>0</v>
          </cell>
        </row>
        <row r="1160">
          <cell r="C1160" t="str">
            <v>Pembayaran Obligasi Daerah</v>
          </cell>
          <cell r="D1160">
            <v>0</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cell r="D1163">
            <v>0</v>
          </cell>
        </row>
        <row r="1164">
          <cell r="C1164" t="str">
            <v>Pemberian Pinjaman-Investasi dalam Proyek Pembangunan kepada Pemerintah Pusat</v>
          </cell>
          <cell r="D1164">
            <v>0</v>
          </cell>
        </row>
        <row r="1165">
          <cell r="C1165" t="str">
            <v>Pemberian Pinjaman Daerah kepada Pemerintah Daerah Lainnya</v>
          </cell>
          <cell r="D1165">
            <v>0</v>
          </cell>
        </row>
        <row r="1166">
          <cell r="C1166" t="str">
            <v>Pemberian Pinjaman Daerah kepada Pemerintah Daerah Lainnya</v>
          </cell>
          <cell r="D1166">
            <v>0</v>
          </cell>
        </row>
        <row r="1167">
          <cell r="C1167" t="str">
            <v>Pemberian Pinjaman-Investasi dalam Proyek Pembangunan kepada Pemerintah Daerah Lainnya</v>
          </cell>
          <cell r="D1167">
            <v>0</v>
          </cell>
        </row>
        <row r="1168">
          <cell r="C1168" t="str">
            <v>Pemberian Pinjaman Daerah kepada BUMD</v>
          </cell>
          <cell r="D1168">
            <v>0</v>
          </cell>
        </row>
        <row r="1169">
          <cell r="C1169" t="str">
            <v>Pemberian Pinjaman Daerah kepada BUMD</v>
          </cell>
          <cell r="D1169">
            <v>0</v>
          </cell>
        </row>
        <row r="1170">
          <cell r="C1170" t="str">
            <v>Pemberian Pinjaman-Investasi Non Permanen kepada BUMD</v>
          </cell>
          <cell r="D1170">
            <v>0</v>
          </cell>
        </row>
        <row r="1171">
          <cell r="C1171" t="str">
            <v>Pemberian Pinjaman Daerah kepada BUMN</v>
          </cell>
          <cell r="D1171">
            <v>0</v>
          </cell>
        </row>
        <row r="1172">
          <cell r="C1172" t="str">
            <v>Pemberian Pinjaman Daerah kepada BUMN</v>
          </cell>
          <cell r="D1172">
            <v>0</v>
          </cell>
        </row>
        <row r="1173">
          <cell r="C1173" t="str">
            <v>Pemberian Pinjaman-Investasi Non Permanen Lainnya kepada BUMN</v>
          </cell>
          <cell r="D1173">
            <v>0</v>
          </cell>
        </row>
        <row r="1174">
          <cell r="C1174" t="str">
            <v>Pemberian Pinjaman Daerah kepada Koperasi</v>
          </cell>
          <cell r="D1174">
            <v>0</v>
          </cell>
        </row>
        <row r="1175">
          <cell r="C1175" t="str">
            <v>Pemberian Pinjaman Daerah kepada Koperasi</v>
          </cell>
          <cell r="D1175">
            <v>0</v>
          </cell>
        </row>
        <row r="1176">
          <cell r="C1176" t="str">
            <v>Pemberian Pinjaman-Dana Bergulir kepada Koperasi</v>
          </cell>
          <cell r="D1176">
            <v>0</v>
          </cell>
        </row>
        <row r="1177">
          <cell r="C1177" t="str">
            <v>Pemberian Pinjaman Daerah kepada Masyarakat</v>
          </cell>
          <cell r="D1177">
            <v>0</v>
          </cell>
        </row>
        <row r="1178">
          <cell r="C1178" t="str">
            <v>Pemberian Pinjaman Daerah kepada Masyarakat</v>
          </cell>
          <cell r="D1178">
            <v>0</v>
          </cell>
        </row>
        <row r="1179">
          <cell r="C1179" t="str">
            <v>Pemberian Pinjaman-Dana Bergulir kepada Masyarakat</v>
          </cell>
          <cell r="D1179">
            <v>0</v>
          </cell>
        </row>
        <row r="1180">
          <cell r="C1180" t="str">
            <v>Pemberian Pinjaman-Dana Bergulir melalui BLUD</v>
          </cell>
          <cell r="D1180">
            <v>0</v>
          </cell>
        </row>
        <row r="1181">
          <cell r="C1181" t="str">
            <v>Pemberian Pinjaman-Dana Bergulir melalui BLUD</v>
          </cell>
          <cell r="D1181">
            <v>0</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cell r="D1184">
            <v>0</v>
          </cell>
        </row>
        <row r="1185">
          <cell r="C1185" t="str">
            <v>Pinjaman melalui BLUD-Jangka Menengah</v>
          </cell>
          <cell r="D1185">
            <v>0</v>
          </cell>
        </row>
        <row r="1186">
          <cell r="C1186" t="str">
            <v>Pinjaman melalui BLUD-Jangka Panjang</v>
          </cell>
          <cell r="D1186">
            <v>0</v>
          </cell>
        </row>
        <row r="1187">
          <cell r="C1187" t="str">
            <v>Investasi BLUD</v>
          </cell>
          <cell r="D1187">
            <v>0</v>
          </cell>
        </row>
        <row r="1188">
          <cell r="C1188" t="str">
            <v>Investasi Jangka Pendek BLUD</v>
          </cell>
          <cell r="D1188">
            <v>0</v>
          </cell>
        </row>
        <row r="1189">
          <cell r="C1189" t="str">
            <v>Pembentukan Dana Abadi Daerah</v>
          </cell>
          <cell r="D1189">
            <v>0</v>
          </cell>
        </row>
        <row r="1190">
          <cell r="C1190" t="str">
            <v>Pembentukan Pokok Dana Abadi Daerah</v>
          </cell>
          <cell r="D1190">
            <v>0</v>
          </cell>
        </row>
        <row r="1191">
          <cell r="C1191" t="str">
            <v>Pembentukan Pokok Dana Abadi Daerah</v>
          </cell>
          <cell r="D1191">
            <v>0</v>
          </cell>
        </row>
        <row r="1192">
          <cell r="C1192" t="str">
            <v>Pembentukan atas Penambahan Pokok Dana Abadi Daerah</v>
          </cell>
          <cell r="D1192">
            <v>0</v>
          </cell>
        </row>
        <row r="1193">
          <cell r="C1193" t="str">
            <v>Pembentukan atas Penambahan Pokok Dana Abadi Daerah</v>
          </cell>
          <cell r="D1193">
            <v>0</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cell r="D1195">
            <v>0</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cell r="D1198">
            <v>0</v>
          </cell>
        </row>
        <row r="1199">
          <cell r="C1199" t="str">
            <v>Pembayaran Cicilan Pokok Pinjaman Daerah dari Pemerintah Daerah Lain</v>
          </cell>
          <cell r="D1199">
            <v>0</v>
          </cell>
        </row>
        <row r="1200">
          <cell r="C1200" t="str">
            <v>Pembayaran Cicilan Pokok Pinjaman Daerah dari Lembaga Keuangan Bank (LKB)</v>
          </cell>
          <cell r="D1200">
            <v>0</v>
          </cell>
        </row>
        <row r="1201">
          <cell r="C1201" t="str">
            <v>Pembayaran Cicilan Pokok Pinjaman Daerah dari Lembaga Keuangan Bukan Bank (LKBB)</v>
          </cell>
          <cell r="D1201">
            <v>0</v>
          </cell>
        </row>
        <row r="1202">
          <cell r="C1202" t="str">
            <v>Pembelian Kembali Obligasi Daerah</v>
          </cell>
          <cell r="D1202">
            <v>0</v>
          </cell>
        </row>
        <row r="1203">
          <cell r="C1203" t="str">
            <v>Pembelian Kembali Obligasi Daerah</v>
          </cell>
          <cell r="D1203">
            <v>0</v>
          </cell>
        </row>
        <row r="1204">
          <cell r="C1204" t="str">
            <v>Pembelian Kembali Sukuk Daerah</v>
          </cell>
          <cell r="D1204">
            <v>0</v>
          </cell>
        </row>
        <row r="1205">
          <cell r="C1205" t="str">
            <v>Pembelian Kembali Sukuk Daerah</v>
          </cell>
          <cell r="D1205">
            <v>0</v>
          </cell>
        </row>
        <row r="1206">
          <cell r="C1206"/>
          <cell r="D1206"/>
        </row>
        <row r="1207">
          <cell r="C1207" t="str">
            <v>PEMBIAYAAN DAERAH NETTO</v>
          </cell>
          <cell r="D1207">
            <v>321244428062.02002</v>
          </cell>
        </row>
        <row r="1208">
          <cell r="C1208"/>
          <cell r="D1208"/>
        </row>
        <row r="1209">
          <cell r="C1209" t="str">
            <v>SISA LEBIH/(KURANG) PEMBIAYAAN ANGGARAN - SILPA/(SIKPA)</v>
          </cell>
          <cell r="D1209">
            <v>0</v>
          </cell>
        </row>
      </sheetData>
      <sheetData sheetId="3" refreshError="1"/>
      <sheetData sheetId="4" refreshError="1"/>
      <sheetData sheetId="5" refreshError="1">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3">
          <cell r="B13"/>
          <cell r="C13"/>
          <cell r="D13"/>
          <cell r="E13"/>
          <cell r="F13"/>
          <cell r="G13"/>
          <cell r="H13"/>
          <cell r="I13"/>
          <cell r="J13"/>
        </row>
        <row r="14">
          <cell r="B14" t="str">
            <v>1</v>
          </cell>
          <cell r="C14" t="str">
            <v>ASET</v>
          </cell>
          <cell r="D14" t="str">
            <v>3.885.138.522.578,63</v>
          </cell>
          <cell r="E14" t="str">
            <v>4.606.378.534.965,56</v>
          </cell>
          <cell r="F14"/>
          <cell r="G14"/>
          <cell r="H14"/>
          <cell r="I14"/>
          <cell r="J14" t="str">
            <v>4.620.786.094.575,63</v>
          </cell>
        </row>
        <row r="15">
          <cell r="B15" t="str">
            <v>1.1</v>
          </cell>
          <cell r="C15" t="str">
            <v>ASET LANCAR</v>
          </cell>
          <cell r="D15">
            <v>389947988706.07001</v>
          </cell>
          <cell r="E15">
            <v>1172897834813.1699</v>
          </cell>
          <cell r="F15"/>
          <cell r="G15"/>
          <cell r="H15"/>
          <cell r="I15"/>
          <cell r="J15">
            <v>1177039545384.74</v>
          </cell>
        </row>
        <row r="16">
          <cell r="B16" t="str">
            <v>1.1.01</v>
          </cell>
          <cell r="C16" t="str">
            <v>Kas dan Setara Kas</v>
          </cell>
          <cell r="D16">
            <v>331614798062.02002</v>
          </cell>
          <cell r="E16">
            <v>1144729374931.99</v>
          </cell>
          <cell r="F16"/>
          <cell r="G16"/>
          <cell r="H16"/>
          <cell r="I16"/>
          <cell r="J16">
            <v>1144729374931.99</v>
          </cell>
        </row>
        <row r="17">
          <cell r="B17" t="str">
            <v>1.1.01.01</v>
          </cell>
          <cell r="C17" t="str">
            <v>Kas di Kas Daerah</v>
          </cell>
          <cell r="D17">
            <v>327859411341.03003</v>
          </cell>
          <cell r="E17">
            <v>1142904295226.28</v>
          </cell>
          <cell r="F17"/>
          <cell r="G17"/>
          <cell r="H17"/>
          <cell r="I17"/>
          <cell r="J17">
            <v>1142904295226.28</v>
          </cell>
        </row>
        <row r="18">
          <cell r="B18" t="str">
            <v>1.1.01.01.01</v>
          </cell>
          <cell r="C18" t="str">
            <v>Kas di Kas Daerah</v>
          </cell>
          <cell r="D18">
            <v>327859411341.03003</v>
          </cell>
          <cell r="E18">
            <v>1142904295226.28</v>
          </cell>
          <cell r="F18">
            <v>0</v>
          </cell>
          <cell r="G18">
            <v>0</v>
          </cell>
          <cell r="H18">
            <v>0</v>
          </cell>
          <cell r="I18">
            <v>0</v>
          </cell>
          <cell r="J18">
            <v>1142904295226.28</v>
          </cell>
        </row>
        <row r="19">
          <cell r="B19" t="str">
            <v>1.1.01.02</v>
          </cell>
          <cell r="C19" t="str">
            <v>Kas di Bendahara Penerimaan</v>
          </cell>
          <cell r="D19">
            <v>0</v>
          </cell>
          <cell r="E19">
            <v>0</v>
          </cell>
          <cell r="F19"/>
          <cell r="G19"/>
          <cell r="H19"/>
          <cell r="I19"/>
          <cell r="J19">
            <v>0</v>
          </cell>
        </row>
        <row r="20">
          <cell r="B20" t="str">
            <v>1.1.01.02.01</v>
          </cell>
          <cell r="C20" t="str">
            <v>Kas di Bendahara Penerimaan</v>
          </cell>
          <cell r="D20">
            <v>0</v>
          </cell>
          <cell r="E20">
            <v>0</v>
          </cell>
          <cell r="F20">
            <v>0</v>
          </cell>
          <cell r="G20">
            <v>0</v>
          </cell>
          <cell r="H20">
            <v>0</v>
          </cell>
          <cell r="I20">
            <v>0</v>
          </cell>
          <cell r="J20">
            <v>0</v>
          </cell>
        </row>
        <row r="21">
          <cell r="B21" t="str">
            <v>1.1.01.03</v>
          </cell>
          <cell r="C21" t="str">
            <v>Kas di Bendahara Pengeluaran</v>
          </cell>
          <cell r="D21">
            <v>2490000</v>
          </cell>
          <cell r="E21">
            <v>960370</v>
          </cell>
          <cell r="F21"/>
          <cell r="G21"/>
          <cell r="H21"/>
          <cell r="I21"/>
          <cell r="J21">
            <v>960370</v>
          </cell>
        </row>
        <row r="22">
          <cell r="B22" t="str">
            <v>1.1.01.03.01</v>
          </cell>
          <cell r="C22" t="str">
            <v>Kas di Bendahara Pengeluaran</v>
          </cell>
          <cell r="D22">
            <v>2490000</v>
          </cell>
          <cell r="E22">
            <v>960370</v>
          </cell>
          <cell r="F22">
            <v>0</v>
          </cell>
          <cell r="G22">
            <v>0</v>
          </cell>
          <cell r="H22">
            <v>0</v>
          </cell>
          <cell r="I22">
            <v>0</v>
          </cell>
          <cell r="J22">
            <v>960370</v>
          </cell>
        </row>
        <row r="23">
          <cell r="B23" t="str">
            <v>1.1.01.04</v>
          </cell>
          <cell r="C23" t="str">
            <v>Kas di BLUD</v>
          </cell>
          <cell r="D23">
            <v>2670897267.1900001</v>
          </cell>
          <cell r="E23">
            <v>1216998606.9100001</v>
          </cell>
          <cell r="F23"/>
          <cell r="G23"/>
          <cell r="H23"/>
          <cell r="I23"/>
          <cell r="J23">
            <v>1216998606.9100001</v>
          </cell>
        </row>
        <row r="24">
          <cell r="B24" t="str">
            <v>1.1.01.04.01</v>
          </cell>
          <cell r="C24" t="str">
            <v>Kas di BLUD</v>
          </cell>
          <cell r="D24">
            <v>2670897267.1900001</v>
          </cell>
          <cell r="E24">
            <v>1216998606.9100001</v>
          </cell>
          <cell r="F24">
            <v>0</v>
          </cell>
          <cell r="G24">
            <v>0</v>
          </cell>
          <cell r="H24">
            <v>0</v>
          </cell>
          <cell r="I24">
            <v>0</v>
          </cell>
          <cell r="J24">
            <v>1216998606.9100001</v>
          </cell>
        </row>
        <row r="25">
          <cell r="B25" t="str">
            <v>1.1.01.05</v>
          </cell>
          <cell r="C25" t="str">
            <v>Kas Dana BOS</v>
          </cell>
          <cell r="D25">
            <v>0</v>
          </cell>
          <cell r="E25">
            <v>0</v>
          </cell>
          <cell r="F25"/>
          <cell r="G25"/>
          <cell r="H25"/>
          <cell r="I25"/>
          <cell r="J25">
            <v>0</v>
          </cell>
        </row>
        <row r="26">
          <cell r="B26" t="str">
            <v>1.1.01.05.01</v>
          </cell>
          <cell r="C26" t="str">
            <v>Kas Dana BOS</v>
          </cell>
          <cell r="D26">
            <v>0</v>
          </cell>
          <cell r="E26">
            <v>0</v>
          </cell>
          <cell r="F26">
            <v>0</v>
          </cell>
          <cell r="G26">
            <v>0</v>
          </cell>
          <cell r="H26">
            <v>0</v>
          </cell>
          <cell r="I26">
            <v>0</v>
          </cell>
          <cell r="J26">
            <v>0</v>
          </cell>
        </row>
        <row r="27">
          <cell r="B27" t="str">
            <v>1.1.01.06</v>
          </cell>
          <cell r="C27" t="str">
            <v>Kas Dana Kapitasi pada FKTP</v>
          </cell>
          <cell r="D27">
            <v>0</v>
          </cell>
          <cell r="E27">
            <v>0</v>
          </cell>
          <cell r="F27"/>
          <cell r="G27"/>
          <cell r="H27"/>
          <cell r="I27"/>
          <cell r="J27">
            <v>0</v>
          </cell>
        </row>
        <row r="28">
          <cell r="B28" t="str">
            <v>1.1.01.06.01</v>
          </cell>
          <cell r="C28" t="str">
            <v>Kas Dana Kapitasi pada FKTP</v>
          </cell>
          <cell r="D28"/>
          <cell r="E28"/>
          <cell r="F28">
            <v>0</v>
          </cell>
          <cell r="G28">
            <v>0</v>
          </cell>
          <cell r="H28">
            <v>0</v>
          </cell>
          <cell r="I28">
            <v>0</v>
          </cell>
          <cell r="J28">
            <v>0</v>
          </cell>
        </row>
        <row r="29">
          <cell r="B29" t="str">
            <v>1.1.01.07</v>
          </cell>
          <cell r="C29" t="str">
            <v>Kas Lainnya</v>
          </cell>
          <cell r="D29">
            <v>13650000</v>
          </cell>
          <cell r="E29">
            <v>0</v>
          </cell>
          <cell r="F29"/>
          <cell r="G29"/>
          <cell r="H29"/>
          <cell r="I29"/>
          <cell r="J29">
            <v>0</v>
          </cell>
        </row>
        <row r="30">
          <cell r="B30" t="str">
            <v>1.1.01.07.01</v>
          </cell>
          <cell r="C30" t="str">
            <v>Kas Lainnya</v>
          </cell>
          <cell r="D30">
            <v>13650000</v>
          </cell>
          <cell r="E30">
            <v>0</v>
          </cell>
          <cell r="F30">
            <v>0</v>
          </cell>
          <cell r="G30">
            <v>0</v>
          </cell>
          <cell r="H30">
            <v>0</v>
          </cell>
          <cell r="I30">
            <v>0</v>
          </cell>
          <cell r="J30">
            <v>0</v>
          </cell>
        </row>
        <row r="31">
          <cell r="B31" t="str">
            <v>1.1.01.08</v>
          </cell>
          <cell r="C31" t="str">
            <v>Setara Kas</v>
          </cell>
          <cell r="D31">
            <v>0</v>
          </cell>
          <cell r="E31">
            <v>0</v>
          </cell>
          <cell r="F31"/>
          <cell r="G31"/>
          <cell r="H31"/>
          <cell r="I31"/>
          <cell r="J31">
            <v>0</v>
          </cell>
        </row>
        <row r="32">
          <cell r="B32" t="str">
            <v>1.1.01.08.01</v>
          </cell>
          <cell r="C32" t="str">
            <v>Setara Kas</v>
          </cell>
          <cell r="D32"/>
          <cell r="E32"/>
          <cell r="F32">
            <v>0</v>
          </cell>
          <cell r="G32">
            <v>0</v>
          </cell>
          <cell r="H32">
            <v>0</v>
          </cell>
          <cell r="I32">
            <v>0</v>
          </cell>
          <cell r="J32">
            <v>0</v>
          </cell>
        </row>
        <row r="33">
          <cell r="B33" t="str">
            <v>1.1.01.09</v>
          </cell>
          <cell r="C33" t="str">
            <v>Kas Dana Desa</v>
          </cell>
          <cell r="D33">
            <v>0</v>
          </cell>
          <cell r="E33">
            <v>0</v>
          </cell>
          <cell r="F33"/>
          <cell r="G33"/>
          <cell r="H33"/>
          <cell r="I33"/>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38483270.799999997</v>
          </cell>
          <cell r="E35">
            <v>76216481.799999997</v>
          </cell>
          <cell r="F35"/>
          <cell r="G35"/>
          <cell r="H35"/>
          <cell r="I35"/>
          <cell r="J35">
            <v>76216481.799999997</v>
          </cell>
        </row>
        <row r="36">
          <cell r="B36" t="str">
            <v>1.1.01.10.01</v>
          </cell>
          <cell r="C36" t="str">
            <v>Kas Dana BOSP</v>
          </cell>
          <cell r="D36">
            <v>38483270.799999997</v>
          </cell>
          <cell r="E36">
            <v>76216481.799999997</v>
          </cell>
          <cell r="F36">
            <v>0</v>
          </cell>
          <cell r="G36">
            <v>0</v>
          </cell>
          <cell r="H36">
            <v>0</v>
          </cell>
          <cell r="I36">
            <v>0</v>
          </cell>
          <cell r="J36">
            <v>76216481.799999997</v>
          </cell>
        </row>
        <row r="37">
          <cell r="B37" t="str">
            <v>1.1.01.11</v>
          </cell>
          <cell r="C37" t="str">
            <v>Kas Dana BOK Puskesmas</v>
          </cell>
          <cell r="D37">
            <v>1029866183</v>
          </cell>
          <cell r="E37">
            <v>530904247</v>
          </cell>
          <cell r="F37"/>
          <cell r="G37"/>
          <cell r="H37"/>
          <cell r="I37"/>
          <cell r="J37">
            <v>530904247</v>
          </cell>
        </row>
        <row r="38">
          <cell r="B38" t="str">
            <v>1.1.01.11.01</v>
          </cell>
          <cell r="C38" t="str">
            <v>Kas Dana BOK Puskesmas</v>
          </cell>
          <cell r="D38">
            <v>1029866183</v>
          </cell>
          <cell r="E38">
            <v>530904247</v>
          </cell>
          <cell r="F38">
            <v>0</v>
          </cell>
          <cell r="G38">
            <v>0</v>
          </cell>
          <cell r="H38">
            <v>0</v>
          </cell>
          <cell r="I38">
            <v>0</v>
          </cell>
          <cell r="J38">
            <v>530904247</v>
          </cell>
        </row>
        <row r="39">
          <cell r="B39" t="str">
            <v>1.1.01.12</v>
          </cell>
          <cell r="C39" t="str">
            <v>Kas Otonomi Khusus</v>
          </cell>
          <cell r="D39">
            <v>0</v>
          </cell>
          <cell r="E39">
            <v>0</v>
          </cell>
          <cell r="F39"/>
          <cell r="G39"/>
          <cell r="H39"/>
          <cell r="I39"/>
          <cell r="J39">
            <v>0</v>
          </cell>
        </row>
        <row r="40">
          <cell r="B40" t="str">
            <v>1.1.01.12.01</v>
          </cell>
          <cell r="C40" t="str">
            <v>Kas Otonomi Khusus-Papua</v>
          </cell>
          <cell r="D40">
            <v>0</v>
          </cell>
          <cell r="E40">
            <v>0</v>
          </cell>
          <cell r="F40">
            <v>0</v>
          </cell>
          <cell r="G40">
            <v>0</v>
          </cell>
          <cell r="H40">
            <v>0</v>
          </cell>
          <cell r="I40">
            <v>0</v>
          </cell>
          <cell r="J40">
            <v>0</v>
          </cell>
        </row>
        <row r="41">
          <cell r="B41" t="str">
            <v>1.1.01.12.02</v>
          </cell>
          <cell r="C41" t="str">
            <v>Kas Otonomi Khusus-Aceh</v>
          </cell>
          <cell r="D41">
            <v>0</v>
          </cell>
          <cell r="E41">
            <v>0</v>
          </cell>
          <cell r="F41">
            <v>0</v>
          </cell>
          <cell r="G41">
            <v>0</v>
          </cell>
          <cell r="H41">
            <v>0</v>
          </cell>
          <cell r="I41">
            <v>0</v>
          </cell>
          <cell r="J41">
            <v>0</v>
          </cell>
        </row>
        <row r="42">
          <cell r="B42" t="str">
            <v>1.1.01.13</v>
          </cell>
          <cell r="C42" t="str">
            <v>Kas Dana Abadi Daerah</v>
          </cell>
          <cell r="D42">
            <v>0</v>
          </cell>
          <cell r="E42">
            <v>0</v>
          </cell>
          <cell r="F42"/>
          <cell r="G42"/>
          <cell r="H42"/>
          <cell r="I42"/>
          <cell r="J42">
            <v>0</v>
          </cell>
        </row>
        <row r="43">
          <cell r="B43" t="str">
            <v>1.1.01.13.01</v>
          </cell>
          <cell r="C43" t="str">
            <v>Kas Dana Abadi Daerah</v>
          </cell>
          <cell r="D43">
            <v>0</v>
          </cell>
          <cell r="E43">
            <v>0</v>
          </cell>
          <cell r="F43">
            <v>0</v>
          </cell>
          <cell r="G43">
            <v>0</v>
          </cell>
          <cell r="H43">
            <v>0</v>
          </cell>
          <cell r="I43">
            <v>0</v>
          </cell>
          <cell r="J43">
            <v>0</v>
          </cell>
        </row>
        <row r="44">
          <cell r="B44"/>
          <cell r="C44"/>
          <cell r="D44"/>
          <cell r="E44"/>
          <cell r="F44"/>
          <cell r="G44"/>
          <cell r="H44"/>
          <cell r="I44"/>
          <cell r="J44"/>
        </row>
        <row r="45">
          <cell r="B45" t="str">
            <v>1.1.02</v>
          </cell>
          <cell r="C45" t="str">
            <v>Investasi Jangka Pendek</v>
          </cell>
          <cell r="D45">
            <v>0</v>
          </cell>
          <cell r="E45">
            <v>0</v>
          </cell>
          <cell r="F45"/>
          <cell r="G45"/>
          <cell r="H45"/>
          <cell r="I45"/>
          <cell r="J45">
            <v>0</v>
          </cell>
        </row>
        <row r="46">
          <cell r="B46" t="str">
            <v>1.1.02.01</v>
          </cell>
          <cell r="C46" t="str">
            <v>Investasi dalam Saham</v>
          </cell>
          <cell r="D46">
            <v>0</v>
          </cell>
          <cell r="E46">
            <v>0</v>
          </cell>
          <cell r="F46"/>
          <cell r="G46"/>
          <cell r="H46"/>
          <cell r="I46"/>
          <cell r="J46">
            <v>0</v>
          </cell>
        </row>
        <row r="47">
          <cell r="B47" t="str">
            <v>1.1.02.01.01</v>
          </cell>
          <cell r="C47" t="str">
            <v>Investasi dalam Saham</v>
          </cell>
          <cell r="D47"/>
          <cell r="E47"/>
          <cell r="F47">
            <v>0</v>
          </cell>
          <cell r="G47">
            <v>0</v>
          </cell>
          <cell r="H47">
            <v>0</v>
          </cell>
          <cell r="I47">
            <v>0</v>
          </cell>
          <cell r="J47">
            <v>0</v>
          </cell>
        </row>
        <row r="48">
          <cell r="B48" t="str">
            <v>1.1.02.02</v>
          </cell>
          <cell r="C48" t="str">
            <v>Investasi dalam Deposito</v>
          </cell>
          <cell r="D48">
            <v>0</v>
          </cell>
          <cell r="E48">
            <v>0</v>
          </cell>
          <cell r="F48"/>
          <cell r="G48"/>
          <cell r="H48"/>
          <cell r="I48"/>
          <cell r="J48">
            <v>0</v>
          </cell>
        </row>
        <row r="49">
          <cell r="B49" t="str">
            <v>1.1.02.02.01</v>
          </cell>
          <cell r="C49" t="str">
            <v>Deposito Jangka Pendek</v>
          </cell>
          <cell r="D49"/>
          <cell r="E49"/>
          <cell r="F49">
            <v>0</v>
          </cell>
          <cell r="G49">
            <v>0</v>
          </cell>
          <cell r="H49">
            <v>0</v>
          </cell>
          <cell r="I49">
            <v>0</v>
          </cell>
          <cell r="J49">
            <v>0</v>
          </cell>
        </row>
        <row r="50">
          <cell r="B50" t="str">
            <v>1.1.02.03</v>
          </cell>
          <cell r="C50" t="str">
            <v>Investasi dalam SUN</v>
          </cell>
          <cell r="D50">
            <v>0</v>
          </cell>
          <cell r="E50">
            <v>0</v>
          </cell>
          <cell r="F50"/>
          <cell r="G50"/>
          <cell r="H50"/>
          <cell r="I50"/>
          <cell r="J50">
            <v>0</v>
          </cell>
        </row>
        <row r="51">
          <cell r="B51" t="str">
            <v>1.1.02.03.01</v>
          </cell>
          <cell r="C51" t="str">
            <v>Investasi dalam SUN</v>
          </cell>
          <cell r="D51"/>
          <cell r="E51"/>
          <cell r="F51">
            <v>0</v>
          </cell>
          <cell r="G51">
            <v>0</v>
          </cell>
          <cell r="H51">
            <v>0</v>
          </cell>
          <cell r="I51">
            <v>0</v>
          </cell>
          <cell r="J51">
            <v>0</v>
          </cell>
        </row>
        <row r="52">
          <cell r="B52" t="str">
            <v>1.1.02.04</v>
          </cell>
          <cell r="C52" t="str">
            <v>Investasi dalam SBI</v>
          </cell>
          <cell r="D52">
            <v>0</v>
          </cell>
          <cell r="E52">
            <v>0</v>
          </cell>
          <cell r="F52"/>
          <cell r="G52"/>
          <cell r="H52"/>
          <cell r="I52"/>
          <cell r="J52">
            <v>0</v>
          </cell>
        </row>
        <row r="53">
          <cell r="B53" t="str">
            <v>1.1.02.04.01</v>
          </cell>
          <cell r="C53" t="str">
            <v>Investasi dalam SBI</v>
          </cell>
          <cell r="D53"/>
          <cell r="E53"/>
          <cell r="F53">
            <v>0</v>
          </cell>
          <cell r="G53">
            <v>0</v>
          </cell>
          <cell r="H53">
            <v>0</v>
          </cell>
          <cell r="I53">
            <v>0</v>
          </cell>
          <cell r="J53">
            <v>0</v>
          </cell>
        </row>
        <row r="54">
          <cell r="B54" t="str">
            <v>1.1.02.05</v>
          </cell>
          <cell r="C54" t="str">
            <v>Investasi dalam SPN</v>
          </cell>
          <cell r="D54">
            <v>0</v>
          </cell>
          <cell r="E54">
            <v>0</v>
          </cell>
          <cell r="F54"/>
          <cell r="G54"/>
          <cell r="H54"/>
          <cell r="I54"/>
          <cell r="J54">
            <v>0</v>
          </cell>
        </row>
        <row r="55">
          <cell r="B55" t="str">
            <v>1.1.02.05.01</v>
          </cell>
          <cell r="C55" t="str">
            <v>Investasi dalam SPN</v>
          </cell>
          <cell r="D55"/>
          <cell r="E55"/>
          <cell r="F55">
            <v>0</v>
          </cell>
          <cell r="G55">
            <v>0</v>
          </cell>
          <cell r="H55">
            <v>0</v>
          </cell>
          <cell r="I55">
            <v>0</v>
          </cell>
          <cell r="J55">
            <v>0</v>
          </cell>
        </row>
        <row r="56">
          <cell r="B56" t="str">
            <v>1.1.02.06</v>
          </cell>
          <cell r="C56" t="str">
            <v>Investasi Jangka Pendek BLUD</v>
          </cell>
          <cell r="D56">
            <v>0</v>
          </cell>
          <cell r="E56">
            <v>0</v>
          </cell>
          <cell r="F56"/>
          <cell r="G56"/>
          <cell r="H56"/>
          <cell r="I56"/>
          <cell r="J56">
            <v>0</v>
          </cell>
        </row>
        <row r="57">
          <cell r="B57" t="str">
            <v>1.1.02.06.01</v>
          </cell>
          <cell r="C57" t="str">
            <v>Investasi Jangka Pendek BLUD</v>
          </cell>
          <cell r="D57"/>
          <cell r="E57"/>
          <cell r="F57">
            <v>0</v>
          </cell>
          <cell r="G57">
            <v>0</v>
          </cell>
          <cell r="H57">
            <v>0</v>
          </cell>
          <cell r="I57">
            <v>0</v>
          </cell>
          <cell r="J57">
            <v>0</v>
          </cell>
        </row>
        <row r="58">
          <cell r="B58"/>
          <cell r="C58"/>
          <cell r="D58"/>
          <cell r="E58"/>
          <cell r="F58"/>
          <cell r="G58"/>
          <cell r="H58"/>
          <cell r="I58"/>
          <cell r="J58"/>
        </row>
        <row r="59">
          <cell r="B59" t="str">
            <v>1.1.03</v>
          </cell>
          <cell r="C59" t="str">
            <v>Piutang Pajak Daerah</v>
          </cell>
          <cell r="D59">
            <v>3872679968</v>
          </cell>
          <cell r="E59">
            <v>3716969290</v>
          </cell>
          <cell r="F59"/>
          <cell r="G59"/>
          <cell r="H59"/>
          <cell r="I59"/>
          <cell r="J59">
            <v>8180131039</v>
          </cell>
        </row>
        <row r="60">
          <cell r="B60" t="str">
            <v>1.1.03.01</v>
          </cell>
          <cell r="C60" t="str">
            <v>Piutang Pajak Kendaraan Bermotor (PKB)</v>
          </cell>
          <cell r="D60">
            <v>0</v>
          </cell>
          <cell r="E60">
            <v>0</v>
          </cell>
          <cell r="F60"/>
          <cell r="G60"/>
          <cell r="H60"/>
          <cell r="I60"/>
          <cell r="J60">
            <v>0</v>
          </cell>
        </row>
        <row r="61">
          <cell r="B61" t="str">
            <v>1.1.03.01.01</v>
          </cell>
          <cell r="C61" t="str">
            <v>Piutang PKB-Mobil Penumpang-Sedan</v>
          </cell>
          <cell r="D61"/>
          <cell r="E61"/>
          <cell r="F61">
            <v>0</v>
          </cell>
          <cell r="G61">
            <v>0</v>
          </cell>
          <cell r="H61">
            <v>0</v>
          </cell>
          <cell r="I61">
            <v>0</v>
          </cell>
          <cell r="J61">
            <v>0</v>
          </cell>
        </row>
        <row r="62">
          <cell r="B62" t="str">
            <v>1.1.03.01.02</v>
          </cell>
          <cell r="C62" t="str">
            <v>Piutang PKB-Mobil Penumpang-Jeep</v>
          </cell>
          <cell r="D62"/>
          <cell r="E62"/>
          <cell r="F62">
            <v>0</v>
          </cell>
          <cell r="G62">
            <v>0</v>
          </cell>
          <cell r="H62">
            <v>0</v>
          </cell>
          <cell r="I62">
            <v>0</v>
          </cell>
          <cell r="J62">
            <v>0</v>
          </cell>
        </row>
        <row r="63">
          <cell r="B63" t="str">
            <v>1.1.03.01.03</v>
          </cell>
          <cell r="C63" t="str">
            <v>Piutang PKB-Mobil Penumpang-Minibus</v>
          </cell>
          <cell r="D63"/>
          <cell r="E63"/>
          <cell r="F63">
            <v>0</v>
          </cell>
          <cell r="G63">
            <v>0</v>
          </cell>
          <cell r="H63">
            <v>0</v>
          </cell>
          <cell r="I63">
            <v>0</v>
          </cell>
          <cell r="J63">
            <v>0</v>
          </cell>
        </row>
        <row r="64">
          <cell r="B64" t="str">
            <v>1.1.03.01.04</v>
          </cell>
          <cell r="C64" t="str">
            <v>Piutang PKB-Mobil Bus-Microbus</v>
          </cell>
          <cell r="D64"/>
          <cell r="E64"/>
          <cell r="F64">
            <v>0</v>
          </cell>
          <cell r="G64">
            <v>0</v>
          </cell>
          <cell r="H64">
            <v>0</v>
          </cell>
          <cell r="I64">
            <v>0</v>
          </cell>
          <cell r="J64">
            <v>0</v>
          </cell>
        </row>
        <row r="65">
          <cell r="B65" t="str">
            <v>1.1.03.01.05</v>
          </cell>
          <cell r="C65" t="str">
            <v>Piutang PKB-Mobil Bus-Bus</v>
          </cell>
          <cell r="D65"/>
          <cell r="E65"/>
          <cell r="F65">
            <v>0</v>
          </cell>
          <cell r="G65">
            <v>0</v>
          </cell>
          <cell r="H65">
            <v>0</v>
          </cell>
          <cell r="I65">
            <v>0</v>
          </cell>
          <cell r="J65">
            <v>0</v>
          </cell>
        </row>
        <row r="66">
          <cell r="B66" t="str">
            <v>1.1.03.01.06</v>
          </cell>
          <cell r="C66" t="str">
            <v>Piutang PKB-Mobil Barang/Beban-Pick Up</v>
          </cell>
          <cell r="D66"/>
          <cell r="E66"/>
          <cell r="F66">
            <v>0</v>
          </cell>
          <cell r="G66">
            <v>0</v>
          </cell>
          <cell r="H66">
            <v>0</v>
          </cell>
          <cell r="I66">
            <v>0</v>
          </cell>
          <cell r="J66">
            <v>0</v>
          </cell>
        </row>
        <row r="67">
          <cell r="B67" t="str">
            <v>1.1.03.01.07</v>
          </cell>
          <cell r="C67" t="str">
            <v>Piutang PKB-Mobil Barang/Beban-Light Truck</v>
          </cell>
          <cell r="D67"/>
          <cell r="E67"/>
          <cell r="F67">
            <v>0</v>
          </cell>
          <cell r="G67">
            <v>0</v>
          </cell>
          <cell r="H67">
            <v>0</v>
          </cell>
          <cell r="I67">
            <v>0</v>
          </cell>
          <cell r="J67">
            <v>0</v>
          </cell>
        </row>
        <row r="68">
          <cell r="B68" t="str">
            <v>1.1.03.01.08</v>
          </cell>
          <cell r="C68" t="str">
            <v>Piutang PKB-Mobil Barang/Beban-Truck</v>
          </cell>
          <cell r="D68"/>
          <cell r="E68"/>
          <cell r="F68">
            <v>0</v>
          </cell>
          <cell r="G68">
            <v>0</v>
          </cell>
          <cell r="H68">
            <v>0</v>
          </cell>
          <cell r="I68">
            <v>0</v>
          </cell>
          <cell r="J68">
            <v>0</v>
          </cell>
        </row>
        <row r="69">
          <cell r="B69" t="str">
            <v>1.1.03.01.09</v>
          </cell>
          <cell r="C69" t="str">
            <v>Piutang PKB-Mobil Barang/Beban-Blind Van</v>
          </cell>
          <cell r="D69"/>
          <cell r="E69"/>
          <cell r="F69">
            <v>0</v>
          </cell>
          <cell r="G69">
            <v>0</v>
          </cell>
          <cell r="H69">
            <v>0</v>
          </cell>
          <cell r="I69">
            <v>0</v>
          </cell>
          <cell r="J69">
            <v>0</v>
          </cell>
        </row>
        <row r="70">
          <cell r="B70" t="str">
            <v>1.1.03.01.10</v>
          </cell>
          <cell r="C70" t="str">
            <v>Piutang PKB-Sepeda Motor-Sepeda Motor Roda Dua</v>
          </cell>
          <cell r="D70"/>
          <cell r="E70"/>
          <cell r="F70">
            <v>0</v>
          </cell>
          <cell r="G70">
            <v>0</v>
          </cell>
          <cell r="H70">
            <v>0</v>
          </cell>
          <cell r="I70">
            <v>0</v>
          </cell>
          <cell r="J70">
            <v>0</v>
          </cell>
        </row>
        <row r="71">
          <cell r="B71" t="str">
            <v>1.1.03.01.11</v>
          </cell>
          <cell r="C71" t="str">
            <v>Piutang PKB-Sepeda Motor-Sepeda Motor Roda Tiga</v>
          </cell>
          <cell r="D71"/>
          <cell r="E71"/>
          <cell r="F71">
            <v>0</v>
          </cell>
          <cell r="G71">
            <v>0</v>
          </cell>
          <cell r="H71">
            <v>0</v>
          </cell>
          <cell r="I71">
            <v>0</v>
          </cell>
          <cell r="J71">
            <v>0</v>
          </cell>
        </row>
        <row r="72">
          <cell r="B72" t="str">
            <v>1.1.03.01.12</v>
          </cell>
          <cell r="C72" t="str">
            <v>Piutang PKB-Kendaraan Bermotor yang Dioperasikan di Air</v>
          </cell>
          <cell r="D72"/>
          <cell r="E72"/>
          <cell r="F72">
            <v>0</v>
          </cell>
          <cell r="G72">
            <v>0</v>
          </cell>
          <cell r="H72">
            <v>0</v>
          </cell>
          <cell r="I72">
            <v>0</v>
          </cell>
          <cell r="J72">
            <v>0</v>
          </cell>
        </row>
        <row r="73">
          <cell r="B73" t="str">
            <v>1.1.03.01.13</v>
          </cell>
          <cell r="C73" t="str">
            <v>Piutang PKB-Kendaraan Khusus Alat Berat/Alat Besar</v>
          </cell>
          <cell r="D73"/>
          <cell r="E73"/>
          <cell r="F73">
            <v>0</v>
          </cell>
          <cell r="G73">
            <v>0</v>
          </cell>
          <cell r="H73">
            <v>0</v>
          </cell>
          <cell r="I73">
            <v>0</v>
          </cell>
          <cell r="J73">
            <v>0</v>
          </cell>
        </row>
        <row r="74">
          <cell r="B74" t="str">
            <v>1.1.03.01.14</v>
          </cell>
          <cell r="C74" t="str">
            <v>Piutang PKB-mobil Roda Tiga</v>
          </cell>
          <cell r="D74"/>
          <cell r="E74"/>
          <cell r="F74">
            <v>0</v>
          </cell>
          <cell r="G74">
            <v>0</v>
          </cell>
          <cell r="H74">
            <v>0</v>
          </cell>
          <cell r="I74">
            <v>0</v>
          </cell>
          <cell r="J74">
            <v>0</v>
          </cell>
        </row>
        <row r="75">
          <cell r="B75" t="str">
            <v>1.1.03.01.15</v>
          </cell>
          <cell r="C75" t="str">
            <v>Piutang PKB-Mobil Penumpang-Roda Tiga</v>
          </cell>
          <cell r="D75"/>
          <cell r="E75"/>
          <cell r="F75">
            <v>0</v>
          </cell>
          <cell r="G75">
            <v>0</v>
          </cell>
          <cell r="H75">
            <v>0</v>
          </cell>
          <cell r="I75">
            <v>0</v>
          </cell>
          <cell r="J75">
            <v>0</v>
          </cell>
        </row>
        <row r="76">
          <cell r="B76" t="str">
            <v>1.1.03.01.16</v>
          </cell>
          <cell r="C76" t="str">
            <v>Piutang PKB-Mobil Barang-Roda Tiga</v>
          </cell>
          <cell r="D76"/>
          <cell r="E76"/>
          <cell r="F76">
            <v>0</v>
          </cell>
          <cell r="G76">
            <v>0</v>
          </cell>
          <cell r="H76">
            <v>0</v>
          </cell>
          <cell r="I76">
            <v>0</v>
          </cell>
          <cell r="J76">
            <v>0</v>
          </cell>
        </row>
        <row r="77">
          <cell r="B77" t="str">
            <v>1.1.03.01.17</v>
          </cell>
          <cell r="C77" t="str">
            <v>Piutang PKB-Mobil Barang/Beban-Pick Up Box</v>
          </cell>
          <cell r="D77"/>
          <cell r="E77"/>
          <cell r="F77">
            <v>0</v>
          </cell>
          <cell r="G77">
            <v>0</v>
          </cell>
          <cell r="H77">
            <v>0</v>
          </cell>
          <cell r="I77">
            <v>0</v>
          </cell>
          <cell r="J77">
            <v>0</v>
          </cell>
        </row>
        <row r="78">
          <cell r="B78" t="str">
            <v>1.1.03.01.18</v>
          </cell>
          <cell r="C78" t="str">
            <v>Piutang PKB-Sepeda Motor-Sepeda Motor Roda Tiga Penumpang</v>
          </cell>
          <cell r="D78"/>
          <cell r="E78"/>
          <cell r="F78">
            <v>0</v>
          </cell>
          <cell r="G78">
            <v>0</v>
          </cell>
          <cell r="H78">
            <v>0</v>
          </cell>
          <cell r="I78">
            <v>0</v>
          </cell>
          <cell r="J78">
            <v>0</v>
          </cell>
        </row>
        <row r="79">
          <cell r="B79" t="str">
            <v>1.1.03.02</v>
          </cell>
          <cell r="C79" t="str">
            <v>Piutang Bea Balik Nama Kendaraan Bermotor</v>
          </cell>
          <cell r="D79">
            <v>0</v>
          </cell>
          <cell r="E79">
            <v>0</v>
          </cell>
          <cell r="F79"/>
          <cell r="G79"/>
          <cell r="H79"/>
          <cell r="I79"/>
          <cell r="J79">
            <v>0</v>
          </cell>
        </row>
        <row r="80">
          <cell r="B80" t="str">
            <v>1.1.03.02.01</v>
          </cell>
          <cell r="C80" t="str">
            <v>Piutang BBNKB-Mobil Penumpang-Sedan</v>
          </cell>
          <cell r="D80"/>
          <cell r="E80"/>
          <cell r="F80">
            <v>0</v>
          </cell>
          <cell r="G80">
            <v>0</v>
          </cell>
          <cell r="H80">
            <v>0</v>
          </cell>
          <cell r="I80">
            <v>0</v>
          </cell>
          <cell r="J80">
            <v>0</v>
          </cell>
        </row>
        <row r="81">
          <cell r="B81" t="str">
            <v>1.1.03.02.02</v>
          </cell>
          <cell r="C81" t="str">
            <v>Piutang BBNKB-Mobil Penumpang-Jeep</v>
          </cell>
          <cell r="D81"/>
          <cell r="E81"/>
          <cell r="F81">
            <v>0</v>
          </cell>
          <cell r="G81">
            <v>0</v>
          </cell>
          <cell r="H81">
            <v>0</v>
          </cell>
          <cell r="I81">
            <v>0</v>
          </cell>
          <cell r="J81">
            <v>0</v>
          </cell>
        </row>
        <row r="82">
          <cell r="B82" t="str">
            <v>1.1.03.02.03</v>
          </cell>
          <cell r="C82" t="str">
            <v>Piutang BBNKB-Mobil Penumpang-Minibus</v>
          </cell>
          <cell r="D82"/>
          <cell r="E82"/>
          <cell r="F82">
            <v>0</v>
          </cell>
          <cell r="G82">
            <v>0</v>
          </cell>
          <cell r="H82">
            <v>0</v>
          </cell>
          <cell r="I82">
            <v>0</v>
          </cell>
          <cell r="J82">
            <v>0</v>
          </cell>
        </row>
        <row r="83">
          <cell r="B83" t="str">
            <v>1.1.03.02.04</v>
          </cell>
          <cell r="C83" t="str">
            <v>Piutang BBNKB-Mobil Bus-Microbus</v>
          </cell>
          <cell r="D83"/>
          <cell r="E83"/>
          <cell r="F83">
            <v>0</v>
          </cell>
          <cell r="G83">
            <v>0</v>
          </cell>
          <cell r="H83">
            <v>0</v>
          </cell>
          <cell r="I83">
            <v>0</v>
          </cell>
          <cell r="J83">
            <v>0</v>
          </cell>
        </row>
        <row r="84">
          <cell r="B84" t="str">
            <v>1.1.03.02.05</v>
          </cell>
          <cell r="C84" t="str">
            <v>Piutang BBNKB-Mobil Bus-Bus</v>
          </cell>
          <cell r="D84"/>
          <cell r="E84"/>
          <cell r="F84">
            <v>0</v>
          </cell>
          <cell r="G84">
            <v>0</v>
          </cell>
          <cell r="H84">
            <v>0</v>
          </cell>
          <cell r="I84">
            <v>0</v>
          </cell>
          <cell r="J84">
            <v>0</v>
          </cell>
        </row>
        <row r="85">
          <cell r="B85" t="str">
            <v>1.1.03.02.06</v>
          </cell>
          <cell r="C85" t="str">
            <v>Piutang BBNKB-Mobil Barang/Beban-Pick Up</v>
          </cell>
          <cell r="D85"/>
          <cell r="E85"/>
          <cell r="F85">
            <v>0</v>
          </cell>
          <cell r="G85">
            <v>0</v>
          </cell>
          <cell r="H85">
            <v>0</v>
          </cell>
          <cell r="I85">
            <v>0</v>
          </cell>
          <cell r="J85">
            <v>0</v>
          </cell>
        </row>
        <row r="86">
          <cell r="B86" t="str">
            <v>1.1.03.02.07</v>
          </cell>
          <cell r="C86" t="str">
            <v>Piutang BBNKB-Mobil Barang/Beban-Light Truck</v>
          </cell>
          <cell r="D86"/>
          <cell r="E86"/>
          <cell r="F86">
            <v>0</v>
          </cell>
          <cell r="G86">
            <v>0</v>
          </cell>
          <cell r="H86">
            <v>0</v>
          </cell>
          <cell r="I86">
            <v>0</v>
          </cell>
          <cell r="J86">
            <v>0</v>
          </cell>
        </row>
        <row r="87">
          <cell r="B87" t="str">
            <v>1.1.03.02.08</v>
          </cell>
          <cell r="C87" t="str">
            <v>Piutang BBNKB-Mobil Barang/Beban-Truck</v>
          </cell>
          <cell r="D87"/>
          <cell r="E87"/>
          <cell r="F87">
            <v>0</v>
          </cell>
          <cell r="G87">
            <v>0</v>
          </cell>
          <cell r="H87">
            <v>0</v>
          </cell>
          <cell r="I87">
            <v>0</v>
          </cell>
          <cell r="J87">
            <v>0</v>
          </cell>
        </row>
        <row r="88">
          <cell r="B88" t="str">
            <v>1.1.03.02.09</v>
          </cell>
          <cell r="C88" t="str">
            <v>Piutang BBNKB-Mobil Barang/Beban-Blind Van</v>
          </cell>
          <cell r="D88"/>
          <cell r="E88"/>
          <cell r="F88">
            <v>0</v>
          </cell>
          <cell r="G88">
            <v>0</v>
          </cell>
          <cell r="H88">
            <v>0</v>
          </cell>
          <cell r="I88">
            <v>0</v>
          </cell>
          <cell r="J88">
            <v>0</v>
          </cell>
        </row>
        <row r="89">
          <cell r="B89" t="str">
            <v>1.1.03.02.10</v>
          </cell>
          <cell r="C89" t="str">
            <v>Piutang BBNKB-Sepeda Motor-Sepeda Motor Roda Dua</v>
          </cell>
          <cell r="D89"/>
          <cell r="E89"/>
          <cell r="F89">
            <v>0</v>
          </cell>
          <cell r="G89">
            <v>0</v>
          </cell>
          <cell r="H89">
            <v>0</v>
          </cell>
          <cell r="I89">
            <v>0</v>
          </cell>
          <cell r="J89">
            <v>0</v>
          </cell>
        </row>
        <row r="90">
          <cell r="B90" t="str">
            <v>1.1.03.02.11</v>
          </cell>
          <cell r="C90" t="str">
            <v>Piutang BBNKB-Sepeda Motor-Sepeda Motor Roda Tiga</v>
          </cell>
          <cell r="D90"/>
          <cell r="E90"/>
          <cell r="F90">
            <v>0</v>
          </cell>
          <cell r="G90">
            <v>0</v>
          </cell>
          <cell r="H90">
            <v>0</v>
          </cell>
          <cell r="I90">
            <v>0</v>
          </cell>
          <cell r="J90">
            <v>0</v>
          </cell>
        </row>
        <row r="91">
          <cell r="B91" t="str">
            <v>1.1.03.02.12</v>
          </cell>
          <cell r="C91" t="str">
            <v>Piutang BBNKB-Kendaraan Bermotor yang Dioperasikan di Air</v>
          </cell>
          <cell r="D91"/>
          <cell r="E91"/>
          <cell r="F91">
            <v>0</v>
          </cell>
          <cell r="G91">
            <v>0</v>
          </cell>
          <cell r="H91">
            <v>0</v>
          </cell>
          <cell r="I91">
            <v>0</v>
          </cell>
          <cell r="J91">
            <v>0</v>
          </cell>
        </row>
        <row r="92">
          <cell r="B92" t="str">
            <v>1.1.03.02.13</v>
          </cell>
          <cell r="C92" t="str">
            <v>Piutang BBNKB-Kendaraan Khusus Alat Berat</v>
          </cell>
          <cell r="D92"/>
          <cell r="E92"/>
          <cell r="F92">
            <v>0</v>
          </cell>
          <cell r="G92">
            <v>0</v>
          </cell>
          <cell r="H92">
            <v>0</v>
          </cell>
          <cell r="I92">
            <v>0</v>
          </cell>
          <cell r="J92">
            <v>0</v>
          </cell>
        </row>
        <row r="93">
          <cell r="B93" t="str">
            <v>1.1.03.02.14</v>
          </cell>
          <cell r="C93" t="str">
            <v>Piutang BBNKB-Mobil Roda Tiga</v>
          </cell>
          <cell r="D93"/>
          <cell r="E93"/>
          <cell r="F93">
            <v>0</v>
          </cell>
          <cell r="G93">
            <v>0</v>
          </cell>
          <cell r="H93">
            <v>0</v>
          </cell>
          <cell r="I93">
            <v>0</v>
          </cell>
          <cell r="J93">
            <v>0</v>
          </cell>
        </row>
        <row r="94">
          <cell r="B94" t="str">
            <v>1.1.03.02.15</v>
          </cell>
          <cell r="C94" t="str">
            <v>Piutang BBNKB-Mobil Penumpang-Roda Tiga</v>
          </cell>
          <cell r="D94"/>
          <cell r="E94"/>
          <cell r="F94">
            <v>0</v>
          </cell>
          <cell r="G94">
            <v>0</v>
          </cell>
          <cell r="H94">
            <v>0</v>
          </cell>
          <cell r="I94">
            <v>0</v>
          </cell>
          <cell r="J94">
            <v>0</v>
          </cell>
        </row>
        <row r="95">
          <cell r="B95" t="str">
            <v>1.1.03.02.16</v>
          </cell>
          <cell r="C95" t="str">
            <v>Piutang BBNKB-Mobil Barang-Roda Tiga</v>
          </cell>
          <cell r="D95"/>
          <cell r="E95"/>
          <cell r="F95">
            <v>0</v>
          </cell>
          <cell r="G95">
            <v>0</v>
          </cell>
          <cell r="H95">
            <v>0</v>
          </cell>
          <cell r="I95">
            <v>0</v>
          </cell>
          <cell r="J95">
            <v>0</v>
          </cell>
        </row>
        <row r="96">
          <cell r="B96" t="str">
            <v>1.1.03.02.17</v>
          </cell>
          <cell r="C96" t="str">
            <v>Piutang BBNKB-Mobil Barang/Beban-Pick Up Box</v>
          </cell>
          <cell r="D96"/>
          <cell r="E96"/>
          <cell r="F96">
            <v>0</v>
          </cell>
          <cell r="G96">
            <v>0</v>
          </cell>
          <cell r="H96">
            <v>0</v>
          </cell>
          <cell r="I96">
            <v>0</v>
          </cell>
          <cell r="J96">
            <v>0</v>
          </cell>
        </row>
        <row r="97">
          <cell r="B97" t="str">
            <v>1.1.03.02.18</v>
          </cell>
          <cell r="C97" t="str">
            <v>Piutang BBNKB-Sepeda Motor-Sepeda Motor Roda Tiga Penumpang</v>
          </cell>
          <cell r="D97"/>
          <cell r="E97"/>
          <cell r="F97">
            <v>0</v>
          </cell>
          <cell r="G97">
            <v>0</v>
          </cell>
          <cell r="H97">
            <v>0</v>
          </cell>
          <cell r="I97">
            <v>0</v>
          </cell>
          <cell r="J97">
            <v>0</v>
          </cell>
        </row>
        <row r="98">
          <cell r="B98" t="str">
            <v>1.1.03.03</v>
          </cell>
          <cell r="C98" t="str">
            <v>Piutang Pajak Bahan Bakar Kendaraan Bermotor (PBBKB)</v>
          </cell>
          <cell r="D98">
            <v>0</v>
          </cell>
          <cell r="E98">
            <v>0</v>
          </cell>
          <cell r="F98"/>
          <cell r="G98"/>
          <cell r="H98"/>
          <cell r="I98"/>
          <cell r="J98">
            <v>0</v>
          </cell>
        </row>
        <row r="99">
          <cell r="B99" t="str">
            <v>1.1.03.03.01</v>
          </cell>
          <cell r="C99" t="str">
            <v>Piutang PBBKB Bahan Bakar Bensin</v>
          </cell>
          <cell r="D99"/>
          <cell r="E99"/>
          <cell r="F99">
            <v>0</v>
          </cell>
          <cell r="G99">
            <v>0</v>
          </cell>
          <cell r="H99">
            <v>0</v>
          </cell>
          <cell r="I99">
            <v>0</v>
          </cell>
          <cell r="J99">
            <v>0</v>
          </cell>
        </row>
        <row r="100">
          <cell r="B100" t="str">
            <v>1.1.03.03.02</v>
          </cell>
          <cell r="C100" t="str">
            <v>Piutang PBBKB Bahan Bakar Solar</v>
          </cell>
          <cell r="D100"/>
          <cell r="E100"/>
          <cell r="F100">
            <v>0</v>
          </cell>
          <cell r="G100">
            <v>0</v>
          </cell>
          <cell r="H100">
            <v>0</v>
          </cell>
          <cell r="I100">
            <v>0</v>
          </cell>
          <cell r="J100">
            <v>0</v>
          </cell>
        </row>
        <row r="101">
          <cell r="B101" t="str">
            <v>1.1.03.03.03</v>
          </cell>
          <cell r="C101" t="str">
            <v>Piutang PBBKB Bahan Bakar Gas</v>
          </cell>
          <cell r="D101"/>
          <cell r="E101"/>
          <cell r="F101">
            <v>0</v>
          </cell>
          <cell r="G101">
            <v>0</v>
          </cell>
          <cell r="H101">
            <v>0</v>
          </cell>
          <cell r="I101">
            <v>0</v>
          </cell>
          <cell r="J101">
            <v>0</v>
          </cell>
        </row>
        <row r="102">
          <cell r="B102" t="str">
            <v>1.1.03.03.04</v>
          </cell>
          <cell r="C102" t="str">
            <v>Piutang PBBKB Bahan Bakar Lainnya</v>
          </cell>
          <cell r="D102"/>
          <cell r="E102"/>
          <cell r="F102">
            <v>0</v>
          </cell>
          <cell r="G102">
            <v>0</v>
          </cell>
          <cell r="H102">
            <v>0</v>
          </cell>
          <cell r="I102">
            <v>0</v>
          </cell>
          <cell r="J102">
            <v>0</v>
          </cell>
        </row>
        <row r="103">
          <cell r="B103" t="str">
            <v>1.1.03.04</v>
          </cell>
          <cell r="C103" t="str">
            <v>Piutang Pajak Air Permukaan</v>
          </cell>
          <cell r="D103">
            <v>0</v>
          </cell>
          <cell r="E103">
            <v>0</v>
          </cell>
          <cell r="F103"/>
          <cell r="G103"/>
          <cell r="H103"/>
          <cell r="I103"/>
          <cell r="J103">
            <v>0</v>
          </cell>
        </row>
        <row r="104">
          <cell r="B104" t="str">
            <v>1.1.03.04.01</v>
          </cell>
          <cell r="C104" t="str">
            <v>Piutang Pajak Air Permukaan</v>
          </cell>
          <cell r="D104"/>
          <cell r="E104"/>
          <cell r="F104">
            <v>0</v>
          </cell>
          <cell r="G104">
            <v>0</v>
          </cell>
          <cell r="H104">
            <v>0</v>
          </cell>
          <cell r="I104">
            <v>0</v>
          </cell>
          <cell r="J104">
            <v>0</v>
          </cell>
        </row>
        <row r="105">
          <cell r="B105" t="str">
            <v>1.1.03.05</v>
          </cell>
          <cell r="C105" t="str">
            <v>Piutang Pajak Rokok</v>
          </cell>
          <cell r="D105">
            <v>0</v>
          </cell>
          <cell r="E105">
            <v>0</v>
          </cell>
          <cell r="F105"/>
          <cell r="G105"/>
          <cell r="H105"/>
          <cell r="I105"/>
          <cell r="J105">
            <v>0</v>
          </cell>
        </row>
        <row r="106">
          <cell r="B106" t="str">
            <v>1.1.03.05.01</v>
          </cell>
          <cell r="C106" t="str">
            <v>Piutang Pajak Rokok</v>
          </cell>
          <cell r="D106"/>
          <cell r="E106"/>
          <cell r="F106">
            <v>0</v>
          </cell>
          <cell r="G106">
            <v>0</v>
          </cell>
          <cell r="H106">
            <v>0</v>
          </cell>
          <cell r="I106">
            <v>0</v>
          </cell>
          <cell r="J106">
            <v>0</v>
          </cell>
        </row>
        <row r="107">
          <cell r="B107" t="str">
            <v>1.1.03.06</v>
          </cell>
          <cell r="C107" t="str">
            <v>Piutang Pajak Hotel</v>
          </cell>
          <cell r="D107">
            <v>11004000</v>
          </cell>
          <cell r="E107">
            <v>11004000</v>
          </cell>
          <cell r="F107"/>
          <cell r="G107"/>
          <cell r="H107"/>
          <cell r="I107"/>
          <cell r="J107">
            <v>11004000</v>
          </cell>
        </row>
        <row r="108">
          <cell r="B108" t="str">
            <v>1.1.03.06.01</v>
          </cell>
          <cell r="C108" t="str">
            <v>Piutang Pajak Hotel</v>
          </cell>
          <cell r="D108">
            <v>11004000</v>
          </cell>
          <cell r="E108">
            <v>11004000</v>
          </cell>
          <cell r="F108">
            <v>0</v>
          </cell>
          <cell r="G108">
            <v>0</v>
          </cell>
          <cell r="H108">
            <v>0</v>
          </cell>
          <cell r="I108">
            <v>0</v>
          </cell>
          <cell r="J108">
            <v>11004000</v>
          </cell>
        </row>
        <row r="109">
          <cell r="B109" t="str">
            <v>1.1.03.06.02</v>
          </cell>
          <cell r="C109" t="str">
            <v>Piutang Pajak Motel</v>
          </cell>
          <cell r="D109">
            <v>0</v>
          </cell>
          <cell r="E109">
            <v>0</v>
          </cell>
          <cell r="F109">
            <v>0</v>
          </cell>
          <cell r="G109">
            <v>0</v>
          </cell>
          <cell r="H109">
            <v>0</v>
          </cell>
          <cell r="I109">
            <v>0</v>
          </cell>
          <cell r="J109">
            <v>0</v>
          </cell>
        </row>
        <row r="110">
          <cell r="B110" t="str">
            <v>1.1.03.06.03</v>
          </cell>
          <cell r="C110" t="str">
            <v>Piutang Pajak Losmen</v>
          </cell>
          <cell r="D110">
            <v>0</v>
          </cell>
          <cell r="E110">
            <v>0</v>
          </cell>
          <cell r="F110">
            <v>0</v>
          </cell>
          <cell r="G110">
            <v>0</v>
          </cell>
          <cell r="H110">
            <v>0</v>
          </cell>
          <cell r="I110">
            <v>0</v>
          </cell>
          <cell r="J110">
            <v>0</v>
          </cell>
        </row>
        <row r="111">
          <cell r="B111" t="str">
            <v>1.1.03.06.04</v>
          </cell>
          <cell r="C111" t="str">
            <v>Piutang Pajak Gubuk Pariwisata</v>
          </cell>
          <cell r="D111">
            <v>0</v>
          </cell>
          <cell r="E111">
            <v>0</v>
          </cell>
          <cell r="F111">
            <v>0</v>
          </cell>
          <cell r="G111">
            <v>0</v>
          </cell>
          <cell r="H111">
            <v>0</v>
          </cell>
          <cell r="I111">
            <v>0</v>
          </cell>
          <cell r="J111">
            <v>0</v>
          </cell>
        </row>
        <row r="112">
          <cell r="B112" t="str">
            <v>1.1.03.06.05</v>
          </cell>
          <cell r="C112" t="str">
            <v>Piutang Pajak Wisma Pariwisata</v>
          </cell>
          <cell r="D112">
            <v>0</v>
          </cell>
          <cell r="E112">
            <v>0</v>
          </cell>
          <cell r="F112">
            <v>0</v>
          </cell>
          <cell r="G112">
            <v>0</v>
          </cell>
          <cell r="H112">
            <v>0</v>
          </cell>
          <cell r="I112">
            <v>0</v>
          </cell>
          <cell r="J112">
            <v>0</v>
          </cell>
        </row>
        <row r="113">
          <cell r="B113" t="str">
            <v>1.1.03.06.06</v>
          </cell>
          <cell r="C113" t="str">
            <v>Piutang Pajak Pesanggrahan</v>
          </cell>
          <cell r="D113">
            <v>0</v>
          </cell>
          <cell r="E113">
            <v>0</v>
          </cell>
          <cell r="F113">
            <v>0</v>
          </cell>
          <cell r="G113">
            <v>0</v>
          </cell>
          <cell r="H113">
            <v>0</v>
          </cell>
          <cell r="I113">
            <v>0</v>
          </cell>
          <cell r="J113">
            <v>0</v>
          </cell>
        </row>
        <row r="114">
          <cell r="B114" t="str">
            <v>1.1.03.06.07</v>
          </cell>
          <cell r="C114" t="str">
            <v>Piutang Pajak Rumah Penginapan dan Sejenisnya</v>
          </cell>
          <cell r="D114">
            <v>0</v>
          </cell>
          <cell r="E114">
            <v>0</v>
          </cell>
          <cell r="F114">
            <v>0</v>
          </cell>
          <cell r="G114">
            <v>0</v>
          </cell>
          <cell r="H114">
            <v>0</v>
          </cell>
          <cell r="I114">
            <v>0</v>
          </cell>
          <cell r="J114">
            <v>0</v>
          </cell>
        </row>
        <row r="115">
          <cell r="B115" t="str">
            <v>1.1.03.06.08</v>
          </cell>
          <cell r="C115" t="str">
            <v>Piutang Pajak Rumah Kos dengan Jumlah Kamar Lebih dari 10 (Sepuluh)</v>
          </cell>
          <cell r="D115">
            <v>0</v>
          </cell>
          <cell r="E115">
            <v>0</v>
          </cell>
          <cell r="F115">
            <v>0</v>
          </cell>
          <cell r="G115">
            <v>0</v>
          </cell>
          <cell r="H115">
            <v>0</v>
          </cell>
          <cell r="I115">
            <v>0</v>
          </cell>
          <cell r="J115">
            <v>0</v>
          </cell>
        </row>
        <row r="116">
          <cell r="B116" t="str">
            <v>1.1.03.07</v>
          </cell>
          <cell r="C116" t="str">
            <v>Piutang Pajak Restoran</v>
          </cell>
          <cell r="D116">
            <v>19462705</v>
          </cell>
          <cell r="E116">
            <v>18205104</v>
          </cell>
          <cell r="F116"/>
          <cell r="G116"/>
          <cell r="H116"/>
          <cell r="I116"/>
          <cell r="J116">
            <v>18205104</v>
          </cell>
        </row>
        <row r="117">
          <cell r="B117" t="str">
            <v>1.1.03.07.01</v>
          </cell>
          <cell r="C117" t="str">
            <v>Piutang Pajak Restoran dan sejenisnya</v>
          </cell>
          <cell r="D117">
            <v>19462705</v>
          </cell>
          <cell r="E117">
            <v>18205104</v>
          </cell>
          <cell r="F117">
            <v>0</v>
          </cell>
          <cell r="G117">
            <v>0</v>
          </cell>
          <cell r="H117">
            <v>0</v>
          </cell>
          <cell r="I117">
            <v>0</v>
          </cell>
          <cell r="J117">
            <v>18205104</v>
          </cell>
        </row>
        <row r="118">
          <cell r="B118" t="str">
            <v>1.1.03.07.02</v>
          </cell>
          <cell r="C118" t="str">
            <v>Piutang Pajak Rumah Makan dan Sejenisnya</v>
          </cell>
          <cell r="D118">
            <v>0</v>
          </cell>
          <cell r="E118">
            <v>0</v>
          </cell>
          <cell r="F118">
            <v>0</v>
          </cell>
          <cell r="G118">
            <v>0</v>
          </cell>
          <cell r="H118">
            <v>0</v>
          </cell>
          <cell r="I118">
            <v>0</v>
          </cell>
          <cell r="J118">
            <v>0</v>
          </cell>
        </row>
        <row r="119">
          <cell r="B119" t="str">
            <v>1.1.03.07.03</v>
          </cell>
          <cell r="C119" t="str">
            <v>Piutang Pajak Kafetaria dan Sejenisnya</v>
          </cell>
          <cell r="D119">
            <v>0</v>
          </cell>
          <cell r="E119">
            <v>0</v>
          </cell>
          <cell r="F119">
            <v>0</v>
          </cell>
          <cell r="G119">
            <v>0</v>
          </cell>
          <cell r="H119">
            <v>0</v>
          </cell>
          <cell r="I119">
            <v>0</v>
          </cell>
          <cell r="J119">
            <v>0</v>
          </cell>
        </row>
        <row r="120">
          <cell r="B120" t="str">
            <v>1.1.03.07.04</v>
          </cell>
          <cell r="C120" t="str">
            <v>Piutang Pajak Kantin dan Sejenisnya</v>
          </cell>
          <cell r="D120">
            <v>0</v>
          </cell>
          <cell r="E120">
            <v>0</v>
          </cell>
          <cell r="F120">
            <v>0</v>
          </cell>
          <cell r="G120">
            <v>0</v>
          </cell>
          <cell r="H120">
            <v>0</v>
          </cell>
          <cell r="I120">
            <v>0</v>
          </cell>
          <cell r="J120">
            <v>0</v>
          </cell>
        </row>
        <row r="121">
          <cell r="B121" t="str">
            <v>1.1.03.07.05</v>
          </cell>
          <cell r="C121" t="str">
            <v>Piutang Pajak Warung dan Sejenisnya</v>
          </cell>
          <cell r="D121">
            <v>0</v>
          </cell>
          <cell r="E121">
            <v>0</v>
          </cell>
          <cell r="F121">
            <v>0</v>
          </cell>
          <cell r="G121">
            <v>0</v>
          </cell>
          <cell r="H121">
            <v>0</v>
          </cell>
          <cell r="I121">
            <v>0</v>
          </cell>
          <cell r="J121">
            <v>0</v>
          </cell>
        </row>
        <row r="122">
          <cell r="B122" t="str">
            <v>1.1.03.07.06</v>
          </cell>
          <cell r="C122" t="str">
            <v>Piutang Pajak Bar dan Sejenisnya</v>
          </cell>
          <cell r="D122">
            <v>0</v>
          </cell>
          <cell r="E122">
            <v>0</v>
          </cell>
          <cell r="F122">
            <v>0</v>
          </cell>
          <cell r="G122">
            <v>0</v>
          </cell>
          <cell r="H122">
            <v>0</v>
          </cell>
          <cell r="I122">
            <v>0</v>
          </cell>
          <cell r="J122">
            <v>0</v>
          </cell>
        </row>
        <row r="123">
          <cell r="B123" t="str">
            <v>1.1.03.07.07</v>
          </cell>
          <cell r="C123" t="str">
            <v>Piutang Pajak Jasa Boga/Katering dan Sejenisnya</v>
          </cell>
          <cell r="D123">
            <v>0</v>
          </cell>
          <cell r="E123">
            <v>0</v>
          </cell>
          <cell r="F123">
            <v>0</v>
          </cell>
          <cell r="G123">
            <v>0</v>
          </cell>
          <cell r="H123">
            <v>0</v>
          </cell>
          <cell r="I123">
            <v>0</v>
          </cell>
          <cell r="J123">
            <v>0</v>
          </cell>
        </row>
        <row r="124">
          <cell r="B124" t="str">
            <v>1.1.03.08</v>
          </cell>
          <cell r="C124" t="str">
            <v>Piutang Pajak Hiburan</v>
          </cell>
          <cell r="D124">
            <v>0</v>
          </cell>
          <cell r="E124">
            <v>0</v>
          </cell>
          <cell r="F124"/>
          <cell r="G124"/>
          <cell r="H124"/>
          <cell r="I124"/>
          <cell r="J124">
            <v>0</v>
          </cell>
        </row>
        <row r="125">
          <cell r="B125" t="str">
            <v>1.1.03.08.01</v>
          </cell>
          <cell r="C125" t="str">
            <v>Piutang Pajak Tontonan Film</v>
          </cell>
          <cell r="D125">
            <v>0</v>
          </cell>
          <cell r="E125">
            <v>0</v>
          </cell>
          <cell r="F125">
            <v>0</v>
          </cell>
          <cell r="G125">
            <v>0</v>
          </cell>
          <cell r="H125">
            <v>0</v>
          </cell>
          <cell r="I125">
            <v>0</v>
          </cell>
          <cell r="J125">
            <v>0</v>
          </cell>
        </row>
        <row r="126">
          <cell r="B126" t="str">
            <v>1.1.03.08.02</v>
          </cell>
          <cell r="C126" t="str">
            <v>Piutang Pajak Pagelaran Kesenian/Musik/Tari/Busana</v>
          </cell>
          <cell r="D126">
            <v>0</v>
          </cell>
          <cell r="E126">
            <v>0</v>
          </cell>
          <cell r="F126">
            <v>0</v>
          </cell>
          <cell r="G126">
            <v>0</v>
          </cell>
          <cell r="H126">
            <v>0</v>
          </cell>
          <cell r="I126">
            <v>0</v>
          </cell>
          <cell r="J126">
            <v>0</v>
          </cell>
        </row>
        <row r="127">
          <cell r="B127" t="str">
            <v>1.1.03.08.03</v>
          </cell>
          <cell r="C127" t="str">
            <v>Piutang Pajak Kontes Kecantikan, Binaraga, dan Sejenisnya</v>
          </cell>
          <cell r="D127">
            <v>0</v>
          </cell>
          <cell r="E127">
            <v>0</v>
          </cell>
          <cell r="F127">
            <v>0</v>
          </cell>
          <cell r="G127">
            <v>0</v>
          </cell>
          <cell r="H127">
            <v>0</v>
          </cell>
          <cell r="I127">
            <v>0</v>
          </cell>
          <cell r="J127">
            <v>0</v>
          </cell>
        </row>
        <row r="128">
          <cell r="B128" t="str">
            <v>1.1.03.08.04</v>
          </cell>
          <cell r="C128" t="str">
            <v>Piutang Pajak Pameran</v>
          </cell>
          <cell r="D128">
            <v>0</v>
          </cell>
          <cell r="E128">
            <v>0</v>
          </cell>
          <cell r="F128">
            <v>0</v>
          </cell>
          <cell r="G128">
            <v>0</v>
          </cell>
          <cell r="H128">
            <v>0</v>
          </cell>
          <cell r="I128">
            <v>0</v>
          </cell>
          <cell r="J128">
            <v>0</v>
          </cell>
        </row>
        <row r="129">
          <cell r="B129" t="str">
            <v>1.1.03.08.05</v>
          </cell>
          <cell r="C129" t="str">
            <v>Piutang Pajak Diskotik, Karaoke, Klub Malam, dan Sejenisnya</v>
          </cell>
          <cell r="D129">
            <v>0</v>
          </cell>
          <cell r="E129">
            <v>0</v>
          </cell>
          <cell r="F129">
            <v>0</v>
          </cell>
          <cell r="G129">
            <v>0</v>
          </cell>
          <cell r="H129">
            <v>0</v>
          </cell>
          <cell r="I129">
            <v>0</v>
          </cell>
          <cell r="J129">
            <v>0</v>
          </cell>
        </row>
        <row r="130">
          <cell r="B130" t="str">
            <v>1.1.03.08.06</v>
          </cell>
          <cell r="C130" t="str">
            <v>Piutang Pajak Sirkus/Akrobat/Sulap</v>
          </cell>
          <cell r="D130">
            <v>0</v>
          </cell>
          <cell r="E130">
            <v>0</v>
          </cell>
          <cell r="F130">
            <v>0</v>
          </cell>
          <cell r="G130">
            <v>0</v>
          </cell>
          <cell r="H130">
            <v>0</v>
          </cell>
          <cell r="I130">
            <v>0</v>
          </cell>
          <cell r="J130">
            <v>0</v>
          </cell>
        </row>
        <row r="131">
          <cell r="B131" t="str">
            <v>1.1.03.08.07</v>
          </cell>
          <cell r="C131" t="str">
            <v>Piutang Pajak Permainan Biliar dan Bowling</v>
          </cell>
          <cell r="D131">
            <v>0</v>
          </cell>
          <cell r="E131">
            <v>0</v>
          </cell>
          <cell r="F131">
            <v>0</v>
          </cell>
          <cell r="G131">
            <v>0</v>
          </cell>
          <cell r="H131">
            <v>0</v>
          </cell>
          <cell r="I131">
            <v>0</v>
          </cell>
          <cell r="J131">
            <v>0</v>
          </cell>
        </row>
        <row r="132">
          <cell r="B132" t="str">
            <v>1.1.03.08.08</v>
          </cell>
          <cell r="C132" t="str">
            <v>Piutang Pajak Pacuan Kuda, Kendaraan Bermotor, dan Permainan Ketangkasan</v>
          </cell>
          <cell r="D132">
            <v>0</v>
          </cell>
          <cell r="E132">
            <v>0</v>
          </cell>
          <cell r="F132">
            <v>0</v>
          </cell>
          <cell r="G132">
            <v>0</v>
          </cell>
          <cell r="H132">
            <v>0</v>
          </cell>
          <cell r="I132">
            <v>0</v>
          </cell>
          <cell r="J132">
            <v>0</v>
          </cell>
        </row>
        <row r="133">
          <cell r="B133" t="str">
            <v>1.1.03.08.09</v>
          </cell>
          <cell r="C133" t="str">
            <v>Piutang Pajak Panti Pijat, Refleksi, Mandi Uap/Spa, dan Pusat Kebugaran (Fitness Center)</v>
          </cell>
          <cell r="D133">
            <v>0</v>
          </cell>
          <cell r="E133">
            <v>0</v>
          </cell>
          <cell r="F133">
            <v>0</v>
          </cell>
          <cell r="G133">
            <v>0</v>
          </cell>
          <cell r="H133">
            <v>0</v>
          </cell>
          <cell r="I133">
            <v>0</v>
          </cell>
          <cell r="J133">
            <v>0</v>
          </cell>
        </row>
        <row r="134">
          <cell r="B134" t="str">
            <v>1.1.03.08.10</v>
          </cell>
          <cell r="C134" t="str">
            <v>Piutang Pajak Pertandingan Olahraga</v>
          </cell>
          <cell r="D134">
            <v>0</v>
          </cell>
          <cell r="E134">
            <v>0</v>
          </cell>
          <cell r="F134">
            <v>0</v>
          </cell>
          <cell r="G134">
            <v>0</v>
          </cell>
          <cell r="H134">
            <v>0</v>
          </cell>
          <cell r="I134">
            <v>0</v>
          </cell>
          <cell r="J134">
            <v>0</v>
          </cell>
        </row>
        <row r="135">
          <cell r="B135" t="str">
            <v>1.1.03.09</v>
          </cell>
          <cell r="C135" t="str">
            <v>Piutang Pajak Reklame</v>
          </cell>
          <cell r="D135">
            <v>2925000</v>
          </cell>
          <cell r="E135">
            <v>1950000</v>
          </cell>
          <cell r="F135"/>
          <cell r="G135"/>
          <cell r="H135"/>
          <cell r="I135"/>
          <cell r="J135">
            <v>1950000</v>
          </cell>
        </row>
        <row r="136">
          <cell r="B136" t="str">
            <v>1.1.03.09.01</v>
          </cell>
          <cell r="C136" t="str">
            <v>Piutang Pajak Reklame Papan/Billboard/Videotron/Megatron</v>
          </cell>
          <cell r="D136">
            <v>2925000</v>
          </cell>
          <cell r="E136">
            <v>1950000</v>
          </cell>
          <cell r="F136">
            <v>0</v>
          </cell>
          <cell r="G136">
            <v>0</v>
          </cell>
          <cell r="H136">
            <v>0</v>
          </cell>
          <cell r="I136">
            <v>0</v>
          </cell>
          <cell r="J136">
            <v>1950000</v>
          </cell>
        </row>
        <row r="137">
          <cell r="B137" t="str">
            <v>1.1.03.09.02</v>
          </cell>
          <cell r="C137" t="str">
            <v>Piutang Pajak Reklame Kain</v>
          </cell>
          <cell r="D137">
            <v>0</v>
          </cell>
          <cell r="E137">
            <v>0</v>
          </cell>
          <cell r="F137">
            <v>0</v>
          </cell>
          <cell r="G137">
            <v>0</v>
          </cell>
          <cell r="H137">
            <v>0</v>
          </cell>
          <cell r="I137">
            <v>0</v>
          </cell>
          <cell r="J137">
            <v>0</v>
          </cell>
        </row>
        <row r="138">
          <cell r="B138" t="str">
            <v>1.1.03.09.03</v>
          </cell>
          <cell r="C138" t="str">
            <v>Piutang Pajak Reklame Melekat/Stiker</v>
          </cell>
          <cell r="D138">
            <v>0</v>
          </cell>
          <cell r="E138">
            <v>0</v>
          </cell>
          <cell r="F138">
            <v>0</v>
          </cell>
          <cell r="G138">
            <v>0</v>
          </cell>
          <cell r="H138">
            <v>0</v>
          </cell>
          <cell r="I138">
            <v>0</v>
          </cell>
          <cell r="J138">
            <v>0</v>
          </cell>
        </row>
        <row r="139">
          <cell r="B139" t="str">
            <v>1.1.03.09.04</v>
          </cell>
          <cell r="C139" t="str">
            <v>Piutang Pajak Reklame Selebaran</v>
          </cell>
          <cell r="D139">
            <v>0</v>
          </cell>
          <cell r="E139">
            <v>0</v>
          </cell>
          <cell r="F139">
            <v>0</v>
          </cell>
          <cell r="G139">
            <v>0</v>
          </cell>
          <cell r="H139">
            <v>0</v>
          </cell>
          <cell r="I139">
            <v>0</v>
          </cell>
          <cell r="J139">
            <v>0</v>
          </cell>
        </row>
        <row r="140">
          <cell r="B140" t="str">
            <v>1.1.03.09.05</v>
          </cell>
          <cell r="C140" t="str">
            <v>Piutang Pajak Reklame Berjalan</v>
          </cell>
          <cell r="D140">
            <v>0</v>
          </cell>
          <cell r="E140">
            <v>0</v>
          </cell>
          <cell r="F140">
            <v>0</v>
          </cell>
          <cell r="G140">
            <v>0</v>
          </cell>
          <cell r="H140">
            <v>0</v>
          </cell>
          <cell r="I140">
            <v>0</v>
          </cell>
          <cell r="J140">
            <v>0</v>
          </cell>
        </row>
        <row r="141">
          <cell r="B141" t="str">
            <v>1.1.03.09.06</v>
          </cell>
          <cell r="C141" t="str">
            <v>Piutang Pajak Reklame Udara</v>
          </cell>
          <cell r="D141">
            <v>0</v>
          </cell>
          <cell r="E141">
            <v>0</v>
          </cell>
          <cell r="F141">
            <v>0</v>
          </cell>
          <cell r="G141">
            <v>0</v>
          </cell>
          <cell r="H141">
            <v>0</v>
          </cell>
          <cell r="I141">
            <v>0</v>
          </cell>
          <cell r="J141">
            <v>0</v>
          </cell>
        </row>
        <row r="142">
          <cell r="B142" t="str">
            <v>1.1.03.09.07</v>
          </cell>
          <cell r="C142" t="str">
            <v>Piutang Pajak Reklame Apung</v>
          </cell>
          <cell r="D142">
            <v>0</v>
          </cell>
          <cell r="E142">
            <v>0</v>
          </cell>
          <cell r="F142">
            <v>0</v>
          </cell>
          <cell r="G142">
            <v>0</v>
          </cell>
          <cell r="H142">
            <v>0</v>
          </cell>
          <cell r="I142">
            <v>0</v>
          </cell>
          <cell r="J142">
            <v>0</v>
          </cell>
        </row>
        <row r="143">
          <cell r="B143" t="str">
            <v>1.1.03.09.08</v>
          </cell>
          <cell r="C143" t="str">
            <v>Piutang Pajak Reklame Suara</v>
          </cell>
          <cell r="D143">
            <v>0</v>
          </cell>
          <cell r="E143">
            <v>0</v>
          </cell>
          <cell r="F143">
            <v>0</v>
          </cell>
          <cell r="G143">
            <v>0</v>
          </cell>
          <cell r="H143">
            <v>0</v>
          </cell>
          <cell r="I143">
            <v>0</v>
          </cell>
          <cell r="J143">
            <v>0</v>
          </cell>
        </row>
        <row r="144">
          <cell r="B144" t="str">
            <v>1.1.03.09.09</v>
          </cell>
          <cell r="C144" t="str">
            <v>Piutang Pajak Reklame Film/Slide</v>
          </cell>
          <cell r="D144">
            <v>0</v>
          </cell>
          <cell r="E144">
            <v>0</v>
          </cell>
          <cell r="F144">
            <v>0</v>
          </cell>
          <cell r="G144">
            <v>0</v>
          </cell>
          <cell r="H144">
            <v>0</v>
          </cell>
          <cell r="I144">
            <v>0</v>
          </cell>
          <cell r="J144">
            <v>0</v>
          </cell>
        </row>
        <row r="145">
          <cell r="B145" t="str">
            <v>1.1.03.09.10</v>
          </cell>
          <cell r="C145" t="str">
            <v>Piutang Pajak Reklame Peragaan</v>
          </cell>
          <cell r="D145">
            <v>0</v>
          </cell>
          <cell r="E145">
            <v>0</v>
          </cell>
          <cell r="F145">
            <v>0</v>
          </cell>
          <cell r="G145">
            <v>0</v>
          </cell>
          <cell r="H145">
            <v>0</v>
          </cell>
          <cell r="I145">
            <v>0</v>
          </cell>
          <cell r="J145">
            <v>0</v>
          </cell>
        </row>
        <row r="146">
          <cell r="B146" t="str">
            <v>1.1.03.10</v>
          </cell>
          <cell r="C146" t="str">
            <v>Piutang Pajak Penerangan Jalan</v>
          </cell>
          <cell r="D146">
            <v>0</v>
          </cell>
          <cell r="E146">
            <v>0</v>
          </cell>
          <cell r="F146"/>
          <cell r="G146"/>
          <cell r="H146"/>
          <cell r="I146"/>
          <cell r="J146">
            <v>0</v>
          </cell>
        </row>
        <row r="147">
          <cell r="B147" t="str">
            <v>1.1.03.10.01</v>
          </cell>
          <cell r="C147" t="str">
            <v>Piutang Pajak Penerangan Dihasilkan Sendiri</v>
          </cell>
          <cell r="D147">
            <v>0</v>
          </cell>
          <cell r="E147">
            <v>0</v>
          </cell>
          <cell r="F147">
            <v>0</v>
          </cell>
          <cell r="G147">
            <v>0</v>
          </cell>
          <cell r="H147">
            <v>0</v>
          </cell>
          <cell r="I147">
            <v>0</v>
          </cell>
          <cell r="J147">
            <v>0</v>
          </cell>
        </row>
        <row r="148">
          <cell r="B148" t="str">
            <v>1.1.03.10.02</v>
          </cell>
          <cell r="C148" t="str">
            <v>Piutang Pajak Penerangan Jalan Sumber Lain</v>
          </cell>
          <cell r="D148">
            <v>0</v>
          </cell>
          <cell r="E148">
            <v>0</v>
          </cell>
          <cell r="F148">
            <v>0</v>
          </cell>
          <cell r="G148">
            <v>0</v>
          </cell>
          <cell r="H148">
            <v>0</v>
          </cell>
          <cell r="I148">
            <v>0</v>
          </cell>
          <cell r="J148">
            <v>0</v>
          </cell>
        </row>
        <row r="149">
          <cell r="B149" t="str">
            <v>1.1.03.11</v>
          </cell>
          <cell r="C149" t="str">
            <v>Piutang Pajak Parkir</v>
          </cell>
          <cell r="D149">
            <v>0</v>
          </cell>
          <cell r="E149">
            <v>0</v>
          </cell>
          <cell r="F149"/>
          <cell r="G149"/>
          <cell r="H149"/>
          <cell r="I149"/>
          <cell r="J149">
            <v>0</v>
          </cell>
        </row>
        <row r="150">
          <cell r="B150" t="str">
            <v>1.1.03.11.01</v>
          </cell>
          <cell r="C150" t="str">
            <v>Piutang Pajak Parkir</v>
          </cell>
          <cell r="D150">
            <v>0</v>
          </cell>
          <cell r="E150">
            <v>0</v>
          </cell>
          <cell r="F150">
            <v>0</v>
          </cell>
          <cell r="G150">
            <v>0</v>
          </cell>
          <cell r="H150">
            <v>0</v>
          </cell>
          <cell r="I150">
            <v>0</v>
          </cell>
          <cell r="J150">
            <v>0</v>
          </cell>
        </row>
        <row r="151">
          <cell r="B151" t="str">
            <v>1.1.03.12</v>
          </cell>
          <cell r="C151" t="str">
            <v>Piutang Pajak Air Tanah</v>
          </cell>
          <cell r="D151">
            <v>0</v>
          </cell>
          <cell r="E151">
            <v>0</v>
          </cell>
          <cell r="F151"/>
          <cell r="G151"/>
          <cell r="H151"/>
          <cell r="I151"/>
          <cell r="J151">
            <v>0</v>
          </cell>
        </row>
        <row r="152">
          <cell r="B152" t="str">
            <v>1.1.03.12.01</v>
          </cell>
          <cell r="C152" t="str">
            <v>Piutang Pajak Air Tanah</v>
          </cell>
          <cell r="D152">
            <v>0</v>
          </cell>
          <cell r="E152">
            <v>0</v>
          </cell>
          <cell r="F152">
            <v>0</v>
          </cell>
          <cell r="G152">
            <v>0</v>
          </cell>
          <cell r="H152">
            <v>0</v>
          </cell>
          <cell r="I152">
            <v>0</v>
          </cell>
          <cell r="J152">
            <v>0</v>
          </cell>
        </row>
        <row r="153">
          <cell r="B153" t="str">
            <v>1.1.03.13</v>
          </cell>
          <cell r="C153" t="str">
            <v>Piutang Pajak sarang Burung Walet</v>
          </cell>
          <cell r="D153">
            <v>0</v>
          </cell>
          <cell r="E153">
            <v>0</v>
          </cell>
          <cell r="F153"/>
          <cell r="G153"/>
          <cell r="H153"/>
          <cell r="I153"/>
          <cell r="J153">
            <v>0</v>
          </cell>
        </row>
        <row r="154">
          <cell r="B154" t="str">
            <v>1.1.03.13.01</v>
          </cell>
          <cell r="C154" t="str">
            <v>Piutang Pajak sarang Burung Walet</v>
          </cell>
          <cell r="D154">
            <v>0</v>
          </cell>
          <cell r="E154">
            <v>0</v>
          </cell>
          <cell r="F154">
            <v>0</v>
          </cell>
          <cell r="G154">
            <v>0</v>
          </cell>
          <cell r="H154">
            <v>0</v>
          </cell>
          <cell r="I154">
            <v>0</v>
          </cell>
          <cell r="J154">
            <v>0</v>
          </cell>
        </row>
        <row r="155">
          <cell r="B155" t="str">
            <v>1.1.03.14</v>
          </cell>
          <cell r="C155" t="str">
            <v>Piutang Pajak Mineral Bukan Logam dan Batuan</v>
          </cell>
          <cell r="D155">
            <v>0</v>
          </cell>
          <cell r="E155">
            <v>0</v>
          </cell>
          <cell r="F155"/>
          <cell r="G155"/>
          <cell r="H155"/>
          <cell r="I155"/>
          <cell r="J155">
            <v>0</v>
          </cell>
        </row>
        <row r="156">
          <cell r="B156" t="str">
            <v>1.1.03.14.01</v>
          </cell>
          <cell r="C156" t="str">
            <v>Piutang Pajak Asbes</v>
          </cell>
          <cell r="D156">
            <v>0</v>
          </cell>
          <cell r="E156">
            <v>0</v>
          </cell>
          <cell r="F156">
            <v>0</v>
          </cell>
          <cell r="G156">
            <v>0</v>
          </cell>
          <cell r="H156">
            <v>0</v>
          </cell>
          <cell r="I156">
            <v>0</v>
          </cell>
          <cell r="J156">
            <v>0</v>
          </cell>
        </row>
        <row r="157">
          <cell r="B157" t="str">
            <v>1.1.03.14.02</v>
          </cell>
          <cell r="C157" t="str">
            <v>Piutang Pajak Batu Tulis</v>
          </cell>
          <cell r="D157">
            <v>0</v>
          </cell>
          <cell r="E157">
            <v>0</v>
          </cell>
          <cell r="F157">
            <v>0</v>
          </cell>
          <cell r="G157">
            <v>0</v>
          </cell>
          <cell r="H157">
            <v>0</v>
          </cell>
          <cell r="I157">
            <v>0</v>
          </cell>
          <cell r="J157">
            <v>0</v>
          </cell>
        </row>
        <row r="158">
          <cell r="B158" t="str">
            <v>1.1.03.14.03</v>
          </cell>
          <cell r="C158" t="str">
            <v>Piutang Pajak Batu Setengah Permata</v>
          </cell>
          <cell r="D158">
            <v>0</v>
          </cell>
          <cell r="E158">
            <v>0</v>
          </cell>
          <cell r="F158">
            <v>0</v>
          </cell>
          <cell r="G158">
            <v>0</v>
          </cell>
          <cell r="H158">
            <v>0</v>
          </cell>
          <cell r="I158">
            <v>0</v>
          </cell>
          <cell r="J158">
            <v>0</v>
          </cell>
        </row>
        <row r="159">
          <cell r="B159" t="str">
            <v>1.1.03.14.04</v>
          </cell>
          <cell r="C159" t="str">
            <v>Piutang Pajak Batu Kapur</v>
          </cell>
          <cell r="D159">
            <v>0</v>
          </cell>
          <cell r="E159">
            <v>0</v>
          </cell>
          <cell r="F159">
            <v>0</v>
          </cell>
          <cell r="G159">
            <v>0</v>
          </cell>
          <cell r="H159">
            <v>0</v>
          </cell>
          <cell r="I159">
            <v>0</v>
          </cell>
          <cell r="J159">
            <v>0</v>
          </cell>
        </row>
        <row r="160">
          <cell r="B160" t="str">
            <v>1.1.03.14.05</v>
          </cell>
          <cell r="C160" t="str">
            <v>Piutang Pajak Batu Apung</v>
          </cell>
          <cell r="D160">
            <v>0</v>
          </cell>
          <cell r="E160">
            <v>0</v>
          </cell>
          <cell r="F160">
            <v>0</v>
          </cell>
          <cell r="G160">
            <v>0</v>
          </cell>
          <cell r="H160">
            <v>0</v>
          </cell>
          <cell r="I160">
            <v>0</v>
          </cell>
          <cell r="J160">
            <v>0</v>
          </cell>
        </row>
        <row r="161">
          <cell r="B161" t="str">
            <v>1.1.03.14.06</v>
          </cell>
          <cell r="C161" t="str">
            <v>Piutang Pajak Batu Permata</v>
          </cell>
          <cell r="D161">
            <v>0</v>
          </cell>
          <cell r="E161">
            <v>0</v>
          </cell>
          <cell r="F161">
            <v>0</v>
          </cell>
          <cell r="G161">
            <v>0</v>
          </cell>
          <cell r="H161">
            <v>0</v>
          </cell>
          <cell r="I161">
            <v>0</v>
          </cell>
          <cell r="J161">
            <v>0</v>
          </cell>
        </row>
        <row r="162">
          <cell r="B162" t="str">
            <v>1.1.03.14.07</v>
          </cell>
          <cell r="C162" t="str">
            <v>Piutang Pajak Bentonit</v>
          </cell>
          <cell r="D162">
            <v>0</v>
          </cell>
          <cell r="E162">
            <v>0</v>
          </cell>
          <cell r="F162">
            <v>0</v>
          </cell>
          <cell r="G162">
            <v>0</v>
          </cell>
          <cell r="H162">
            <v>0</v>
          </cell>
          <cell r="I162">
            <v>0</v>
          </cell>
          <cell r="J162">
            <v>0</v>
          </cell>
        </row>
        <row r="163">
          <cell r="B163" t="str">
            <v>1.1.03.14.08</v>
          </cell>
          <cell r="C163" t="str">
            <v>Piutang Pajak Dolomit</v>
          </cell>
          <cell r="D163">
            <v>0</v>
          </cell>
          <cell r="E163">
            <v>0</v>
          </cell>
          <cell r="F163">
            <v>0</v>
          </cell>
          <cell r="G163">
            <v>0</v>
          </cell>
          <cell r="H163">
            <v>0</v>
          </cell>
          <cell r="I163">
            <v>0</v>
          </cell>
          <cell r="J163">
            <v>0</v>
          </cell>
        </row>
        <row r="164">
          <cell r="B164" t="str">
            <v>1.1.03.14.09</v>
          </cell>
          <cell r="C164" t="str">
            <v>Piutang Pajak Felspar</v>
          </cell>
          <cell r="D164">
            <v>0</v>
          </cell>
          <cell r="E164">
            <v>0</v>
          </cell>
          <cell r="F164">
            <v>0</v>
          </cell>
          <cell r="G164">
            <v>0</v>
          </cell>
          <cell r="H164">
            <v>0</v>
          </cell>
          <cell r="I164">
            <v>0</v>
          </cell>
          <cell r="J164">
            <v>0</v>
          </cell>
        </row>
        <row r="165">
          <cell r="B165" t="str">
            <v>1.1.03.14.10</v>
          </cell>
          <cell r="C165" t="str">
            <v>Piutang Pajak Garam Batu (Halite)</v>
          </cell>
          <cell r="D165">
            <v>0</v>
          </cell>
          <cell r="E165">
            <v>0</v>
          </cell>
          <cell r="F165">
            <v>0</v>
          </cell>
          <cell r="G165">
            <v>0</v>
          </cell>
          <cell r="H165">
            <v>0</v>
          </cell>
          <cell r="I165">
            <v>0</v>
          </cell>
          <cell r="J165">
            <v>0</v>
          </cell>
        </row>
        <row r="166">
          <cell r="B166" t="str">
            <v>1.1.03.14.11</v>
          </cell>
          <cell r="C166" t="str">
            <v>Piutang Pajak Grafit</v>
          </cell>
          <cell r="D166">
            <v>0</v>
          </cell>
          <cell r="E166">
            <v>0</v>
          </cell>
          <cell r="F166">
            <v>0</v>
          </cell>
          <cell r="G166">
            <v>0</v>
          </cell>
          <cell r="H166">
            <v>0</v>
          </cell>
          <cell r="I166">
            <v>0</v>
          </cell>
          <cell r="J166">
            <v>0</v>
          </cell>
        </row>
        <row r="167">
          <cell r="B167" t="str">
            <v>1.1.03.14.12</v>
          </cell>
          <cell r="C167" t="str">
            <v>Piutang Pajak Granit/Andesit</v>
          </cell>
          <cell r="D167">
            <v>0</v>
          </cell>
          <cell r="E167">
            <v>0</v>
          </cell>
          <cell r="F167">
            <v>0</v>
          </cell>
          <cell r="G167">
            <v>0</v>
          </cell>
          <cell r="H167">
            <v>0</v>
          </cell>
          <cell r="I167">
            <v>0</v>
          </cell>
          <cell r="J167">
            <v>0</v>
          </cell>
        </row>
        <row r="168">
          <cell r="B168" t="str">
            <v>1.1.03.14.13</v>
          </cell>
          <cell r="C168" t="str">
            <v>Piutang Pajak Gips</v>
          </cell>
          <cell r="D168">
            <v>0</v>
          </cell>
          <cell r="E168">
            <v>0</v>
          </cell>
          <cell r="F168">
            <v>0</v>
          </cell>
          <cell r="G168">
            <v>0</v>
          </cell>
          <cell r="H168">
            <v>0</v>
          </cell>
          <cell r="I168">
            <v>0</v>
          </cell>
          <cell r="J168">
            <v>0</v>
          </cell>
        </row>
        <row r="169">
          <cell r="B169" t="str">
            <v>1.1.03.14.14</v>
          </cell>
          <cell r="C169" t="str">
            <v>Piutang Pajak Kalsit</v>
          </cell>
          <cell r="D169">
            <v>0</v>
          </cell>
          <cell r="E169">
            <v>0</v>
          </cell>
          <cell r="F169">
            <v>0</v>
          </cell>
          <cell r="G169">
            <v>0</v>
          </cell>
          <cell r="H169">
            <v>0</v>
          </cell>
          <cell r="I169">
            <v>0</v>
          </cell>
          <cell r="J169">
            <v>0</v>
          </cell>
        </row>
        <row r="170">
          <cell r="B170" t="str">
            <v>1.1.03.14.15</v>
          </cell>
          <cell r="C170" t="str">
            <v>Piutang Pajak Kaolin</v>
          </cell>
          <cell r="D170">
            <v>0</v>
          </cell>
          <cell r="E170">
            <v>0</v>
          </cell>
          <cell r="F170">
            <v>0</v>
          </cell>
          <cell r="G170">
            <v>0</v>
          </cell>
          <cell r="H170">
            <v>0</v>
          </cell>
          <cell r="I170">
            <v>0</v>
          </cell>
          <cell r="J170">
            <v>0</v>
          </cell>
        </row>
        <row r="171">
          <cell r="B171" t="str">
            <v>1.1.03.14.16</v>
          </cell>
          <cell r="C171" t="str">
            <v>Piutang Pajak Leusit</v>
          </cell>
          <cell r="D171">
            <v>0</v>
          </cell>
          <cell r="E171">
            <v>0</v>
          </cell>
          <cell r="F171">
            <v>0</v>
          </cell>
          <cell r="G171">
            <v>0</v>
          </cell>
          <cell r="H171">
            <v>0</v>
          </cell>
          <cell r="I171">
            <v>0</v>
          </cell>
          <cell r="J171">
            <v>0</v>
          </cell>
        </row>
        <row r="172">
          <cell r="B172" t="str">
            <v>1.1.03.14.17</v>
          </cell>
          <cell r="C172" t="str">
            <v>Piutang Pajak Magnesit</v>
          </cell>
          <cell r="D172">
            <v>0</v>
          </cell>
          <cell r="E172">
            <v>0</v>
          </cell>
          <cell r="F172">
            <v>0</v>
          </cell>
          <cell r="G172">
            <v>0</v>
          </cell>
          <cell r="H172">
            <v>0</v>
          </cell>
          <cell r="I172">
            <v>0</v>
          </cell>
          <cell r="J172">
            <v>0</v>
          </cell>
        </row>
        <row r="173">
          <cell r="B173" t="str">
            <v>1.1.03.14.18</v>
          </cell>
          <cell r="C173" t="str">
            <v>Piutang Pajak Mika</v>
          </cell>
          <cell r="D173">
            <v>0</v>
          </cell>
          <cell r="E173">
            <v>0</v>
          </cell>
          <cell r="F173">
            <v>0</v>
          </cell>
          <cell r="G173">
            <v>0</v>
          </cell>
          <cell r="H173">
            <v>0</v>
          </cell>
          <cell r="I173">
            <v>0</v>
          </cell>
          <cell r="J173">
            <v>0</v>
          </cell>
        </row>
        <row r="174">
          <cell r="B174" t="str">
            <v>1.1.03.14.19</v>
          </cell>
          <cell r="C174" t="str">
            <v>Piutang Pajak Marmer</v>
          </cell>
          <cell r="D174">
            <v>0</v>
          </cell>
          <cell r="E174">
            <v>0</v>
          </cell>
          <cell r="F174">
            <v>0</v>
          </cell>
          <cell r="G174">
            <v>0</v>
          </cell>
          <cell r="H174">
            <v>0</v>
          </cell>
          <cell r="I174">
            <v>0</v>
          </cell>
          <cell r="J174">
            <v>0</v>
          </cell>
        </row>
        <row r="175">
          <cell r="B175" t="str">
            <v>1.1.03.14.20</v>
          </cell>
          <cell r="C175" t="str">
            <v>Piutang Pajak Nitrat</v>
          </cell>
          <cell r="D175">
            <v>0</v>
          </cell>
          <cell r="E175">
            <v>0</v>
          </cell>
          <cell r="F175">
            <v>0</v>
          </cell>
          <cell r="G175">
            <v>0</v>
          </cell>
          <cell r="H175">
            <v>0</v>
          </cell>
          <cell r="I175">
            <v>0</v>
          </cell>
          <cell r="J175">
            <v>0</v>
          </cell>
        </row>
        <row r="176">
          <cell r="B176" t="str">
            <v>1.1.03.14.21</v>
          </cell>
          <cell r="C176" t="str">
            <v>Piutang Pajak Opsidien</v>
          </cell>
          <cell r="D176">
            <v>0</v>
          </cell>
          <cell r="E176">
            <v>0</v>
          </cell>
          <cell r="F176">
            <v>0</v>
          </cell>
          <cell r="G176">
            <v>0</v>
          </cell>
          <cell r="H176">
            <v>0</v>
          </cell>
          <cell r="I176">
            <v>0</v>
          </cell>
          <cell r="J176">
            <v>0</v>
          </cell>
        </row>
        <row r="177">
          <cell r="B177" t="str">
            <v>1.1.03.14.22</v>
          </cell>
          <cell r="C177" t="str">
            <v>Piutang Pajak Oker</v>
          </cell>
          <cell r="D177">
            <v>0</v>
          </cell>
          <cell r="E177">
            <v>0</v>
          </cell>
          <cell r="F177">
            <v>0</v>
          </cell>
          <cell r="G177">
            <v>0</v>
          </cell>
          <cell r="H177">
            <v>0</v>
          </cell>
          <cell r="I177">
            <v>0</v>
          </cell>
          <cell r="J177">
            <v>0</v>
          </cell>
        </row>
        <row r="178">
          <cell r="B178" t="str">
            <v>1.1.03.14.23</v>
          </cell>
          <cell r="C178" t="str">
            <v>Piutang Pajak Pasir dan Kerikil</v>
          </cell>
          <cell r="D178">
            <v>0</v>
          </cell>
          <cell r="E178">
            <v>0</v>
          </cell>
          <cell r="F178">
            <v>0</v>
          </cell>
          <cell r="G178">
            <v>0</v>
          </cell>
          <cell r="H178">
            <v>0</v>
          </cell>
          <cell r="I178">
            <v>0</v>
          </cell>
          <cell r="J178">
            <v>0</v>
          </cell>
        </row>
        <row r="179">
          <cell r="B179" t="str">
            <v>1.1.03.14.24</v>
          </cell>
          <cell r="C179" t="str">
            <v>Piutang Pajak Pasir Kuarsa</v>
          </cell>
          <cell r="D179">
            <v>0</v>
          </cell>
          <cell r="E179">
            <v>0</v>
          </cell>
          <cell r="F179">
            <v>0</v>
          </cell>
          <cell r="G179">
            <v>0</v>
          </cell>
          <cell r="H179">
            <v>0</v>
          </cell>
          <cell r="I179">
            <v>0</v>
          </cell>
          <cell r="J179">
            <v>0</v>
          </cell>
        </row>
        <row r="180">
          <cell r="B180" t="str">
            <v>1.1.03.14.25</v>
          </cell>
          <cell r="C180" t="str">
            <v>Piutang Pajak Perlit</v>
          </cell>
          <cell r="D180">
            <v>0</v>
          </cell>
          <cell r="E180">
            <v>0</v>
          </cell>
          <cell r="F180">
            <v>0</v>
          </cell>
          <cell r="G180">
            <v>0</v>
          </cell>
          <cell r="H180">
            <v>0</v>
          </cell>
          <cell r="I180">
            <v>0</v>
          </cell>
          <cell r="J180">
            <v>0</v>
          </cell>
        </row>
        <row r="181">
          <cell r="B181" t="str">
            <v>1.1.03.14.26</v>
          </cell>
          <cell r="C181" t="str">
            <v>Piutang Pajak Phospat</v>
          </cell>
          <cell r="D181">
            <v>0</v>
          </cell>
          <cell r="E181">
            <v>0</v>
          </cell>
          <cell r="F181">
            <v>0</v>
          </cell>
          <cell r="G181">
            <v>0</v>
          </cell>
          <cell r="H181">
            <v>0</v>
          </cell>
          <cell r="I181">
            <v>0</v>
          </cell>
          <cell r="J181">
            <v>0</v>
          </cell>
        </row>
        <row r="182">
          <cell r="B182" t="str">
            <v>1.1.03.14.27</v>
          </cell>
          <cell r="C182" t="str">
            <v>Piutang Pajak Talk</v>
          </cell>
          <cell r="D182">
            <v>0</v>
          </cell>
          <cell r="E182">
            <v>0</v>
          </cell>
          <cell r="F182">
            <v>0</v>
          </cell>
          <cell r="G182">
            <v>0</v>
          </cell>
          <cell r="H182">
            <v>0</v>
          </cell>
          <cell r="I182">
            <v>0</v>
          </cell>
          <cell r="J182">
            <v>0</v>
          </cell>
        </row>
        <row r="183">
          <cell r="B183" t="str">
            <v>1.1.03.14.28</v>
          </cell>
          <cell r="C183" t="str">
            <v>Piutang Pajak Tanah Serap (Fullers earth)</v>
          </cell>
          <cell r="D183">
            <v>0</v>
          </cell>
          <cell r="E183">
            <v>0</v>
          </cell>
          <cell r="F183">
            <v>0</v>
          </cell>
          <cell r="G183">
            <v>0</v>
          </cell>
          <cell r="H183">
            <v>0</v>
          </cell>
          <cell r="I183">
            <v>0</v>
          </cell>
          <cell r="J183">
            <v>0</v>
          </cell>
        </row>
        <row r="184">
          <cell r="B184" t="str">
            <v>1.1.03.14.29</v>
          </cell>
          <cell r="C184" t="str">
            <v>Piutang Pajak Tanah Diatome</v>
          </cell>
          <cell r="D184">
            <v>0</v>
          </cell>
          <cell r="E184">
            <v>0</v>
          </cell>
          <cell r="F184">
            <v>0</v>
          </cell>
          <cell r="G184">
            <v>0</v>
          </cell>
          <cell r="H184">
            <v>0</v>
          </cell>
          <cell r="I184">
            <v>0</v>
          </cell>
          <cell r="J184">
            <v>0</v>
          </cell>
        </row>
        <row r="185">
          <cell r="B185" t="str">
            <v>1.1.03.14.30</v>
          </cell>
          <cell r="C185" t="str">
            <v>Piutang Pajak Tanah Liat</v>
          </cell>
          <cell r="D185">
            <v>0</v>
          </cell>
          <cell r="E185">
            <v>0</v>
          </cell>
          <cell r="F185">
            <v>0</v>
          </cell>
          <cell r="G185">
            <v>0</v>
          </cell>
          <cell r="H185">
            <v>0</v>
          </cell>
          <cell r="I185">
            <v>0</v>
          </cell>
          <cell r="J185">
            <v>0</v>
          </cell>
        </row>
        <row r="186">
          <cell r="B186" t="str">
            <v>1.1.03.14.31</v>
          </cell>
          <cell r="C186" t="str">
            <v>Piutang Pajak Tawas (Alum)</v>
          </cell>
          <cell r="D186">
            <v>0</v>
          </cell>
          <cell r="E186">
            <v>0</v>
          </cell>
          <cell r="F186">
            <v>0</v>
          </cell>
          <cell r="G186">
            <v>0</v>
          </cell>
          <cell r="H186">
            <v>0</v>
          </cell>
          <cell r="I186">
            <v>0</v>
          </cell>
          <cell r="J186">
            <v>0</v>
          </cell>
        </row>
        <row r="187">
          <cell r="B187" t="str">
            <v>1.1.03.14.32</v>
          </cell>
          <cell r="C187" t="str">
            <v>Piutang Pajak Tras</v>
          </cell>
          <cell r="D187">
            <v>0</v>
          </cell>
          <cell r="E187">
            <v>0</v>
          </cell>
          <cell r="F187">
            <v>0</v>
          </cell>
          <cell r="G187">
            <v>0</v>
          </cell>
          <cell r="H187">
            <v>0</v>
          </cell>
          <cell r="I187">
            <v>0</v>
          </cell>
          <cell r="J187">
            <v>0</v>
          </cell>
        </row>
        <row r="188">
          <cell r="B188" t="str">
            <v>1.1.03.14.33</v>
          </cell>
          <cell r="C188" t="str">
            <v>Piutang Pajak Yarosif</v>
          </cell>
          <cell r="D188">
            <v>0</v>
          </cell>
          <cell r="E188">
            <v>0</v>
          </cell>
          <cell r="F188">
            <v>0</v>
          </cell>
          <cell r="G188">
            <v>0</v>
          </cell>
          <cell r="H188">
            <v>0</v>
          </cell>
          <cell r="I188">
            <v>0</v>
          </cell>
          <cell r="J188">
            <v>0</v>
          </cell>
        </row>
        <row r="189">
          <cell r="B189" t="str">
            <v>1.1.03.14.34</v>
          </cell>
          <cell r="C189" t="str">
            <v>Piutang Pajak Zeolit</v>
          </cell>
          <cell r="D189">
            <v>0</v>
          </cell>
          <cell r="E189">
            <v>0</v>
          </cell>
          <cell r="F189">
            <v>0</v>
          </cell>
          <cell r="G189">
            <v>0</v>
          </cell>
          <cell r="H189">
            <v>0</v>
          </cell>
          <cell r="I189">
            <v>0</v>
          </cell>
          <cell r="J189">
            <v>0</v>
          </cell>
        </row>
        <row r="190">
          <cell r="B190" t="str">
            <v>1.1.03.14.35</v>
          </cell>
          <cell r="C190" t="str">
            <v>Piutang Pajak Basal</v>
          </cell>
          <cell r="D190">
            <v>0</v>
          </cell>
          <cell r="E190">
            <v>0</v>
          </cell>
          <cell r="F190">
            <v>0</v>
          </cell>
          <cell r="G190">
            <v>0</v>
          </cell>
          <cell r="H190">
            <v>0</v>
          </cell>
          <cell r="I190">
            <v>0</v>
          </cell>
          <cell r="J190">
            <v>0</v>
          </cell>
        </row>
        <row r="191">
          <cell r="B191" t="str">
            <v>1.1.03.14.36</v>
          </cell>
          <cell r="C191" t="str">
            <v>Piutang Pajak Trakit</v>
          </cell>
          <cell r="D191">
            <v>0</v>
          </cell>
          <cell r="E191">
            <v>0</v>
          </cell>
          <cell r="F191">
            <v>0</v>
          </cell>
          <cell r="G191">
            <v>0</v>
          </cell>
          <cell r="H191">
            <v>0</v>
          </cell>
          <cell r="I191">
            <v>0</v>
          </cell>
          <cell r="J191">
            <v>0</v>
          </cell>
        </row>
        <row r="192">
          <cell r="B192" t="str">
            <v>1.1.03.14.37</v>
          </cell>
          <cell r="C192" t="str">
            <v>Piutang Pajak Mineral Bukan Logam dan Batuan Lainnya</v>
          </cell>
          <cell r="D192">
            <v>0</v>
          </cell>
          <cell r="E192">
            <v>0</v>
          </cell>
          <cell r="F192">
            <v>0</v>
          </cell>
          <cell r="G192">
            <v>0</v>
          </cell>
          <cell r="H192">
            <v>0</v>
          </cell>
          <cell r="I192">
            <v>0</v>
          </cell>
          <cell r="J192">
            <v>0</v>
          </cell>
        </row>
        <row r="193">
          <cell r="B193" t="str">
            <v>1.1.03.14.38</v>
          </cell>
          <cell r="C193" t="str">
            <v>Piutang Pajak Belerang</v>
          </cell>
          <cell r="D193">
            <v>0</v>
          </cell>
          <cell r="E193">
            <v>0</v>
          </cell>
          <cell r="F193">
            <v>0</v>
          </cell>
          <cell r="G193">
            <v>0</v>
          </cell>
          <cell r="H193">
            <v>0</v>
          </cell>
          <cell r="I193">
            <v>0</v>
          </cell>
          <cell r="J193">
            <v>0</v>
          </cell>
        </row>
        <row r="194">
          <cell r="B194" t="str">
            <v>1.1.03.14.39</v>
          </cell>
          <cell r="C194" t="str">
            <v>Piutang Pajak MBLB Ikutan Dalam Suatu Pertambangan Mineral</v>
          </cell>
          <cell r="D194">
            <v>0</v>
          </cell>
          <cell r="E194">
            <v>0</v>
          </cell>
          <cell r="F194">
            <v>0</v>
          </cell>
          <cell r="G194">
            <v>0</v>
          </cell>
          <cell r="H194">
            <v>0</v>
          </cell>
          <cell r="I194">
            <v>0</v>
          </cell>
          <cell r="J194">
            <v>0</v>
          </cell>
        </row>
        <row r="195">
          <cell r="B195" t="str">
            <v>1.1.03.15</v>
          </cell>
          <cell r="C195" t="str">
            <v>Piutang Pajak Bumi dan Bangunan Perdesaan dan Perkotaan (PBBP2)</v>
          </cell>
          <cell r="D195">
            <v>3839288263</v>
          </cell>
          <cell r="E195">
            <v>3685810186</v>
          </cell>
          <cell r="F195"/>
          <cell r="G195"/>
          <cell r="H195"/>
          <cell r="I195"/>
          <cell r="J195">
            <v>8148971935</v>
          </cell>
        </row>
        <row r="196">
          <cell r="B196" t="str">
            <v>1.1.03.15.01</v>
          </cell>
          <cell r="C196" t="str">
            <v>Piutang PBBP2</v>
          </cell>
          <cell r="D196">
            <v>3839288263</v>
          </cell>
          <cell r="E196">
            <v>3685810186</v>
          </cell>
          <cell r="F196">
            <v>4463161749</v>
          </cell>
          <cell r="G196">
            <v>0</v>
          </cell>
          <cell r="H196">
            <v>0</v>
          </cell>
          <cell r="I196">
            <v>0</v>
          </cell>
          <cell r="J196">
            <v>8148971935</v>
          </cell>
        </row>
        <row r="197">
          <cell r="B197" t="str">
            <v>1.1.03.16</v>
          </cell>
          <cell r="C197" t="str">
            <v>Piutang Bea Perolehan Hak Atas Tanah dan Bangunan (BPHTB)</v>
          </cell>
          <cell r="D197">
            <v>0</v>
          </cell>
          <cell r="E197">
            <v>0</v>
          </cell>
          <cell r="F197"/>
          <cell r="G197"/>
          <cell r="H197"/>
          <cell r="I197"/>
          <cell r="J197">
            <v>0</v>
          </cell>
        </row>
        <row r="198">
          <cell r="B198" t="str">
            <v>1.1.03.16.01</v>
          </cell>
          <cell r="C198" t="str">
            <v>Piutang BPHTB-Pemindahan Hak</v>
          </cell>
          <cell r="D198">
            <v>0</v>
          </cell>
          <cell r="E198">
            <v>0</v>
          </cell>
          <cell r="F198">
            <v>0</v>
          </cell>
          <cell r="G198">
            <v>0</v>
          </cell>
          <cell r="H198">
            <v>0</v>
          </cell>
          <cell r="I198">
            <v>0</v>
          </cell>
          <cell r="J198">
            <v>0</v>
          </cell>
        </row>
        <row r="199">
          <cell r="B199" t="str">
            <v>1.1.03.16.02</v>
          </cell>
          <cell r="C199" t="str">
            <v>Piutang BPHTB-Pemberian Hak Baru</v>
          </cell>
          <cell r="D199">
            <v>0</v>
          </cell>
          <cell r="E199">
            <v>0</v>
          </cell>
          <cell r="F199">
            <v>0</v>
          </cell>
          <cell r="G199">
            <v>0</v>
          </cell>
          <cell r="H199">
            <v>0</v>
          </cell>
          <cell r="I199">
            <v>0</v>
          </cell>
          <cell r="J199">
            <v>0</v>
          </cell>
        </row>
        <row r="200">
          <cell r="B200" t="str">
            <v>1.1.03.17</v>
          </cell>
          <cell r="C200" t="str">
            <v>Piutang Pajak Alat Berat</v>
          </cell>
          <cell r="D200">
            <v>0</v>
          </cell>
          <cell r="E200">
            <v>0</v>
          </cell>
          <cell r="F200"/>
          <cell r="G200"/>
          <cell r="H200"/>
          <cell r="I200"/>
          <cell r="J200">
            <v>0</v>
          </cell>
        </row>
        <row r="201">
          <cell r="B201" t="str">
            <v>1.1.03.17.01</v>
          </cell>
          <cell r="C201" t="str">
            <v>Piutang Pajak Alat Berat</v>
          </cell>
          <cell r="D201">
            <v>0</v>
          </cell>
          <cell r="E201">
            <v>0</v>
          </cell>
          <cell r="F201">
            <v>0</v>
          </cell>
          <cell r="G201">
            <v>0</v>
          </cell>
          <cell r="H201">
            <v>0</v>
          </cell>
          <cell r="I201">
            <v>0</v>
          </cell>
          <cell r="J201">
            <v>0</v>
          </cell>
        </row>
        <row r="202">
          <cell r="B202" t="str">
            <v>1.1.03.18</v>
          </cell>
          <cell r="C202" t="str">
            <v>Piutang Opsen Pajak Mineral Bukan Logam dan Batuan (MBLB)</v>
          </cell>
          <cell r="D202">
            <v>0</v>
          </cell>
          <cell r="E202">
            <v>0</v>
          </cell>
          <cell r="F202"/>
          <cell r="G202"/>
          <cell r="H202"/>
          <cell r="I202"/>
          <cell r="J202">
            <v>0</v>
          </cell>
        </row>
        <row r="203">
          <cell r="B203" t="str">
            <v>1.1.03.18.01</v>
          </cell>
          <cell r="C203" t="str">
            <v>Piutang Opsen Pajak Mineral Bukan Logam dan Batuan (MBLB)</v>
          </cell>
          <cell r="D203">
            <v>0</v>
          </cell>
          <cell r="E203">
            <v>0</v>
          </cell>
          <cell r="F203">
            <v>0</v>
          </cell>
          <cell r="G203">
            <v>0</v>
          </cell>
          <cell r="H203">
            <v>0</v>
          </cell>
          <cell r="I203">
            <v>0</v>
          </cell>
          <cell r="J203">
            <v>0</v>
          </cell>
        </row>
        <row r="204">
          <cell r="B204" t="str">
            <v>1.1.03.19</v>
          </cell>
          <cell r="C204" t="str">
            <v>Piutang Pajak Barang dan Jasa Tertentu (PBJT)</v>
          </cell>
          <cell r="D204">
            <v>0</v>
          </cell>
          <cell r="E204">
            <v>0</v>
          </cell>
          <cell r="F204"/>
          <cell r="G204"/>
          <cell r="H204"/>
          <cell r="I204"/>
          <cell r="J204">
            <v>0</v>
          </cell>
        </row>
        <row r="205">
          <cell r="B205" t="str">
            <v>1.1.03.19.01</v>
          </cell>
          <cell r="C205" t="str">
            <v>Piutang PBJT-Makanan dan/atau Minuman</v>
          </cell>
          <cell r="D205">
            <v>0</v>
          </cell>
          <cell r="E205">
            <v>0</v>
          </cell>
          <cell r="F205">
            <v>0</v>
          </cell>
          <cell r="G205">
            <v>0</v>
          </cell>
          <cell r="H205">
            <v>0</v>
          </cell>
          <cell r="I205">
            <v>0</v>
          </cell>
          <cell r="J205">
            <v>0</v>
          </cell>
        </row>
        <row r="206">
          <cell r="B206" t="str">
            <v>1.1.03.19.02</v>
          </cell>
          <cell r="C206" t="str">
            <v>Piutang PBJT-Tenaga Listrik</v>
          </cell>
          <cell r="D206">
            <v>0</v>
          </cell>
          <cell r="E206">
            <v>0</v>
          </cell>
          <cell r="F206">
            <v>0</v>
          </cell>
          <cell r="G206">
            <v>0</v>
          </cell>
          <cell r="H206">
            <v>0</v>
          </cell>
          <cell r="I206">
            <v>0</v>
          </cell>
          <cell r="J206">
            <v>0</v>
          </cell>
        </row>
        <row r="207">
          <cell r="B207" t="str">
            <v>1.1.03.19.03</v>
          </cell>
          <cell r="C207" t="str">
            <v>Piutang PBJT-Jasa Perhotelan</v>
          </cell>
          <cell r="D207">
            <v>0</v>
          </cell>
          <cell r="E207">
            <v>0</v>
          </cell>
          <cell r="F207">
            <v>0</v>
          </cell>
          <cell r="G207">
            <v>0</v>
          </cell>
          <cell r="H207">
            <v>0</v>
          </cell>
          <cell r="I207">
            <v>0</v>
          </cell>
          <cell r="J207">
            <v>0</v>
          </cell>
        </row>
        <row r="208">
          <cell r="B208" t="str">
            <v>1.1.03.19.04</v>
          </cell>
          <cell r="C208" t="str">
            <v>Piutang PBJT-Jasa Parkir</v>
          </cell>
          <cell r="D208">
            <v>0</v>
          </cell>
          <cell r="E208">
            <v>0</v>
          </cell>
          <cell r="F208">
            <v>0</v>
          </cell>
          <cell r="G208">
            <v>0</v>
          </cell>
          <cell r="H208">
            <v>0</v>
          </cell>
          <cell r="I208">
            <v>0</v>
          </cell>
          <cell r="J208">
            <v>0</v>
          </cell>
        </row>
        <row r="209">
          <cell r="B209" t="str">
            <v>1.1.03.19.05</v>
          </cell>
          <cell r="C209" t="str">
            <v>Piutang PBJT-Jasa Kesenian dan Hiburan</v>
          </cell>
          <cell r="D209">
            <v>0</v>
          </cell>
          <cell r="E209">
            <v>0</v>
          </cell>
          <cell r="F209">
            <v>0</v>
          </cell>
          <cell r="G209">
            <v>0</v>
          </cell>
          <cell r="H209">
            <v>0</v>
          </cell>
          <cell r="I209">
            <v>0</v>
          </cell>
          <cell r="J209">
            <v>0</v>
          </cell>
        </row>
        <row r="210">
          <cell r="B210" t="str">
            <v>1.1.03.20</v>
          </cell>
          <cell r="C210" t="str">
            <v>Piutang Opsen Pajak Kendaraan Bermotor (PKB)</v>
          </cell>
          <cell r="D210">
            <v>0</v>
          </cell>
          <cell r="E210">
            <v>0</v>
          </cell>
          <cell r="F210"/>
          <cell r="G210"/>
          <cell r="H210"/>
          <cell r="I210"/>
          <cell r="J210">
            <v>0</v>
          </cell>
        </row>
        <row r="211">
          <cell r="B211" t="str">
            <v>1.1.03.20.01</v>
          </cell>
          <cell r="C211" t="str">
            <v>Piutang Opsen PKB</v>
          </cell>
          <cell r="D211">
            <v>0</v>
          </cell>
          <cell r="E211">
            <v>0</v>
          </cell>
          <cell r="F211">
            <v>0</v>
          </cell>
          <cell r="G211">
            <v>0</v>
          </cell>
          <cell r="H211">
            <v>0</v>
          </cell>
          <cell r="I211">
            <v>0</v>
          </cell>
          <cell r="J211">
            <v>0</v>
          </cell>
        </row>
        <row r="212">
          <cell r="B212" t="str">
            <v>1.1.03.21</v>
          </cell>
          <cell r="C212" t="str">
            <v>Piutang Opsen Bea Balik Nama Kendaraan Bermotor (BBNKB)</v>
          </cell>
          <cell r="D212">
            <v>0</v>
          </cell>
          <cell r="E212">
            <v>0</v>
          </cell>
          <cell r="F212"/>
          <cell r="G212"/>
          <cell r="H212"/>
          <cell r="I212"/>
          <cell r="J212">
            <v>0</v>
          </cell>
        </row>
        <row r="213">
          <cell r="B213" t="str">
            <v>1.1.03.21.01</v>
          </cell>
          <cell r="C213" t="str">
            <v>Piutang Opsen BBNKB</v>
          </cell>
          <cell r="D213">
            <v>0</v>
          </cell>
          <cell r="E213">
            <v>0</v>
          </cell>
          <cell r="F213">
            <v>0</v>
          </cell>
          <cell r="G213">
            <v>0</v>
          </cell>
          <cell r="H213">
            <v>0</v>
          </cell>
          <cell r="I213">
            <v>0</v>
          </cell>
          <cell r="J213">
            <v>0</v>
          </cell>
        </row>
        <row r="214">
          <cell r="B214"/>
          <cell r="C214"/>
          <cell r="D214"/>
          <cell r="E214"/>
          <cell r="F214"/>
          <cell r="G214"/>
          <cell r="H214"/>
          <cell r="I214"/>
          <cell r="J214"/>
        </row>
        <row r="215">
          <cell r="B215" t="str">
            <v>1.1.04</v>
          </cell>
          <cell r="C215" t="str">
            <v>Piutang Retribusi Daerah</v>
          </cell>
          <cell r="D215">
            <v>1471295960</v>
          </cell>
          <cell r="E215">
            <v>1494866260</v>
          </cell>
          <cell r="F215"/>
          <cell r="G215"/>
          <cell r="H215"/>
          <cell r="I215"/>
          <cell r="J215">
            <v>5910844068</v>
          </cell>
        </row>
        <row r="216">
          <cell r="B216" t="str">
            <v>1.1.04.01</v>
          </cell>
          <cell r="C216" t="str">
            <v>Piutang Retribusi Jasa Umum</v>
          </cell>
          <cell r="D216">
            <v>520805960</v>
          </cell>
          <cell r="E216">
            <v>520797260</v>
          </cell>
          <cell r="F216"/>
          <cell r="G216"/>
          <cell r="H216"/>
          <cell r="I216"/>
          <cell r="J216">
            <v>4973855068</v>
          </cell>
        </row>
        <row r="217">
          <cell r="B217" t="str">
            <v>1.1.04.01.01</v>
          </cell>
          <cell r="C217" t="str">
            <v>Piutang Retribusi Pelayanan Kesehatan</v>
          </cell>
          <cell r="D217">
            <v>0</v>
          </cell>
          <cell r="E217">
            <v>0</v>
          </cell>
          <cell r="F217">
            <v>0</v>
          </cell>
          <cell r="G217">
            <v>0</v>
          </cell>
          <cell r="H217">
            <v>4453057808</v>
          </cell>
          <cell r="I217">
            <v>0</v>
          </cell>
          <cell r="J217">
            <v>4453057808</v>
          </cell>
        </row>
        <row r="218">
          <cell r="B218" t="str">
            <v>1.1.04.01.02</v>
          </cell>
          <cell r="C218" t="str">
            <v>Piutang Retribusi Pelayanan Persampahan/Kebersihan</v>
          </cell>
          <cell r="D218">
            <v>0</v>
          </cell>
          <cell r="E218">
            <v>0</v>
          </cell>
          <cell r="F218">
            <v>0</v>
          </cell>
          <cell r="G218">
            <v>0</v>
          </cell>
          <cell r="H218">
            <v>0</v>
          </cell>
          <cell r="I218">
            <v>0</v>
          </cell>
          <cell r="J218">
            <v>0</v>
          </cell>
        </row>
        <row r="219">
          <cell r="B219" t="str">
            <v>1.1.04.01.03</v>
          </cell>
          <cell r="C219" t="str">
            <v>Piutang Retribusi Pelayanan Pemakaman dan Pengabuan Mayat</v>
          </cell>
          <cell r="D219">
            <v>0</v>
          </cell>
          <cell r="E219">
            <v>0</v>
          </cell>
          <cell r="F219">
            <v>0</v>
          </cell>
          <cell r="G219">
            <v>0</v>
          </cell>
          <cell r="H219">
            <v>0</v>
          </cell>
          <cell r="I219">
            <v>0</v>
          </cell>
          <cell r="J219">
            <v>0</v>
          </cell>
        </row>
        <row r="220">
          <cell r="B220" t="str">
            <v>1.1.04.01.04</v>
          </cell>
          <cell r="C220" t="str">
            <v>Piutang Retribusi Pelayanan Parkir di Tepi Jalan Umum</v>
          </cell>
          <cell r="D220">
            <v>0</v>
          </cell>
          <cell r="E220">
            <v>0</v>
          </cell>
          <cell r="F220">
            <v>0</v>
          </cell>
          <cell r="G220">
            <v>0</v>
          </cell>
          <cell r="H220">
            <v>0</v>
          </cell>
          <cell r="I220">
            <v>0</v>
          </cell>
          <cell r="J220">
            <v>0</v>
          </cell>
        </row>
        <row r="221">
          <cell r="B221" t="str">
            <v>1.1.04.01.05</v>
          </cell>
          <cell r="C221" t="str">
            <v>Piutang Retribusi Pelayanan pasar</v>
          </cell>
          <cell r="D221">
            <v>0</v>
          </cell>
          <cell r="E221">
            <v>0</v>
          </cell>
          <cell r="F221">
            <v>0</v>
          </cell>
          <cell r="G221">
            <v>0</v>
          </cell>
          <cell r="H221">
            <v>0</v>
          </cell>
          <cell r="I221">
            <v>0</v>
          </cell>
          <cell r="J221">
            <v>0</v>
          </cell>
        </row>
        <row r="222">
          <cell r="B222" t="str">
            <v>1.1.04.01.06</v>
          </cell>
          <cell r="C222" t="str">
            <v>Piutang Retribusi Pengujian Kendaraan Bermotor</v>
          </cell>
          <cell r="D222">
            <v>0</v>
          </cell>
          <cell r="E222">
            <v>0</v>
          </cell>
          <cell r="F222">
            <v>0</v>
          </cell>
          <cell r="G222">
            <v>0</v>
          </cell>
          <cell r="H222">
            <v>0</v>
          </cell>
          <cell r="I222">
            <v>0</v>
          </cell>
          <cell r="J222">
            <v>0</v>
          </cell>
        </row>
        <row r="223">
          <cell r="B223" t="str">
            <v>1.1.04.01.07</v>
          </cell>
          <cell r="C223" t="str">
            <v>Piutang Retribusi Pemeriksaan Alat Pemadam Kebakaran</v>
          </cell>
          <cell r="D223">
            <v>0</v>
          </cell>
          <cell r="E223">
            <v>0</v>
          </cell>
          <cell r="F223">
            <v>0</v>
          </cell>
          <cell r="G223">
            <v>0</v>
          </cell>
          <cell r="H223">
            <v>0</v>
          </cell>
          <cell r="I223">
            <v>0</v>
          </cell>
          <cell r="J223">
            <v>0</v>
          </cell>
        </row>
        <row r="224">
          <cell r="B224" t="str">
            <v>1.1.04.01.08</v>
          </cell>
          <cell r="C224" t="str">
            <v>Piutang Retribusi Penggantian Biaya Cetak Peta</v>
          </cell>
          <cell r="D224">
            <v>0</v>
          </cell>
          <cell r="E224">
            <v>0</v>
          </cell>
          <cell r="F224">
            <v>0</v>
          </cell>
          <cell r="G224">
            <v>0</v>
          </cell>
          <cell r="H224">
            <v>0</v>
          </cell>
          <cell r="I224">
            <v>0</v>
          </cell>
          <cell r="J224">
            <v>0</v>
          </cell>
        </row>
        <row r="225">
          <cell r="B225" t="str">
            <v>1.1.04.01.09</v>
          </cell>
          <cell r="C225" t="str">
            <v>Piutang Retribusi Penyediaan dan/atau Penyedotan Kakus</v>
          </cell>
          <cell r="D225">
            <v>0</v>
          </cell>
          <cell r="E225">
            <v>0</v>
          </cell>
          <cell r="F225">
            <v>0</v>
          </cell>
          <cell r="G225">
            <v>0</v>
          </cell>
          <cell r="H225">
            <v>0</v>
          </cell>
          <cell r="I225">
            <v>0</v>
          </cell>
          <cell r="J225">
            <v>0</v>
          </cell>
        </row>
        <row r="226">
          <cell r="B226" t="str">
            <v>1.1.04.01.10</v>
          </cell>
          <cell r="C226" t="str">
            <v>Piutang Retribusi Pengolahan Limbah Cair</v>
          </cell>
          <cell r="D226">
            <v>0</v>
          </cell>
          <cell r="E226">
            <v>0</v>
          </cell>
          <cell r="F226">
            <v>0</v>
          </cell>
          <cell r="G226">
            <v>0</v>
          </cell>
          <cell r="H226">
            <v>0</v>
          </cell>
          <cell r="I226">
            <v>0</v>
          </cell>
          <cell r="J226">
            <v>0</v>
          </cell>
        </row>
        <row r="227">
          <cell r="B227" t="str">
            <v>1.1.04.01.11</v>
          </cell>
          <cell r="C227" t="str">
            <v>Piutang Retribusi Pelayanan Tera/Tera Ulang</v>
          </cell>
          <cell r="D227">
            <v>0</v>
          </cell>
          <cell r="E227">
            <v>0</v>
          </cell>
          <cell r="F227">
            <v>0</v>
          </cell>
          <cell r="G227">
            <v>0</v>
          </cell>
          <cell r="H227">
            <v>0</v>
          </cell>
          <cell r="I227">
            <v>0</v>
          </cell>
          <cell r="J227">
            <v>0</v>
          </cell>
        </row>
        <row r="228">
          <cell r="B228" t="str">
            <v>1.1.04.01.12</v>
          </cell>
          <cell r="C228" t="str">
            <v>Piutang Retribusi Pelayanan Pendidikan</v>
          </cell>
          <cell r="D228">
            <v>0</v>
          </cell>
          <cell r="E228">
            <v>0</v>
          </cell>
          <cell r="F228">
            <v>0</v>
          </cell>
          <cell r="G228">
            <v>0</v>
          </cell>
          <cell r="H228">
            <v>0</v>
          </cell>
          <cell r="I228">
            <v>0</v>
          </cell>
          <cell r="J228">
            <v>0</v>
          </cell>
        </row>
        <row r="229">
          <cell r="B229" t="str">
            <v>1.1.04.01.13</v>
          </cell>
          <cell r="C229" t="str">
            <v>Piutang Retribusi Pengawasan dan Pengendalian Menara Telekomunikasi</v>
          </cell>
          <cell r="D229">
            <v>520805960</v>
          </cell>
          <cell r="E229">
            <v>520797260</v>
          </cell>
          <cell r="F229">
            <v>0</v>
          </cell>
          <cell r="G229">
            <v>0</v>
          </cell>
          <cell r="H229">
            <v>0</v>
          </cell>
          <cell r="I229">
            <v>0</v>
          </cell>
          <cell r="J229">
            <v>520797260</v>
          </cell>
        </row>
        <row r="230">
          <cell r="B230" t="str">
            <v>1.1.04.01.14</v>
          </cell>
          <cell r="C230" t="str">
            <v>Piutang Retribusi Pelayanan Kebersihan</v>
          </cell>
          <cell r="D230">
            <v>0</v>
          </cell>
          <cell r="E230">
            <v>0</v>
          </cell>
          <cell r="F230">
            <v>0</v>
          </cell>
          <cell r="G230">
            <v>0</v>
          </cell>
          <cell r="H230">
            <v>0</v>
          </cell>
          <cell r="I230">
            <v>0</v>
          </cell>
          <cell r="J230">
            <v>0</v>
          </cell>
        </row>
        <row r="231">
          <cell r="B231" t="str">
            <v>1.1.04.01.15</v>
          </cell>
          <cell r="C231" t="str">
            <v>Piutang Retribusi Pengendalian Lalu Lintas</v>
          </cell>
          <cell r="D231">
            <v>0</v>
          </cell>
          <cell r="E231">
            <v>0</v>
          </cell>
          <cell r="F231">
            <v>0</v>
          </cell>
          <cell r="G231">
            <v>0</v>
          </cell>
          <cell r="H231">
            <v>0</v>
          </cell>
          <cell r="I231">
            <v>0</v>
          </cell>
          <cell r="J231">
            <v>0</v>
          </cell>
        </row>
        <row r="232">
          <cell r="B232" t="str">
            <v>1.1.04.02</v>
          </cell>
          <cell r="C232" t="str">
            <v>Piutang Retribusi Jasa Usaha</v>
          </cell>
          <cell r="D232">
            <v>947230000</v>
          </cell>
          <cell r="E232">
            <v>970809000</v>
          </cell>
          <cell r="F232"/>
          <cell r="G232"/>
          <cell r="H232"/>
          <cell r="I232"/>
          <cell r="J232">
            <v>933729000</v>
          </cell>
        </row>
        <row r="233">
          <cell r="B233" t="str">
            <v>1.1.04.02.01</v>
          </cell>
          <cell r="C233" t="str">
            <v>Piutang Retribusi Pemakaian Kekayaan Daerah</v>
          </cell>
          <cell r="D233">
            <v>0</v>
          </cell>
          <cell r="E233">
            <v>0</v>
          </cell>
          <cell r="F233">
            <v>0</v>
          </cell>
          <cell r="G233">
            <v>0</v>
          </cell>
          <cell r="H233">
            <v>0</v>
          </cell>
          <cell r="I233">
            <v>0</v>
          </cell>
          <cell r="J233">
            <v>0</v>
          </cell>
        </row>
        <row r="234">
          <cell r="B234" t="str">
            <v>1.1.04.02.02</v>
          </cell>
          <cell r="C234" t="str">
            <v>Piutang Retribusi pasar Grosir dan/atau Pertokoan</v>
          </cell>
          <cell r="D234">
            <v>947230000</v>
          </cell>
          <cell r="E234">
            <v>970809000</v>
          </cell>
          <cell r="F234">
            <v>0</v>
          </cell>
          <cell r="G234">
            <v>37080000</v>
          </cell>
          <cell r="H234">
            <v>0</v>
          </cell>
          <cell r="I234">
            <v>0</v>
          </cell>
          <cell r="J234">
            <v>933729000</v>
          </cell>
        </row>
        <row r="235">
          <cell r="B235" t="str">
            <v>1.1.04.02.03</v>
          </cell>
          <cell r="C235" t="str">
            <v>Piutang Retribusi Tempat Pelelangan</v>
          </cell>
          <cell r="D235">
            <v>0</v>
          </cell>
          <cell r="E235">
            <v>0</v>
          </cell>
          <cell r="F235">
            <v>0</v>
          </cell>
          <cell r="G235">
            <v>0</v>
          </cell>
          <cell r="H235">
            <v>0</v>
          </cell>
          <cell r="I235">
            <v>0</v>
          </cell>
          <cell r="J235">
            <v>0</v>
          </cell>
        </row>
        <row r="236">
          <cell r="B236" t="str">
            <v>1.1.04.02.04</v>
          </cell>
          <cell r="C236" t="str">
            <v>Piutang Retribusi Terminal</v>
          </cell>
          <cell r="D236">
            <v>0</v>
          </cell>
          <cell r="E236">
            <v>0</v>
          </cell>
          <cell r="F236">
            <v>0</v>
          </cell>
          <cell r="G236">
            <v>0</v>
          </cell>
          <cell r="H236">
            <v>0</v>
          </cell>
          <cell r="I236">
            <v>0</v>
          </cell>
          <cell r="J236">
            <v>0</v>
          </cell>
        </row>
        <row r="237">
          <cell r="B237" t="str">
            <v>1.1.04.02.05</v>
          </cell>
          <cell r="C237" t="str">
            <v>Piutang Retribusi Tempat Khusus Parkir</v>
          </cell>
          <cell r="D237">
            <v>0</v>
          </cell>
          <cell r="E237">
            <v>0</v>
          </cell>
          <cell r="F237">
            <v>0</v>
          </cell>
          <cell r="G237">
            <v>0</v>
          </cell>
          <cell r="H237">
            <v>0</v>
          </cell>
          <cell r="I237">
            <v>0</v>
          </cell>
          <cell r="J237">
            <v>0</v>
          </cell>
        </row>
        <row r="238">
          <cell r="B238" t="str">
            <v>1.1.04.02.06</v>
          </cell>
          <cell r="C238" t="str">
            <v>Piutang Retribusi Tempat Penginapan/Pesanggrahan/Vila</v>
          </cell>
          <cell r="D238">
            <v>0</v>
          </cell>
          <cell r="E238">
            <v>0</v>
          </cell>
          <cell r="F238">
            <v>0</v>
          </cell>
          <cell r="G238">
            <v>0</v>
          </cell>
          <cell r="H238">
            <v>0</v>
          </cell>
          <cell r="I238">
            <v>0</v>
          </cell>
          <cell r="J238">
            <v>0</v>
          </cell>
        </row>
        <row r="239">
          <cell r="B239" t="str">
            <v>1.1.04.02.07</v>
          </cell>
          <cell r="C239" t="str">
            <v>Piutang Retribusi Rumah Potong Hewan</v>
          </cell>
          <cell r="D239">
            <v>0</v>
          </cell>
          <cell r="E239">
            <v>0</v>
          </cell>
          <cell r="F239">
            <v>0</v>
          </cell>
          <cell r="G239">
            <v>0</v>
          </cell>
          <cell r="H239">
            <v>0</v>
          </cell>
          <cell r="I239">
            <v>0</v>
          </cell>
          <cell r="J239">
            <v>0</v>
          </cell>
        </row>
        <row r="240">
          <cell r="B240" t="str">
            <v>1.1.04.02.08</v>
          </cell>
          <cell r="C240" t="str">
            <v>Piutang Retribusi Pelayanan Kepelabuhanan</v>
          </cell>
          <cell r="D240">
            <v>0</v>
          </cell>
          <cell r="E240">
            <v>0</v>
          </cell>
          <cell r="F240">
            <v>0</v>
          </cell>
          <cell r="G240">
            <v>0</v>
          </cell>
          <cell r="H240">
            <v>0</v>
          </cell>
          <cell r="I240">
            <v>0</v>
          </cell>
          <cell r="J240">
            <v>0</v>
          </cell>
        </row>
        <row r="241">
          <cell r="B241" t="str">
            <v>1.1.04.02.09</v>
          </cell>
          <cell r="C241" t="str">
            <v>Piutang Retribusi Tempat Rekreasi dan Olahraga</v>
          </cell>
          <cell r="D241">
            <v>0</v>
          </cell>
          <cell r="E241">
            <v>0</v>
          </cell>
          <cell r="F241">
            <v>0</v>
          </cell>
          <cell r="G241">
            <v>0</v>
          </cell>
          <cell r="H241">
            <v>0</v>
          </cell>
          <cell r="I241">
            <v>0</v>
          </cell>
          <cell r="J241">
            <v>0</v>
          </cell>
        </row>
        <row r="242">
          <cell r="B242" t="str">
            <v>1.1.04.02.10</v>
          </cell>
          <cell r="C242" t="str">
            <v>Piutang Retribusi Penyeberangan di Air</v>
          </cell>
          <cell r="D242">
            <v>0</v>
          </cell>
          <cell r="E242">
            <v>0</v>
          </cell>
          <cell r="F242">
            <v>0</v>
          </cell>
          <cell r="G242">
            <v>0</v>
          </cell>
          <cell r="H242">
            <v>0</v>
          </cell>
          <cell r="I242">
            <v>0</v>
          </cell>
          <cell r="J242">
            <v>0</v>
          </cell>
        </row>
        <row r="243">
          <cell r="B243" t="str">
            <v>1.1.04.02.11</v>
          </cell>
          <cell r="C243" t="str">
            <v>Piutang Retribusi Penjualan Produksi Usaha Daerah</v>
          </cell>
          <cell r="D243">
            <v>0</v>
          </cell>
          <cell r="E243">
            <v>0</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0</v>
          </cell>
          <cell r="E244">
            <v>0</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D245">
            <v>0</v>
          </cell>
          <cell r="E245">
            <v>0</v>
          </cell>
          <cell r="F245">
            <v>0</v>
          </cell>
          <cell r="G245">
            <v>0</v>
          </cell>
          <cell r="H245">
            <v>0</v>
          </cell>
          <cell r="I245">
            <v>0</v>
          </cell>
          <cell r="J245">
            <v>0</v>
          </cell>
        </row>
        <row r="246">
          <cell r="B246" t="str">
            <v>1.1.04.02.14</v>
          </cell>
          <cell r="C246" t="str">
            <v>Piutang Retribusi Penyediaan Tempat Khusus Parkir Diluar Badan Jalan</v>
          </cell>
          <cell r="D246">
            <v>0</v>
          </cell>
          <cell r="E246">
            <v>0</v>
          </cell>
          <cell r="F246">
            <v>0</v>
          </cell>
          <cell r="G246">
            <v>0</v>
          </cell>
          <cell r="H246">
            <v>0</v>
          </cell>
          <cell r="I246">
            <v>0</v>
          </cell>
          <cell r="J246">
            <v>0</v>
          </cell>
        </row>
        <row r="247">
          <cell r="B247" t="str">
            <v>1.1.04.02.15</v>
          </cell>
          <cell r="C247" t="str">
            <v>Piutang Retribusi Pelayanan Rumah Pemotongan Hewan Ternak</v>
          </cell>
          <cell r="D247">
            <v>0</v>
          </cell>
          <cell r="E247">
            <v>0</v>
          </cell>
          <cell r="F247">
            <v>0</v>
          </cell>
          <cell r="G247">
            <v>0</v>
          </cell>
          <cell r="H247">
            <v>0</v>
          </cell>
          <cell r="I247">
            <v>0</v>
          </cell>
          <cell r="J247">
            <v>0</v>
          </cell>
        </row>
        <row r="248">
          <cell r="B248" t="str">
            <v>1.1.04.02.16</v>
          </cell>
          <cell r="C248" t="str">
            <v>Piutang Retribusi Pelayanan Jasa Kepelabuhanan</v>
          </cell>
          <cell r="D248">
            <v>0</v>
          </cell>
          <cell r="E248">
            <v>0</v>
          </cell>
          <cell r="F248">
            <v>0</v>
          </cell>
          <cell r="G248">
            <v>0</v>
          </cell>
          <cell r="H248">
            <v>0</v>
          </cell>
          <cell r="I248">
            <v>0</v>
          </cell>
          <cell r="J248">
            <v>0</v>
          </cell>
        </row>
        <row r="249">
          <cell r="B249" t="str">
            <v>1.1.04.02.17</v>
          </cell>
          <cell r="C249" t="str">
            <v>Piutang Retribusi Pelayanan Tempat Rekreasi, Pariwisata, dan Olahraga</v>
          </cell>
          <cell r="D249">
            <v>0</v>
          </cell>
          <cell r="E249">
            <v>0</v>
          </cell>
          <cell r="F249">
            <v>0</v>
          </cell>
          <cell r="G249">
            <v>0</v>
          </cell>
          <cell r="H249">
            <v>0</v>
          </cell>
          <cell r="I249">
            <v>0</v>
          </cell>
          <cell r="J249">
            <v>0</v>
          </cell>
        </row>
        <row r="250">
          <cell r="B250" t="str">
            <v>1.1.04.02.18</v>
          </cell>
          <cell r="C250" t="str">
            <v>Piutang Retribusi Pelayanan Penyeberangan Orang atau Barang dengan Menggunakan Kendaraan di Air</v>
          </cell>
          <cell r="D250">
            <v>0</v>
          </cell>
          <cell r="E250">
            <v>0</v>
          </cell>
          <cell r="F250">
            <v>0</v>
          </cell>
          <cell r="G250">
            <v>0</v>
          </cell>
          <cell r="H250">
            <v>0</v>
          </cell>
          <cell r="I250">
            <v>0</v>
          </cell>
          <cell r="J250">
            <v>0</v>
          </cell>
        </row>
        <row r="251">
          <cell r="B251" t="str">
            <v>1.1.04.02.19</v>
          </cell>
          <cell r="C251" t="str">
            <v>Piutang Retribusi Penjualan Hasil Produksi Usaha Pemerintah Daerah</v>
          </cell>
          <cell r="D251">
            <v>0</v>
          </cell>
          <cell r="E251">
            <v>0</v>
          </cell>
          <cell r="F251">
            <v>0</v>
          </cell>
          <cell r="G251">
            <v>0</v>
          </cell>
          <cell r="H251">
            <v>0</v>
          </cell>
          <cell r="I251">
            <v>0</v>
          </cell>
          <cell r="J251">
            <v>0</v>
          </cell>
        </row>
        <row r="252">
          <cell r="B252" t="str">
            <v>1.1.04.02.20</v>
          </cell>
          <cell r="C252" t="str">
            <v>Piutang Retribusi Pemanfaatan Aset Daerah</v>
          </cell>
          <cell r="D252">
            <v>0</v>
          </cell>
          <cell r="E252">
            <v>0</v>
          </cell>
          <cell r="F252">
            <v>0</v>
          </cell>
          <cell r="G252">
            <v>0</v>
          </cell>
          <cell r="H252">
            <v>0</v>
          </cell>
          <cell r="I252">
            <v>0</v>
          </cell>
          <cell r="J252">
            <v>0</v>
          </cell>
        </row>
        <row r="253">
          <cell r="B253" t="str">
            <v>1.1.04.03</v>
          </cell>
          <cell r="C253" t="str">
            <v>Piutang Retribusi Perizinan Tertentu</v>
          </cell>
          <cell r="D253">
            <v>3260000</v>
          </cell>
          <cell r="E253">
            <v>3260000</v>
          </cell>
          <cell r="F253"/>
          <cell r="G253"/>
          <cell r="H253"/>
          <cell r="I253"/>
          <cell r="J253">
            <v>3260000</v>
          </cell>
        </row>
        <row r="254">
          <cell r="B254" t="str">
            <v>1.1.04.03.01</v>
          </cell>
          <cell r="C254" t="str">
            <v>Piutang Retribusi Izin Mendirikan Bangunan</v>
          </cell>
          <cell r="D254">
            <v>0</v>
          </cell>
          <cell r="E254">
            <v>0</v>
          </cell>
          <cell r="F254">
            <v>0</v>
          </cell>
          <cell r="G254">
            <v>0</v>
          </cell>
          <cell r="H254">
            <v>0</v>
          </cell>
          <cell r="I254">
            <v>0</v>
          </cell>
          <cell r="J254">
            <v>0</v>
          </cell>
        </row>
        <row r="255">
          <cell r="B255" t="str">
            <v>1.1.04.03.02</v>
          </cell>
          <cell r="C255" t="str">
            <v>Piutang Retribusi Izin Tempat Penjualan Minuman Beralkohol</v>
          </cell>
          <cell r="D255">
            <v>0</v>
          </cell>
          <cell r="E255">
            <v>0</v>
          </cell>
          <cell r="F255">
            <v>0</v>
          </cell>
          <cell r="G255">
            <v>0</v>
          </cell>
          <cell r="H255">
            <v>0</v>
          </cell>
          <cell r="I255">
            <v>0</v>
          </cell>
          <cell r="J255">
            <v>0</v>
          </cell>
        </row>
        <row r="256">
          <cell r="B256" t="str">
            <v>1.1.04.03.03</v>
          </cell>
          <cell r="C256" t="str">
            <v>Piutang Retribusi Izin Trayek untuk Menyediakan Pelayanan Angkutan Umum</v>
          </cell>
          <cell r="D256">
            <v>0</v>
          </cell>
          <cell r="E256">
            <v>0</v>
          </cell>
          <cell r="F256">
            <v>0</v>
          </cell>
          <cell r="G256">
            <v>0</v>
          </cell>
          <cell r="H256">
            <v>0</v>
          </cell>
          <cell r="I256">
            <v>0</v>
          </cell>
          <cell r="J256">
            <v>0</v>
          </cell>
        </row>
        <row r="257">
          <cell r="B257" t="str">
            <v>1.1.04.03.04</v>
          </cell>
          <cell r="C257" t="str">
            <v>Piutang Retribusi Izin Usaha Perikanan</v>
          </cell>
          <cell r="D257">
            <v>0</v>
          </cell>
          <cell r="E257">
            <v>0</v>
          </cell>
          <cell r="F257">
            <v>0</v>
          </cell>
          <cell r="G257">
            <v>0</v>
          </cell>
          <cell r="H257">
            <v>0</v>
          </cell>
          <cell r="I257">
            <v>0</v>
          </cell>
          <cell r="J257">
            <v>0</v>
          </cell>
        </row>
        <row r="258">
          <cell r="B258" t="str">
            <v>1.1.04.03.05</v>
          </cell>
          <cell r="C258" t="str">
            <v>Piutang Retribusi Pengendalian Lalu Lintas</v>
          </cell>
          <cell r="D258">
            <v>0</v>
          </cell>
          <cell r="E258">
            <v>0</v>
          </cell>
          <cell r="F258">
            <v>0</v>
          </cell>
          <cell r="G258">
            <v>0</v>
          </cell>
          <cell r="H258">
            <v>0</v>
          </cell>
          <cell r="I258">
            <v>0</v>
          </cell>
          <cell r="J258">
            <v>0</v>
          </cell>
        </row>
        <row r="259">
          <cell r="B259" t="str">
            <v>1.1.04.03.06</v>
          </cell>
          <cell r="C259" t="str">
            <v>Piutang Retribusi Perpanjangan Izin Mempekerjakan Tenaga Kerja Asing (IMTA)</v>
          </cell>
          <cell r="D259">
            <v>0</v>
          </cell>
          <cell r="E259">
            <v>0</v>
          </cell>
          <cell r="F259">
            <v>0</v>
          </cell>
          <cell r="G259">
            <v>0</v>
          </cell>
          <cell r="H259">
            <v>0</v>
          </cell>
          <cell r="I259">
            <v>0</v>
          </cell>
          <cell r="J259">
            <v>0</v>
          </cell>
        </row>
        <row r="260">
          <cell r="B260" t="str">
            <v>1.1.04.03.07</v>
          </cell>
          <cell r="C260" t="str">
            <v>Piutang Retribusi Persetujuan Bangunan Gedung</v>
          </cell>
          <cell r="D260">
            <v>3260000</v>
          </cell>
          <cell r="E260">
            <v>3260000</v>
          </cell>
          <cell r="F260">
            <v>0</v>
          </cell>
          <cell r="G260">
            <v>0</v>
          </cell>
          <cell r="H260">
            <v>0</v>
          </cell>
          <cell r="I260">
            <v>0</v>
          </cell>
          <cell r="J260">
            <v>3260000</v>
          </cell>
        </row>
        <row r="261">
          <cell r="B261" t="str">
            <v>1.1.04.03.08</v>
          </cell>
          <cell r="C261" t="str">
            <v>Piutang Retribusi Penggunaan Tenaga Kerja Asing (TKA)</v>
          </cell>
          <cell r="D261">
            <v>0</v>
          </cell>
          <cell r="E261">
            <v>0</v>
          </cell>
          <cell r="F261">
            <v>0</v>
          </cell>
          <cell r="G261">
            <v>0</v>
          </cell>
          <cell r="H261">
            <v>0</v>
          </cell>
          <cell r="I261">
            <v>0</v>
          </cell>
          <cell r="J261">
            <v>0</v>
          </cell>
        </row>
        <row r="262">
          <cell r="B262" t="str">
            <v>1.1.04.03.09</v>
          </cell>
          <cell r="C262" t="str">
            <v>Piutang Retribusi Pertambangan Rakyat</v>
          </cell>
          <cell r="D262">
            <v>0</v>
          </cell>
          <cell r="E262">
            <v>0</v>
          </cell>
          <cell r="F262">
            <v>0</v>
          </cell>
          <cell r="G262">
            <v>0</v>
          </cell>
          <cell r="H262">
            <v>0</v>
          </cell>
          <cell r="I262">
            <v>0</v>
          </cell>
          <cell r="J262">
            <v>0</v>
          </cell>
        </row>
        <row r="263">
          <cell r="B263"/>
          <cell r="C263"/>
          <cell r="D263"/>
          <cell r="E263"/>
          <cell r="F263"/>
          <cell r="G263"/>
          <cell r="H263"/>
          <cell r="I263"/>
          <cell r="J263"/>
        </row>
        <row r="264">
          <cell r="B264" t="str">
            <v>1.1.05</v>
          </cell>
          <cell r="C264" t="str">
            <v>Piutang Hasil Pengelolaan Kekayaan Daerah yang Dipisahkan</v>
          </cell>
          <cell r="D264">
            <v>0</v>
          </cell>
          <cell r="E264">
            <v>0</v>
          </cell>
          <cell r="F264"/>
          <cell r="G264"/>
          <cell r="H264"/>
          <cell r="I264"/>
          <cell r="J264">
            <v>0</v>
          </cell>
        </row>
        <row r="265">
          <cell r="B265" t="str">
            <v>1.1.05.01</v>
          </cell>
          <cell r="C265" t="str">
            <v>Piutang Bagian Laba yang Dibagikan kepada Pemerintah Daerah (Dividen) atas Penyertaan Modal pada BUMN</v>
          </cell>
          <cell r="D265">
            <v>0</v>
          </cell>
          <cell r="E265">
            <v>0</v>
          </cell>
          <cell r="F265"/>
          <cell r="G265"/>
          <cell r="H265"/>
          <cell r="I265"/>
          <cell r="J265">
            <v>0</v>
          </cell>
        </row>
        <row r="266">
          <cell r="B266" t="str">
            <v>1.1.05.01.01</v>
          </cell>
          <cell r="C266" t="str">
            <v>Piutang Bagian Laba yang Dibagikan kepada Pemerintah Daerah (Dividen) atas Penyertaan Modal pada BUMN</v>
          </cell>
          <cell r="D266">
            <v>0</v>
          </cell>
          <cell r="E266">
            <v>0</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F267"/>
          <cell r="G267"/>
          <cell r="H267"/>
          <cell r="I267"/>
          <cell r="J267">
            <v>0</v>
          </cell>
        </row>
        <row r="268">
          <cell r="B268" t="str">
            <v>1.1.05.02.01</v>
          </cell>
          <cell r="C268" t="str">
            <v>Piutang Bagian Laba yang Dibagikan kepada Pemerintah Daerah (Dividen) atas Penyertaan Modal pada BUMD (Lembaga Keuangan)</v>
          </cell>
          <cell r="D268">
            <v>0</v>
          </cell>
          <cell r="E268">
            <v>0</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0</v>
          </cell>
          <cell r="E269">
            <v>0</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D270">
            <v>0</v>
          </cell>
          <cell r="E270">
            <v>0</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D271">
            <v>0</v>
          </cell>
          <cell r="E271">
            <v>0</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D272">
            <v>0</v>
          </cell>
          <cell r="E272">
            <v>0</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F273"/>
          <cell r="G273"/>
          <cell r="H273"/>
          <cell r="I273"/>
          <cell r="J273">
            <v>0</v>
          </cell>
        </row>
        <row r="274">
          <cell r="B274" t="str">
            <v>1.1.05.03.01</v>
          </cell>
          <cell r="C274" t="str">
            <v>Piutang Bagian Laba yang Dibagikan kepada Pemerintah Daerah (Dividen) atas Penyertaan Modal pada Perusahaan Milik Swasta</v>
          </cell>
          <cell r="D274">
            <v>0</v>
          </cell>
          <cell r="E274">
            <v>0</v>
          </cell>
          <cell r="F274">
            <v>0</v>
          </cell>
          <cell r="G274">
            <v>0</v>
          </cell>
          <cell r="H274">
            <v>0</v>
          </cell>
          <cell r="I274">
            <v>0</v>
          </cell>
          <cell r="J274">
            <v>0</v>
          </cell>
        </row>
        <row r="275">
          <cell r="B275"/>
          <cell r="C275"/>
          <cell r="D275"/>
          <cell r="E275"/>
          <cell r="F275"/>
          <cell r="G275"/>
          <cell r="H275"/>
          <cell r="I275"/>
          <cell r="J275"/>
        </row>
        <row r="276">
          <cell r="B276" t="str">
            <v>1.1.06</v>
          </cell>
          <cell r="C276" t="str">
            <v>Piutang Lain-lain PAD yang Sah</v>
          </cell>
          <cell r="D276">
            <v>7927346876.3699999</v>
          </cell>
          <cell r="E276">
            <v>6011724372.3699999</v>
          </cell>
          <cell r="F276"/>
          <cell r="G276"/>
          <cell r="H276"/>
          <cell r="I276"/>
          <cell r="J276">
            <v>1558666564.3699999</v>
          </cell>
        </row>
        <row r="277">
          <cell r="B277" t="str">
            <v>1.1.06.01</v>
          </cell>
          <cell r="C277" t="str">
            <v>Piutang Hasil Penjualan BMD yang Tidak Dipisahkan</v>
          </cell>
          <cell r="D277">
            <v>0</v>
          </cell>
          <cell r="E277">
            <v>0</v>
          </cell>
          <cell r="F277"/>
          <cell r="G277"/>
          <cell r="H277"/>
          <cell r="I277"/>
          <cell r="J277">
            <v>0</v>
          </cell>
        </row>
        <row r="278">
          <cell r="B278" t="str">
            <v>1.1.06.01.01</v>
          </cell>
          <cell r="C278" t="str">
            <v>Piutang Hasil Penjualan Tanah</v>
          </cell>
          <cell r="D278">
            <v>0</v>
          </cell>
          <cell r="E278">
            <v>0</v>
          </cell>
          <cell r="F278">
            <v>0</v>
          </cell>
          <cell r="G278">
            <v>0</v>
          </cell>
          <cell r="H278">
            <v>0</v>
          </cell>
          <cell r="I278">
            <v>0</v>
          </cell>
          <cell r="J278">
            <v>0</v>
          </cell>
        </row>
        <row r="279">
          <cell r="B279" t="str">
            <v>1.1.06.01.02</v>
          </cell>
          <cell r="C279" t="str">
            <v>Piutang Hasil Penjualan Peralatan dan Mesin</v>
          </cell>
          <cell r="D279">
            <v>0</v>
          </cell>
          <cell r="E279">
            <v>0</v>
          </cell>
          <cell r="F279">
            <v>0</v>
          </cell>
          <cell r="G279">
            <v>0</v>
          </cell>
          <cell r="H279">
            <v>0</v>
          </cell>
          <cell r="I279">
            <v>0</v>
          </cell>
          <cell r="J279">
            <v>0</v>
          </cell>
        </row>
        <row r="280">
          <cell r="B280" t="str">
            <v>1.1.06.01.03</v>
          </cell>
          <cell r="C280" t="str">
            <v>Piutang Hasil Penjualan Gedung dan Bangunan</v>
          </cell>
          <cell r="D280">
            <v>0</v>
          </cell>
          <cell r="E280">
            <v>0</v>
          </cell>
          <cell r="F280">
            <v>0</v>
          </cell>
          <cell r="G280">
            <v>0</v>
          </cell>
          <cell r="H280">
            <v>0</v>
          </cell>
          <cell r="I280">
            <v>0</v>
          </cell>
          <cell r="J280">
            <v>0</v>
          </cell>
        </row>
        <row r="281">
          <cell r="B281" t="str">
            <v>1.1.06.01.04</v>
          </cell>
          <cell r="C281" t="str">
            <v>Piutang Hasil Penjualan Jalan, Jaringan, dan Irigasi</v>
          </cell>
          <cell r="D281">
            <v>0</v>
          </cell>
          <cell r="E281">
            <v>0</v>
          </cell>
          <cell r="F281">
            <v>0</v>
          </cell>
          <cell r="G281">
            <v>0</v>
          </cell>
          <cell r="H281">
            <v>0</v>
          </cell>
          <cell r="I281">
            <v>0</v>
          </cell>
          <cell r="J281">
            <v>0</v>
          </cell>
        </row>
        <row r="282">
          <cell r="B282" t="str">
            <v>1.1.06.01.05</v>
          </cell>
          <cell r="C282" t="str">
            <v>Piutang Hasil Penjualan Aset Tetap Lainnya</v>
          </cell>
          <cell r="D282">
            <v>0</v>
          </cell>
          <cell r="E282">
            <v>0</v>
          </cell>
          <cell r="F282">
            <v>0</v>
          </cell>
          <cell r="G282">
            <v>0</v>
          </cell>
          <cell r="H282">
            <v>0</v>
          </cell>
          <cell r="I282">
            <v>0</v>
          </cell>
          <cell r="J282">
            <v>0</v>
          </cell>
        </row>
        <row r="283">
          <cell r="B283" t="str">
            <v>1.1.06.01.06</v>
          </cell>
          <cell r="C283" t="str">
            <v>Piutang Hasil Penjualan Aset Lainnya</v>
          </cell>
          <cell r="D283">
            <v>0</v>
          </cell>
          <cell r="E283">
            <v>0</v>
          </cell>
          <cell r="F283">
            <v>0</v>
          </cell>
          <cell r="G283">
            <v>0</v>
          </cell>
          <cell r="H283">
            <v>0</v>
          </cell>
          <cell r="I283">
            <v>0</v>
          </cell>
          <cell r="J283">
            <v>0</v>
          </cell>
        </row>
        <row r="284">
          <cell r="B284" t="str">
            <v>1.1.06.01.07</v>
          </cell>
          <cell r="C284" t="str">
            <v>Piutang Hasil Penjualan Aset Tidak Berwujud</v>
          </cell>
          <cell r="D284">
            <v>0</v>
          </cell>
          <cell r="E284">
            <v>0</v>
          </cell>
          <cell r="F284">
            <v>0</v>
          </cell>
          <cell r="G284">
            <v>0</v>
          </cell>
          <cell r="H284">
            <v>0</v>
          </cell>
          <cell r="I284">
            <v>0</v>
          </cell>
          <cell r="J284">
            <v>0</v>
          </cell>
        </row>
        <row r="285">
          <cell r="B285" t="str">
            <v>1.1.06.01.08</v>
          </cell>
          <cell r="C285" t="str">
            <v>Piutang Hasil Penjualan Aset Lain-Lain</v>
          </cell>
          <cell r="D285">
            <v>0</v>
          </cell>
          <cell r="E285">
            <v>0</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F286"/>
          <cell r="G286"/>
          <cell r="H286"/>
          <cell r="I286"/>
          <cell r="J286">
            <v>0</v>
          </cell>
        </row>
        <row r="287">
          <cell r="B287" t="str">
            <v>1.1.06.02.01</v>
          </cell>
          <cell r="C287" t="str">
            <v>Piutang Hasil Selisih Lebih Tukar Menukar Tanah</v>
          </cell>
          <cell r="D287">
            <v>0</v>
          </cell>
          <cell r="E287">
            <v>0</v>
          </cell>
          <cell r="F287">
            <v>0</v>
          </cell>
          <cell r="G287">
            <v>0</v>
          </cell>
          <cell r="H287">
            <v>0</v>
          </cell>
          <cell r="I287">
            <v>0</v>
          </cell>
          <cell r="J287">
            <v>0</v>
          </cell>
        </row>
        <row r="288">
          <cell r="B288" t="str">
            <v>1.1.06.02.02</v>
          </cell>
          <cell r="C288" t="str">
            <v>Piutang Hasil Selisih Lebih Tukar Menukar Peralatan dan Mesin</v>
          </cell>
          <cell r="D288">
            <v>0</v>
          </cell>
          <cell r="E288">
            <v>0</v>
          </cell>
          <cell r="F288">
            <v>0</v>
          </cell>
          <cell r="G288">
            <v>0</v>
          </cell>
          <cell r="H288">
            <v>0</v>
          </cell>
          <cell r="I288">
            <v>0</v>
          </cell>
          <cell r="J288">
            <v>0</v>
          </cell>
        </row>
        <row r="289">
          <cell r="B289" t="str">
            <v>1.1.06.02.03</v>
          </cell>
          <cell r="C289" t="str">
            <v>Piutang Hasil Selisih Lebih Tukar Menukar Gedung dan Bangunan</v>
          </cell>
          <cell r="D289">
            <v>0</v>
          </cell>
          <cell r="E289">
            <v>0</v>
          </cell>
          <cell r="F289">
            <v>0</v>
          </cell>
          <cell r="G289">
            <v>0</v>
          </cell>
          <cell r="H289">
            <v>0</v>
          </cell>
          <cell r="I289">
            <v>0</v>
          </cell>
          <cell r="J289">
            <v>0</v>
          </cell>
        </row>
        <row r="290">
          <cell r="B290" t="str">
            <v>1.1.06.02.04</v>
          </cell>
          <cell r="C290" t="str">
            <v>Piutang Hasil Selisih Lebih Tukar Menukar Jalan, Jaringan, dan Irigasi</v>
          </cell>
          <cell r="D290">
            <v>0</v>
          </cell>
          <cell r="E290">
            <v>0</v>
          </cell>
          <cell r="F290">
            <v>0</v>
          </cell>
          <cell r="G290">
            <v>0</v>
          </cell>
          <cell r="H290">
            <v>0</v>
          </cell>
          <cell r="I290">
            <v>0</v>
          </cell>
          <cell r="J290">
            <v>0</v>
          </cell>
        </row>
        <row r="291">
          <cell r="B291" t="str">
            <v>1.1.06.02.05</v>
          </cell>
          <cell r="C291" t="str">
            <v>Piutang Hasil Selisih Lebih Tukar Menukar Aset Tetap Lainnya</v>
          </cell>
          <cell r="D291">
            <v>0</v>
          </cell>
          <cell r="E291">
            <v>0</v>
          </cell>
          <cell r="F291">
            <v>0</v>
          </cell>
          <cell r="G291">
            <v>0</v>
          </cell>
          <cell r="H291">
            <v>0</v>
          </cell>
          <cell r="I291">
            <v>0</v>
          </cell>
          <cell r="J291">
            <v>0</v>
          </cell>
        </row>
        <row r="292">
          <cell r="B292" t="str">
            <v>1.1.06.02.06</v>
          </cell>
          <cell r="C292" t="str">
            <v>Piutang Hasil Selisih Lebih Tukar Menukar Aset Lainnya</v>
          </cell>
          <cell r="D292">
            <v>0</v>
          </cell>
          <cell r="E292">
            <v>0</v>
          </cell>
          <cell r="F292">
            <v>0</v>
          </cell>
          <cell r="G292">
            <v>0</v>
          </cell>
          <cell r="H292">
            <v>0</v>
          </cell>
          <cell r="I292">
            <v>0</v>
          </cell>
          <cell r="J292">
            <v>0</v>
          </cell>
        </row>
        <row r="293">
          <cell r="B293" t="str">
            <v>1.1.06.02.07</v>
          </cell>
          <cell r="C293" t="str">
            <v>Piutang Hasil Selisih Lebih Tukar Menukar Aset Tidak Berwujud</v>
          </cell>
          <cell r="D293">
            <v>0</v>
          </cell>
          <cell r="E293">
            <v>0</v>
          </cell>
          <cell r="F293">
            <v>0</v>
          </cell>
          <cell r="G293">
            <v>0</v>
          </cell>
          <cell r="H293">
            <v>0</v>
          </cell>
          <cell r="I293">
            <v>0</v>
          </cell>
          <cell r="J293">
            <v>0</v>
          </cell>
        </row>
        <row r="294">
          <cell r="B294" t="str">
            <v>1.1.06.02.08</v>
          </cell>
          <cell r="C294" t="str">
            <v>Piutang Hasil Selisih Lebih Tukar Menukar Aset Lain-Lain</v>
          </cell>
          <cell r="D294">
            <v>0</v>
          </cell>
          <cell r="E294">
            <v>0</v>
          </cell>
          <cell r="F294">
            <v>0</v>
          </cell>
          <cell r="G294">
            <v>0</v>
          </cell>
          <cell r="H294">
            <v>0</v>
          </cell>
          <cell r="I294">
            <v>0</v>
          </cell>
          <cell r="J294">
            <v>0</v>
          </cell>
        </row>
        <row r="295">
          <cell r="B295" t="str">
            <v>1.1.06.03</v>
          </cell>
          <cell r="C295" t="str">
            <v>Piutang Hasil Pemanfaatan BMD yang Tidak Dipisahkan</v>
          </cell>
          <cell r="D295">
            <v>0</v>
          </cell>
          <cell r="E295">
            <v>0</v>
          </cell>
          <cell r="F295"/>
          <cell r="G295"/>
          <cell r="H295"/>
          <cell r="I295"/>
          <cell r="J295">
            <v>0</v>
          </cell>
        </row>
        <row r="296">
          <cell r="B296" t="str">
            <v>1.1.06.03.01</v>
          </cell>
          <cell r="C296" t="str">
            <v>Piutang Hasil Sewa BMD</v>
          </cell>
          <cell r="D296">
            <v>0</v>
          </cell>
          <cell r="E296">
            <v>0</v>
          </cell>
          <cell r="F296">
            <v>0</v>
          </cell>
          <cell r="G296">
            <v>0</v>
          </cell>
          <cell r="H296">
            <v>0</v>
          </cell>
          <cell r="I296">
            <v>0</v>
          </cell>
          <cell r="J296">
            <v>0</v>
          </cell>
        </row>
        <row r="297">
          <cell r="B297" t="str">
            <v>1.1.06.03.02</v>
          </cell>
          <cell r="C297" t="str">
            <v>Piutang Hasil Kerja Sama Pemanfaatan BMD</v>
          </cell>
          <cell r="D297">
            <v>0</v>
          </cell>
          <cell r="E297">
            <v>0</v>
          </cell>
          <cell r="F297">
            <v>0</v>
          </cell>
          <cell r="G297">
            <v>0</v>
          </cell>
          <cell r="H297">
            <v>0</v>
          </cell>
          <cell r="I297">
            <v>0</v>
          </cell>
          <cell r="J297">
            <v>0</v>
          </cell>
        </row>
        <row r="298">
          <cell r="B298" t="str">
            <v>1.1.06.03.03</v>
          </cell>
          <cell r="C298" t="str">
            <v>Piutang Hasil dari Bangun Guna Serah</v>
          </cell>
          <cell r="D298">
            <v>0</v>
          </cell>
          <cell r="E298">
            <v>0</v>
          </cell>
          <cell r="F298">
            <v>0</v>
          </cell>
          <cell r="G298">
            <v>0</v>
          </cell>
          <cell r="H298">
            <v>0</v>
          </cell>
          <cell r="I298">
            <v>0</v>
          </cell>
          <cell r="J298">
            <v>0</v>
          </cell>
        </row>
        <row r="299">
          <cell r="B299" t="str">
            <v>1.1.06.03.04</v>
          </cell>
          <cell r="C299" t="str">
            <v>Piutang Hasil dari Bangun Serah Guna</v>
          </cell>
          <cell r="D299">
            <v>0</v>
          </cell>
          <cell r="E299">
            <v>0</v>
          </cell>
          <cell r="F299">
            <v>0</v>
          </cell>
          <cell r="G299">
            <v>0</v>
          </cell>
          <cell r="H299">
            <v>0</v>
          </cell>
          <cell r="I299">
            <v>0</v>
          </cell>
          <cell r="J299">
            <v>0</v>
          </cell>
        </row>
        <row r="300">
          <cell r="B300" t="str">
            <v>1.1.06.03.05</v>
          </cell>
          <cell r="C300" t="str">
            <v>Piutang Hasil dari Kerja Sama Penyediaan Infrastruktur</v>
          </cell>
          <cell r="D300">
            <v>0</v>
          </cell>
          <cell r="E300">
            <v>0</v>
          </cell>
          <cell r="F300">
            <v>0</v>
          </cell>
          <cell r="G300">
            <v>0</v>
          </cell>
          <cell r="H300">
            <v>0</v>
          </cell>
          <cell r="I300">
            <v>0</v>
          </cell>
          <cell r="J300">
            <v>0</v>
          </cell>
        </row>
        <row r="301">
          <cell r="B301" t="str">
            <v>1.1.06.04</v>
          </cell>
          <cell r="C301" t="str">
            <v>Piutang Hasil Kerja Sama Daerah</v>
          </cell>
          <cell r="D301">
            <v>0</v>
          </cell>
          <cell r="E301">
            <v>0</v>
          </cell>
          <cell r="F301"/>
          <cell r="G301"/>
          <cell r="H301"/>
          <cell r="I301"/>
          <cell r="J301">
            <v>0</v>
          </cell>
        </row>
        <row r="302">
          <cell r="B302" t="str">
            <v>1.1.06.04.01</v>
          </cell>
          <cell r="C302" t="str">
            <v>Piutang Hasil Kerja Sama Daerah</v>
          </cell>
          <cell r="D302">
            <v>0</v>
          </cell>
          <cell r="E302">
            <v>0</v>
          </cell>
          <cell r="F302">
            <v>0</v>
          </cell>
          <cell r="G302">
            <v>0</v>
          </cell>
          <cell r="H302">
            <v>0</v>
          </cell>
          <cell r="I302">
            <v>0</v>
          </cell>
          <cell r="J302">
            <v>0</v>
          </cell>
        </row>
        <row r="303">
          <cell r="B303" t="str">
            <v>1.1.06.05</v>
          </cell>
          <cell r="C303" t="str">
            <v>Piutang Pendapatan Jasa Giro</v>
          </cell>
          <cell r="D303">
            <v>0</v>
          </cell>
          <cell r="E303">
            <v>0</v>
          </cell>
          <cell r="F303"/>
          <cell r="G303"/>
          <cell r="H303"/>
          <cell r="I303"/>
          <cell r="J303">
            <v>0</v>
          </cell>
        </row>
        <row r="304">
          <cell r="B304" t="str">
            <v>1.1.06.05.01</v>
          </cell>
          <cell r="C304" t="str">
            <v>Piutang Jasa Giro pada Kas Daerah</v>
          </cell>
          <cell r="D304">
            <v>0</v>
          </cell>
          <cell r="E304">
            <v>0</v>
          </cell>
          <cell r="F304">
            <v>0</v>
          </cell>
          <cell r="G304">
            <v>0</v>
          </cell>
          <cell r="H304">
            <v>0</v>
          </cell>
          <cell r="I304">
            <v>0</v>
          </cell>
          <cell r="J304">
            <v>0</v>
          </cell>
        </row>
        <row r="305">
          <cell r="B305" t="str">
            <v>1.1.06.05.02</v>
          </cell>
          <cell r="C305" t="str">
            <v>Piutang Jasa Giro pada Kas di Bendahara</v>
          </cell>
          <cell r="D305">
            <v>0</v>
          </cell>
          <cell r="E305">
            <v>0</v>
          </cell>
          <cell r="F305">
            <v>0</v>
          </cell>
          <cell r="G305">
            <v>0</v>
          </cell>
          <cell r="H305">
            <v>0</v>
          </cell>
          <cell r="I305">
            <v>0</v>
          </cell>
          <cell r="J305">
            <v>0</v>
          </cell>
        </row>
        <row r="306">
          <cell r="B306" t="str">
            <v>1.1.06.05.03</v>
          </cell>
          <cell r="C306" t="str">
            <v>Piutang Jasa Giro pada Rekening Dana Cadangan</v>
          </cell>
          <cell r="D306">
            <v>0</v>
          </cell>
          <cell r="E306">
            <v>0</v>
          </cell>
          <cell r="F306">
            <v>0</v>
          </cell>
          <cell r="G306">
            <v>0</v>
          </cell>
          <cell r="H306">
            <v>0</v>
          </cell>
          <cell r="I306">
            <v>0</v>
          </cell>
          <cell r="J306">
            <v>0</v>
          </cell>
        </row>
        <row r="307">
          <cell r="B307" t="str">
            <v>1.1.06.05.04</v>
          </cell>
          <cell r="C307" t="str">
            <v>Piutang Jasa Giro pada Rekening Dana BOS</v>
          </cell>
          <cell r="D307">
            <v>0</v>
          </cell>
          <cell r="E307">
            <v>0</v>
          </cell>
          <cell r="F307">
            <v>0</v>
          </cell>
          <cell r="G307">
            <v>0</v>
          </cell>
          <cell r="H307">
            <v>0</v>
          </cell>
          <cell r="I307">
            <v>0</v>
          </cell>
          <cell r="J307">
            <v>0</v>
          </cell>
        </row>
        <row r="308">
          <cell r="B308" t="str">
            <v>1.1.06.05.05</v>
          </cell>
          <cell r="C308" t="str">
            <v>Piutang Jasa Giro Dana Kapitasi pada FKTP</v>
          </cell>
          <cell r="D308">
            <v>0</v>
          </cell>
          <cell r="E308">
            <v>0</v>
          </cell>
          <cell r="F308">
            <v>0</v>
          </cell>
          <cell r="G308">
            <v>0</v>
          </cell>
          <cell r="H308">
            <v>0</v>
          </cell>
          <cell r="I308">
            <v>0</v>
          </cell>
          <cell r="J308">
            <v>0</v>
          </cell>
        </row>
        <row r="309">
          <cell r="B309" t="str">
            <v>1.1.06.05.06</v>
          </cell>
          <cell r="C309" t="str">
            <v>Piutang Pendapatan Jasa Giro pada Rekening Dana BOSP</v>
          </cell>
          <cell r="D309">
            <v>0</v>
          </cell>
          <cell r="E309">
            <v>0</v>
          </cell>
          <cell r="F309">
            <v>0</v>
          </cell>
          <cell r="G309">
            <v>0</v>
          </cell>
          <cell r="H309">
            <v>0</v>
          </cell>
          <cell r="I309">
            <v>0</v>
          </cell>
          <cell r="J309">
            <v>0</v>
          </cell>
        </row>
        <row r="310">
          <cell r="B310" t="str">
            <v>1.1.06.05.07</v>
          </cell>
          <cell r="C310" t="str">
            <v>Piutang Pendapatan Jasa Giro pada Rekening Dana BOK Puskesmas</v>
          </cell>
          <cell r="D310">
            <v>0</v>
          </cell>
          <cell r="E310">
            <v>0</v>
          </cell>
          <cell r="F310">
            <v>0</v>
          </cell>
          <cell r="G310">
            <v>0</v>
          </cell>
          <cell r="H310">
            <v>0</v>
          </cell>
          <cell r="I310">
            <v>0</v>
          </cell>
          <cell r="J310">
            <v>0</v>
          </cell>
        </row>
        <row r="311">
          <cell r="B311" t="str">
            <v>1.1.06.05.08</v>
          </cell>
          <cell r="C311" t="str">
            <v>Piutang Jasa Giro pada Rekening Kas Otonomi Khusus</v>
          </cell>
          <cell r="D311">
            <v>0</v>
          </cell>
          <cell r="E311">
            <v>0</v>
          </cell>
          <cell r="F311">
            <v>0</v>
          </cell>
          <cell r="G311">
            <v>0</v>
          </cell>
          <cell r="H311">
            <v>0</v>
          </cell>
          <cell r="I311">
            <v>0</v>
          </cell>
          <cell r="J311">
            <v>0</v>
          </cell>
        </row>
        <row r="312">
          <cell r="B312" t="str">
            <v>1.1.06.05.09</v>
          </cell>
          <cell r="C312" t="str">
            <v>Piutang Jasa Giro pada Rekening Kas Dana Abadi Daerah</v>
          </cell>
          <cell r="D312">
            <v>0</v>
          </cell>
          <cell r="E312">
            <v>0</v>
          </cell>
          <cell r="F312">
            <v>0</v>
          </cell>
          <cell r="G312">
            <v>0</v>
          </cell>
          <cell r="H312">
            <v>0</v>
          </cell>
          <cell r="I312">
            <v>0</v>
          </cell>
          <cell r="J312">
            <v>0</v>
          </cell>
        </row>
        <row r="313">
          <cell r="B313" t="str">
            <v>1.1.06.06</v>
          </cell>
          <cell r="C313" t="str">
            <v>Piutang Hasil Pengelolaan Dana Bergulir</v>
          </cell>
          <cell r="D313">
            <v>0</v>
          </cell>
          <cell r="E313">
            <v>0</v>
          </cell>
          <cell r="F313"/>
          <cell r="G313"/>
          <cell r="H313"/>
          <cell r="I313"/>
          <cell r="J313">
            <v>0</v>
          </cell>
        </row>
        <row r="314">
          <cell r="B314" t="str">
            <v>1.1.06.06.01</v>
          </cell>
          <cell r="C314" t="str">
            <v>Piutang Hasil Pengelolaan Dana Bergulir</v>
          </cell>
          <cell r="D314">
            <v>0</v>
          </cell>
          <cell r="E314">
            <v>0</v>
          </cell>
          <cell r="F314">
            <v>0</v>
          </cell>
          <cell r="G314">
            <v>0</v>
          </cell>
          <cell r="H314">
            <v>0</v>
          </cell>
          <cell r="I314">
            <v>0</v>
          </cell>
          <cell r="J314">
            <v>0</v>
          </cell>
        </row>
        <row r="315">
          <cell r="B315" t="str">
            <v>1.1.06.07</v>
          </cell>
          <cell r="C315" t="str">
            <v>Piutang Pendapatan Bunga</v>
          </cell>
          <cell r="D315">
            <v>464066034.29000002</v>
          </cell>
          <cell r="E315">
            <v>446947529.29000002</v>
          </cell>
          <cell r="F315"/>
          <cell r="G315"/>
          <cell r="H315"/>
          <cell r="I315"/>
          <cell r="J315">
            <v>446947529.29000002</v>
          </cell>
        </row>
        <row r="316">
          <cell r="B316" t="str">
            <v>1.1.06.07.01</v>
          </cell>
          <cell r="C316" t="str">
            <v>Piutang Pendapatan Bunga atas Penempatan Uang Pemerintah Daerah</v>
          </cell>
          <cell r="D316">
            <v>464066034.29000002</v>
          </cell>
          <cell r="E316">
            <v>446947529.29000002</v>
          </cell>
          <cell r="F316">
            <v>0</v>
          </cell>
          <cell r="G316">
            <v>0</v>
          </cell>
          <cell r="H316">
            <v>0</v>
          </cell>
          <cell r="I316">
            <v>0</v>
          </cell>
          <cell r="J316">
            <v>446947529.29000002</v>
          </cell>
        </row>
        <row r="317">
          <cell r="B317" t="str">
            <v>1.1.06.08</v>
          </cell>
          <cell r="C317" t="str">
            <v>Piutang Penerimaan atas Tuntutan Ganti Kerugian Keuangan Daerah</v>
          </cell>
          <cell r="D317">
            <v>0</v>
          </cell>
          <cell r="E317">
            <v>0</v>
          </cell>
          <cell r="F317"/>
          <cell r="G317"/>
          <cell r="H317"/>
          <cell r="I317"/>
          <cell r="J317">
            <v>0</v>
          </cell>
        </row>
        <row r="318">
          <cell r="B318" t="str">
            <v>1.1.06.08.01</v>
          </cell>
          <cell r="C318" t="str">
            <v>Piutang Tuntutan Ganti Kerugian Daerah Terhadap Bendahara</v>
          </cell>
          <cell r="D318">
            <v>0</v>
          </cell>
          <cell r="E318">
            <v>0</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0</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F320"/>
          <cell r="G320"/>
          <cell r="H320"/>
          <cell r="I320"/>
          <cell r="J320">
            <v>0</v>
          </cell>
        </row>
        <row r="321">
          <cell r="B321" t="str">
            <v>1.1.06.09.01</v>
          </cell>
          <cell r="C321" t="str">
            <v>Piutang Penerimaan Komisi, Potongan, atau Bentuk Lain</v>
          </cell>
          <cell r="D321">
            <v>0</v>
          </cell>
          <cell r="E321">
            <v>0</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F322"/>
          <cell r="G322"/>
          <cell r="H322"/>
          <cell r="I322"/>
          <cell r="J322">
            <v>0</v>
          </cell>
        </row>
        <row r="323">
          <cell r="B323" t="str">
            <v>1.1.06.10.01</v>
          </cell>
          <cell r="C323" t="str">
            <v>Piutang Penerimaan Keuntungan dari Selisih Nilai Tukar Rupiah terhadap Mata Uang Asing</v>
          </cell>
          <cell r="D323">
            <v>0</v>
          </cell>
          <cell r="E323">
            <v>0</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F324"/>
          <cell r="G324"/>
          <cell r="H324"/>
          <cell r="I324"/>
          <cell r="J324">
            <v>0</v>
          </cell>
        </row>
        <row r="325">
          <cell r="B325" t="str">
            <v>1.1.06.11.01</v>
          </cell>
          <cell r="C325" t="str">
            <v>Piutang Pendapatan Denda atas Keterlambatan Pelaksanaan Pekerjaan</v>
          </cell>
          <cell r="D325">
            <v>0</v>
          </cell>
          <cell r="E325">
            <v>0</v>
          </cell>
          <cell r="F325">
            <v>0</v>
          </cell>
          <cell r="G325">
            <v>0</v>
          </cell>
          <cell r="H325">
            <v>0</v>
          </cell>
          <cell r="I325">
            <v>0</v>
          </cell>
          <cell r="J325">
            <v>0</v>
          </cell>
        </row>
        <row r="326">
          <cell r="B326" t="str">
            <v>1.1.06.12</v>
          </cell>
          <cell r="C326" t="str">
            <v>Piutang Pendapatan Denda Pajak Daerah</v>
          </cell>
          <cell r="D326">
            <v>979275150.07999992</v>
          </cell>
          <cell r="E326">
            <v>979275150.07999992</v>
          </cell>
          <cell r="F326"/>
          <cell r="G326"/>
          <cell r="H326"/>
          <cell r="I326"/>
          <cell r="J326">
            <v>979275150.07999992</v>
          </cell>
        </row>
        <row r="327">
          <cell r="B327" t="str">
            <v>1.1.06.12.01</v>
          </cell>
          <cell r="C327" t="str">
            <v>Piutang Pendapatan Denda Pajak Kendaraan Bermotor (PKB)</v>
          </cell>
          <cell r="D327">
            <v>0</v>
          </cell>
          <cell r="E327">
            <v>0</v>
          </cell>
          <cell r="F327">
            <v>0</v>
          </cell>
          <cell r="G327">
            <v>0</v>
          </cell>
          <cell r="H327">
            <v>0</v>
          </cell>
          <cell r="I327">
            <v>0</v>
          </cell>
          <cell r="J327">
            <v>0</v>
          </cell>
        </row>
        <row r="328">
          <cell r="B328" t="str">
            <v>1.1.06.12.02</v>
          </cell>
          <cell r="C328" t="str">
            <v>Piutang Pendapatan Denda Bea Balik Nama Kendaraan Bermotor (BBNKB)</v>
          </cell>
          <cell r="D328">
            <v>0</v>
          </cell>
          <cell r="E328">
            <v>0</v>
          </cell>
          <cell r="F328">
            <v>0</v>
          </cell>
          <cell r="G328">
            <v>0</v>
          </cell>
          <cell r="H328">
            <v>0</v>
          </cell>
          <cell r="I328">
            <v>0</v>
          </cell>
          <cell r="J328">
            <v>0</v>
          </cell>
        </row>
        <row r="329">
          <cell r="B329" t="str">
            <v>1.1.06.12.03</v>
          </cell>
          <cell r="C329" t="str">
            <v>Piutang Pendapatan Denda Pajak Bahan Bakar Kendaraan Bermotor (PBBKB)</v>
          </cell>
          <cell r="D329">
            <v>0</v>
          </cell>
          <cell r="E329">
            <v>0</v>
          </cell>
          <cell r="F329">
            <v>0</v>
          </cell>
          <cell r="G329">
            <v>0</v>
          </cell>
          <cell r="H329">
            <v>0</v>
          </cell>
          <cell r="I329">
            <v>0</v>
          </cell>
          <cell r="J329">
            <v>0</v>
          </cell>
        </row>
        <row r="330">
          <cell r="B330" t="str">
            <v>1.1.06.12.04</v>
          </cell>
          <cell r="C330" t="str">
            <v>Piutang Pendapatan Denda Pajak Air Permukaan</v>
          </cell>
          <cell r="D330">
            <v>0</v>
          </cell>
          <cell r="E330">
            <v>0</v>
          </cell>
          <cell r="F330">
            <v>0</v>
          </cell>
          <cell r="G330">
            <v>0</v>
          </cell>
          <cell r="H330">
            <v>0</v>
          </cell>
          <cell r="I330">
            <v>0</v>
          </cell>
          <cell r="J330">
            <v>0</v>
          </cell>
        </row>
        <row r="331">
          <cell r="B331" t="str">
            <v>1.1.06.12.05</v>
          </cell>
          <cell r="C331" t="str">
            <v>Piutang Pendapatan Denda Pajak Rokok</v>
          </cell>
          <cell r="D331">
            <v>0</v>
          </cell>
          <cell r="E331">
            <v>0</v>
          </cell>
          <cell r="F331">
            <v>0</v>
          </cell>
          <cell r="G331">
            <v>0</v>
          </cell>
          <cell r="H331">
            <v>0</v>
          </cell>
          <cell r="I331">
            <v>0</v>
          </cell>
          <cell r="J331">
            <v>0</v>
          </cell>
        </row>
        <row r="332">
          <cell r="B332" t="str">
            <v>1.1.06.12.06</v>
          </cell>
          <cell r="C332" t="str">
            <v>Piutang Pendapatan Denda Pajak Hotel</v>
          </cell>
          <cell r="D332">
            <v>0</v>
          </cell>
          <cell r="E332">
            <v>0</v>
          </cell>
          <cell r="F332">
            <v>0</v>
          </cell>
          <cell r="G332">
            <v>0</v>
          </cell>
          <cell r="H332">
            <v>0</v>
          </cell>
          <cell r="I332">
            <v>0</v>
          </cell>
          <cell r="J332">
            <v>0</v>
          </cell>
        </row>
        <row r="333">
          <cell r="B333" t="str">
            <v>1.1.06.12.07</v>
          </cell>
          <cell r="C333" t="str">
            <v>Piutang Pendapatan Denda Pajak Restoran</v>
          </cell>
          <cell r="D333">
            <v>0</v>
          </cell>
          <cell r="E333">
            <v>0</v>
          </cell>
          <cell r="F333">
            <v>0</v>
          </cell>
          <cell r="G333">
            <v>0</v>
          </cell>
          <cell r="H333">
            <v>0</v>
          </cell>
          <cell r="I333">
            <v>0</v>
          </cell>
          <cell r="J333">
            <v>0</v>
          </cell>
        </row>
        <row r="334">
          <cell r="B334" t="str">
            <v>1.1.06.12.08</v>
          </cell>
          <cell r="C334" t="str">
            <v>Piutang Pendapatan Denda Pajak Hiburan</v>
          </cell>
          <cell r="D334">
            <v>0</v>
          </cell>
          <cell r="E334">
            <v>0</v>
          </cell>
          <cell r="F334">
            <v>0</v>
          </cell>
          <cell r="G334">
            <v>0</v>
          </cell>
          <cell r="H334">
            <v>0</v>
          </cell>
          <cell r="I334">
            <v>0</v>
          </cell>
          <cell r="J334">
            <v>0</v>
          </cell>
        </row>
        <row r="335">
          <cell r="B335" t="str">
            <v>1.1.06.12.09</v>
          </cell>
          <cell r="C335" t="str">
            <v>Piutang Pendapatan Denda Pajak Reklame</v>
          </cell>
          <cell r="D335">
            <v>0</v>
          </cell>
          <cell r="E335">
            <v>0</v>
          </cell>
          <cell r="F335">
            <v>0</v>
          </cell>
          <cell r="G335">
            <v>0</v>
          </cell>
          <cell r="H335">
            <v>0</v>
          </cell>
          <cell r="I335">
            <v>0</v>
          </cell>
          <cell r="J335">
            <v>0</v>
          </cell>
        </row>
        <row r="336">
          <cell r="B336" t="str">
            <v>1.1.06.12.10</v>
          </cell>
          <cell r="C336" t="str">
            <v>Piutang Pendapatan Denda Pajak Penerangan Jalan</v>
          </cell>
          <cell r="D336">
            <v>860293470.55999994</v>
          </cell>
          <cell r="E336">
            <v>860293470.55999994</v>
          </cell>
          <cell r="F336">
            <v>0</v>
          </cell>
          <cell r="G336">
            <v>0</v>
          </cell>
          <cell r="H336">
            <v>0</v>
          </cell>
          <cell r="I336">
            <v>0</v>
          </cell>
          <cell r="J336">
            <v>860293470.55999994</v>
          </cell>
        </row>
        <row r="337">
          <cell r="B337" t="str">
            <v>1.1.06.12.11</v>
          </cell>
          <cell r="C337" t="str">
            <v>Piutang Pendapatan Denda Pajak Parkir</v>
          </cell>
          <cell r="D337">
            <v>0</v>
          </cell>
          <cell r="E337">
            <v>0</v>
          </cell>
          <cell r="F337">
            <v>0</v>
          </cell>
          <cell r="G337">
            <v>0</v>
          </cell>
          <cell r="H337">
            <v>0</v>
          </cell>
          <cell r="I337">
            <v>0</v>
          </cell>
          <cell r="J337">
            <v>0</v>
          </cell>
        </row>
        <row r="338">
          <cell r="B338" t="str">
            <v>1.1.06.12.12</v>
          </cell>
          <cell r="C338" t="str">
            <v>Piutang Pendapatan Denda Pajak Air Tanah</v>
          </cell>
          <cell r="D338">
            <v>118981679.52</v>
          </cell>
          <cell r="E338">
            <v>118981679.52</v>
          </cell>
          <cell r="F338">
            <v>0</v>
          </cell>
          <cell r="G338">
            <v>0</v>
          </cell>
          <cell r="H338">
            <v>0</v>
          </cell>
          <cell r="I338">
            <v>0</v>
          </cell>
          <cell r="J338">
            <v>118981679.52</v>
          </cell>
        </row>
        <row r="339">
          <cell r="B339" t="str">
            <v>1.1.06.12.13</v>
          </cell>
          <cell r="C339" t="str">
            <v>Piutang Pendapatan Denda Pajak sarang Burung Walet</v>
          </cell>
          <cell r="D339">
            <v>0</v>
          </cell>
          <cell r="E339">
            <v>0</v>
          </cell>
          <cell r="F339">
            <v>0</v>
          </cell>
          <cell r="G339">
            <v>0</v>
          </cell>
          <cell r="H339">
            <v>0</v>
          </cell>
          <cell r="I339">
            <v>0</v>
          </cell>
          <cell r="J339">
            <v>0</v>
          </cell>
        </row>
        <row r="340">
          <cell r="B340" t="str">
            <v>1.1.06.12.14</v>
          </cell>
          <cell r="C340" t="str">
            <v>Piutang Pendapatan Denda Pajak Mineral Bukan Logam dan Batuan</v>
          </cell>
          <cell r="D340">
            <v>0</v>
          </cell>
          <cell r="E340">
            <v>0</v>
          </cell>
          <cell r="F340">
            <v>0</v>
          </cell>
          <cell r="G340">
            <v>0</v>
          </cell>
          <cell r="H340">
            <v>0</v>
          </cell>
          <cell r="I340">
            <v>0</v>
          </cell>
          <cell r="J340">
            <v>0</v>
          </cell>
        </row>
        <row r="341">
          <cell r="B341" t="str">
            <v>1.1.06.12.15</v>
          </cell>
          <cell r="C341" t="str">
            <v>Piutang Pendapatan Denda Pajak Bumi dan Bangunan Perdesaan dan Perkotaan (PBBP2)</v>
          </cell>
          <cell r="D341">
            <v>0</v>
          </cell>
          <cell r="E341">
            <v>0</v>
          </cell>
          <cell r="F341">
            <v>0</v>
          </cell>
          <cell r="G341">
            <v>0</v>
          </cell>
          <cell r="H341">
            <v>0</v>
          </cell>
          <cell r="I341">
            <v>0</v>
          </cell>
          <cell r="J341">
            <v>0</v>
          </cell>
        </row>
        <row r="342">
          <cell r="B342" t="str">
            <v>1.1.06.12.16</v>
          </cell>
          <cell r="C342" t="str">
            <v>Piutang Pendapatan Denda Bea Perolehan Hak atas Tanah dan Bangunan (BPHTB)</v>
          </cell>
          <cell r="D342">
            <v>0</v>
          </cell>
          <cell r="E342">
            <v>0</v>
          </cell>
          <cell r="F342">
            <v>0</v>
          </cell>
          <cell r="G342">
            <v>0</v>
          </cell>
          <cell r="H342">
            <v>0</v>
          </cell>
          <cell r="I342">
            <v>0</v>
          </cell>
          <cell r="J342">
            <v>0</v>
          </cell>
        </row>
        <row r="343">
          <cell r="B343" t="str">
            <v>1.1.06.12.17</v>
          </cell>
          <cell r="C343" t="str">
            <v>Piutang Pendapatan Denda Pajak Alat Berat</v>
          </cell>
          <cell r="D343">
            <v>0</v>
          </cell>
          <cell r="E343">
            <v>0</v>
          </cell>
          <cell r="F343">
            <v>0</v>
          </cell>
          <cell r="G343">
            <v>0</v>
          </cell>
          <cell r="H343">
            <v>0</v>
          </cell>
          <cell r="I343">
            <v>0</v>
          </cell>
          <cell r="J343">
            <v>0</v>
          </cell>
        </row>
        <row r="344">
          <cell r="B344" t="str">
            <v>1.1.06.12.18</v>
          </cell>
          <cell r="C344" t="str">
            <v>Piutang Pendapatan Denda Opsen Pajak Mineral Bukan Logam dan Batuan (MBLB)</v>
          </cell>
          <cell r="D344">
            <v>0</v>
          </cell>
          <cell r="E344">
            <v>0</v>
          </cell>
          <cell r="F344">
            <v>0</v>
          </cell>
          <cell r="G344">
            <v>0</v>
          </cell>
          <cell r="H344">
            <v>0</v>
          </cell>
          <cell r="I344">
            <v>0</v>
          </cell>
          <cell r="J344">
            <v>0</v>
          </cell>
        </row>
        <row r="345">
          <cell r="B345" t="str">
            <v>1.1.06.12.19</v>
          </cell>
          <cell r="C345" t="str">
            <v>Piutang Pendapatan Denda Pajak Barang dan Jasa Tertentu (PBJT)</v>
          </cell>
          <cell r="D345">
            <v>0</v>
          </cell>
          <cell r="E345">
            <v>0</v>
          </cell>
          <cell r="F345">
            <v>0</v>
          </cell>
          <cell r="G345">
            <v>0</v>
          </cell>
          <cell r="H345">
            <v>0</v>
          </cell>
          <cell r="I345">
            <v>0</v>
          </cell>
          <cell r="J345">
            <v>0</v>
          </cell>
        </row>
        <row r="346">
          <cell r="B346" t="str">
            <v>1.1.06.12.20</v>
          </cell>
          <cell r="C346" t="str">
            <v>Piutang Pendapatan Denda Opsen Pajak Kendaraan Bermotor (PKB)</v>
          </cell>
          <cell r="D346">
            <v>0</v>
          </cell>
          <cell r="E346">
            <v>0</v>
          </cell>
          <cell r="F346">
            <v>0</v>
          </cell>
          <cell r="G346">
            <v>0</v>
          </cell>
          <cell r="H346">
            <v>0</v>
          </cell>
          <cell r="I346">
            <v>0</v>
          </cell>
          <cell r="J346">
            <v>0</v>
          </cell>
        </row>
        <row r="347">
          <cell r="B347" t="str">
            <v>1.1.06.12.21</v>
          </cell>
          <cell r="C347" t="str">
            <v>Piutang Pendapatan Denda Opsen Bea Balik Nama Kendaraan Bermotor (BBNKB)</v>
          </cell>
          <cell r="D347">
            <v>0</v>
          </cell>
          <cell r="E347">
            <v>0</v>
          </cell>
          <cell r="F347">
            <v>0</v>
          </cell>
          <cell r="G347">
            <v>0</v>
          </cell>
          <cell r="H347">
            <v>0</v>
          </cell>
          <cell r="I347">
            <v>0</v>
          </cell>
          <cell r="J347">
            <v>0</v>
          </cell>
        </row>
        <row r="348">
          <cell r="B348" t="str">
            <v>1.1.06.13</v>
          </cell>
          <cell r="C348" t="str">
            <v>Piutang Pendapatan Denda Retribusi Daerah</v>
          </cell>
          <cell r="D348">
            <v>126996533</v>
          </cell>
          <cell r="E348">
            <v>126996533</v>
          </cell>
          <cell r="F348"/>
          <cell r="G348"/>
          <cell r="H348"/>
          <cell r="I348"/>
          <cell r="J348">
            <v>126996533</v>
          </cell>
        </row>
        <row r="349">
          <cell r="B349" t="str">
            <v>1.1.06.13.01</v>
          </cell>
          <cell r="C349" t="str">
            <v>Piutang Pendapatan Denda Retribusi Jasa Umum</v>
          </cell>
          <cell r="D349">
            <v>126996533</v>
          </cell>
          <cell r="E349">
            <v>126996533</v>
          </cell>
          <cell r="F349">
            <v>0</v>
          </cell>
          <cell r="G349">
            <v>0</v>
          </cell>
          <cell r="H349">
            <v>0</v>
          </cell>
          <cell r="I349">
            <v>0</v>
          </cell>
          <cell r="J349">
            <v>126996533</v>
          </cell>
        </row>
        <row r="350">
          <cell r="B350" t="str">
            <v>1.1.06.13.02</v>
          </cell>
          <cell r="C350" t="str">
            <v>Piutang Pendapatan Denda Retribusi Jasa Usaha</v>
          </cell>
          <cell r="D350">
            <v>0</v>
          </cell>
          <cell r="E350">
            <v>0</v>
          </cell>
          <cell r="F350">
            <v>0</v>
          </cell>
          <cell r="G350">
            <v>0</v>
          </cell>
          <cell r="H350">
            <v>0</v>
          </cell>
          <cell r="I350">
            <v>0</v>
          </cell>
          <cell r="J350">
            <v>0</v>
          </cell>
        </row>
        <row r="351">
          <cell r="B351" t="str">
            <v>1.1.06.13.03</v>
          </cell>
          <cell r="C351" t="str">
            <v>Piutang Pendapatan Denda Retribusi Perizininan Tertentu</v>
          </cell>
          <cell r="D351">
            <v>0</v>
          </cell>
          <cell r="E351">
            <v>0</v>
          </cell>
          <cell r="F351">
            <v>0</v>
          </cell>
          <cell r="G351">
            <v>0</v>
          </cell>
          <cell r="H351">
            <v>0</v>
          </cell>
          <cell r="I351">
            <v>0</v>
          </cell>
          <cell r="J351">
            <v>0</v>
          </cell>
        </row>
        <row r="352">
          <cell r="B352" t="str">
            <v>1.1.06.14</v>
          </cell>
          <cell r="C352" t="str">
            <v>Piutang Pendapatan Hasil Eksekusi atas Jaminan</v>
          </cell>
          <cell r="D352">
            <v>0</v>
          </cell>
          <cell r="E352">
            <v>0</v>
          </cell>
          <cell r="F352"/>
          <cell r="G352"/>
          <cell r="H352"/>
          <cell r="I352"/>
          <cell r="J352">
            <v>0</v>
          </cell>
        </row>
        <row r="353">
          <cell r="B353" t="str">
            <v>1.1.06.14.01</v>
          </cell>
          <cell r="C353" t="str">
            <v>Piutang Hasil Eksekusi atas Jaminan atas Pengadaan Barang/Jasa</v>
          </cell>
          <cell r="D353">
            <v>0</v>
          </cell>
          <cell r="E353">
            <v>0</v>
          </cell>
          <cell r="F353">
            <v>0</v>
          </cell>
          <cell r="G353">
            <v>0</v>
          </cell>
          <cell r="H353">
            <v>0</v>
          </cell>
          <cell r="I353">
            <v>0</v>
          </cell>
          <cell r="J353">
            <v>0</v>
          </cell>
        </row>
        <row r="354">
          <cell r="B354" t="str">
            <v>1.1.06.15</v>
          </cell>
          <cell r="C354" t="str">
            <v>Piutang Pendapatan dari Pengembalian</v>
          </cell>
          <cell r="D354">
            <v>5447352</v>
          </cell>
          <cell r="E354">
            <v>5447352</v>
          </cell>
          <cell r="F354"/>
          <cell r="G354"/>
          <cell r="H354"/>
          <cell r="I354"/>
          <cell r="J354">
            <v>5447352</v>
          </cell>
        </row>
        <row r="355">
          <cell r="B355" t="str">
            <v>1.1.06.15.01</v>
          </cell>
          <cell r="C355" t="str">
            <v>Piutang Pendapatan Dari Pengembalian Kelebihan Pembayaran Pajak Penghasilan Pasal 21</v>
          </cell>
          <cell r="D355">
            <v>0</v>
          </cell>
          <cell r="E355">
            <v>0</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D356">
            <v>0</v>
          </cell>
          <cell r="E356">
            <v>0</v>
          </cell>
          <cell r="F356">
            <v>0</v>
          </cell>
          <cell r="G356">
            <v>0</v>
          </cell>
          <cell r="H356">
            <v>0</v>
          </cell>
          <cell r="I356">
            <v>0</v>
          </cell>
          <cell r="J356">
            <v>0</v>
          </cell>
        </row>
        <row r="357">
          <cell r="B357" t="str">
            <v>1.1.06.15.03</v>
          </cell>
          <cell r="C357" t="str">
            <v>Piutang Pendapatan dari Pengembalian Kelebihan Pembayaran Gaji dan Tunjangan</v>
          </cell>
          <cell r="D357">
            <v>5447352</v>
          </cell>
          <cell r="E357">
            <v>5447352</v>
          </cell>
          <cell r="F357">
            <v>0</v>
          </cell>
          <cell r="G357">
            <v>0</v>
          </cell>
          <cell r="H357">
            <v>0</v>
          </cell>
          <cell r="I357">
            <v>0</v>
          </cell>
          <cell r="J357">
            <v>5447352</v>
          </cell>
        </row>
        <row r="358">
          <cell r="B358" t="str">
            <v>1.1.06.15.04</v>
          </cell>
          <cell r="C358" t="str">
            <v>Piutang Pendapatan dari Pengembalian Kelebihan Pembayaran Perjalanan Dinas</v>
          </cell>
          <cell r="D358">
            <v>0</v>
          </cell>
          <cell r="E358">
            <v>0</v>
          </cell>
          <cell r="F358">
            <v>0</v>
          </cell>
          <cell r="G358">
            <v>0</v>
          </cell>
          <cell r="H358">
            <v>0</v>
          </cell>
          <cell r="I358">
            <v>0</v>
          </cell>
          <cell r="J358">
            <v>0</v>
          </cell>
        </row>
        <row r="359">
          <cell r="B359" t="str">
            <v>1.1.06.15.05</v>
          </cell>
          <cell r="C359" t="str">
            <v>Piutang Pendapatan dari Pengembalian Kelebihan Pembayaran Jaminan Kecelakaan Kerja (JKK)</v>
          </cell>
          <cell r="D359">
            <v>0</v>
          </cell>
          <cell r="E359">
            <v>0</v>
          </cell>
          <cell r="F359">
            <v>0</v>
          </cell>
          <cell r="G359">
            <v>0</v>
          </cell>
          <cell r="H359">
            <v>0</v>
          </cell>
          <cell r="I359">
            <v>0</v>
          </cell>
          <cell r="J359">
            <v>0</v>
          </cell>
        </row>
        <row r="360">
          <cell r="B360" t="str">
            <v>1.1.06.15.06</v>
          </cell>
          <cell r="C360" t="str">
            <v>Piutang Pendapatan dari Pengembalian Kelebihan Pembayaran Jaminan Kematian (JKM)</v>
          </cell>
          <cell r="D360">
            <v>0</v>
          </cell>
          <cell r="E360">
            <v>0</v>
          </cell>
          <cell r="F360">
            <v>0</v>
          </cell>
          <cell r="G360">
            <v>0</v>
          </cell>
          <cell r="H360">
            <v>0</v>
          </cell>
          <cell r="I360">
            <v>0</v>
          </cell>
          <cell r="J360">
            <v>0</v>
          </cell>
        </row>
        <row r="361">
          <cell r="B361" t="str">
            <v>1.1.06.15.07</v>
          </cell>
          <cell r="C361" t="str">
            <v>Piutang Pendapatan dari Pengembalian Kelebihan Pembayaran Jaminan Kesehatan</v>
          </cell>
          <cell r="D361">
            <v>0</v>
          </cell>
          <cell r="E361">
            <v>0</v>
          </cell>
          <cell r="F361">
            <v>0</v>
          </cell>
          <cell r="G361">
            <v>0</v>
          </cell>
          <cell r="H361">
            <v>0</v>
          </cell>
          <cell r="I361">
            <v>0</v>
          </cell>
          <cell r="J361">
            <v>0</v>
          </cell>
        </row>
        <row r="362">
          <cell r="B362" t="str">
            <v>1.1.06.15.08</v>
          </cell>
          <cell r="C362" t="str">
            <v>Piutang Pendapatan dari Pengembalian Kelebihan Pembayaran Belanja Gaji dan Tunjangan ASN</v>
          </cell>
          <cell r="D362">
            <v>0</v>
          </cell>
          <cell r="E362">
            <v>0</v>
          </cell>
          <cell r="F362">
            <v>0</v>
          </cell>
          <cell r="G362">
            <v>0</v>
          </cell>
          <cell r="H362">
            <v>0</v>
          </cell>
          <cell r="I362">
            <v>0</v>
          </cell>
          <cell r="J362">
            <v>0</v>
          </cell>
        </row>
        <row r="363">
          <cell r="B363" t="str">
            <v>1.1.06.15.09</v>
          </cell>
          <cell r="C363" t="str">
            <v>Piutang Pendapatan dari Pengembalian Kelebihan Pembayaran Belanja Tambahan Penghasilan ASN</v>
          </cell>
          <cell r="D363">
            <v>0</v>
          </cell>
          <cell r="E363">
            <v>0</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D364">
            <v>0</v>
          </cell>
          <cell r="E364">
            <v>0</v>
          </cell>
          <cell r="F364">
            <v>0</v>
          </cell>
          <cell r="G364">
            <v>0</v>
          </cell>
          <cell r="H364">
            <v>0</v>
          </cell>
          <cell r="I364">
            <v>0</v>
          </cell>
          <cell r="J364">
            <v>0</v>
          </cell>
        </row>
        <row r="365">
          <cell r="B365" t="str">
            <v>1.1.06.15.11</v>
          </cell>
          <cell r="C365" t="str">
            <v>Piutang Pendapatan dari Pengembalian Kelebihan Pembayaran Belanja Gaji dan Tunjangan DPRD</v>
          </cell>
          <cell r="D365">
            <v>0</v>
          </cell>
          <cell r="E365">
            <v>0</v>
          </cell>
          <cell r="F365">
            <v>0</v>
          </cell>
          <cell r="G365">
            <v>0</v>
          </cell>
          <cell r="H365">
            <v>0</v>
          </cell>
          <cell r="I365">
            <v>0</v>
          </cell>
          <cell r="J365">
            <v>0</v>
          </cell>
        </row>
        <row r="366">
          <cell r="B366" t="str">
            <v>1.1.06.15.12</v>
          </cell>
          <cell r="C366" t="str">
            <v>Piutang Pendapatan dari Pengembalian Kelebihan Pembayaran Belanja Gaji dan Tunjangan KDH/WKDH</v>
          </cell>
          <cell r="D366">
            <v>0</v>
          </cell>
          <cell r="E366">
            <v>0</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D367">
            <v>0</v>
          </cell>
          <cell r="E367">
            <v>0</v>
          </cell>
          <cell r="F367">
            <v>0</v>
          </cell>
          <cell r="G367">
            <v>0</v>
          </cell>
          <cell r="H367">
            <v>0</v>
          </cell>
          <cell r="I367">
            <v>0</v>
          </cell>
          <cell r="J367">
            <v>0</v>
          </cell>
        </row>
        <row r="368">
          <cell r="B368" t="str">
            <v>1.1.06.15.14</v>
          </cell>
          <cell r="C368" t="str">
            <v>Piutang Pendapatan dari Pengembalian Kelebihan Pembayaran Belanja Gaji dan Tunjangan MRP</v>
          </cell>
          <cell r="D368">
            <v>0</v>
          </cell>
          <cell r="E368">
            <v>0</v>
          </cell>
          <cell r="F368">
            <v>0</v>
          </cell>
          <cell r="G368">
            <v>0</v>
          </cell>
          <cell r="H368">
            <v>0</v>
          </cell>
          <cell r="I368">
            <v>0</v>
          </cell>
          <cell r="J368">
            <v>0</v>
          </cell>
        </row>
        <row r="369">
          <cell r="B369" t="str">
            <v>1.1.06.15.15</v>
          </cell>
          <cell r="C369" t="str">
            <v>Piutang Pendapatan dari Pengembalian Kelebihan Pembayaran Belanja Barang</v>
          </cell>
          <cell r="D369">
            <v>0</v>
          </cell>
          <cell r="E369">
            <v>0</v>
          </cell>
          <cell r="F369">
            <v>0</v>
          </cell>
          <cell r="G369">
            <v>0</v>
          </cell>
          <cell r="H369">
            <v>0</v>
          </cell>
          <cell r="I369">
            <v>0</v>
          </cell>
          <cell r="J369">
            <v>0</v>
          </cell>
        </row>
        <row r="370">
          <cell r="B370" t="str">
            <v>1.1.06.15.16</v>
          </cell>
          <cell r="C370" t="str">
            <v>Piutang Pendapatan dari Pengembalian Kelebihan Pembayaran Belanja Jasa</v>
          </cell>
          <cell r="D370">
            <v>0</v>
          </cell>
          <cell r="E370">
            <v>0</v>
          </cell>
          <cell r="F370">
            <v>0</v>
          </cell>
          <cell r="G370">
            <v>0</v>
          </cell>
          <cell r="H370">
            <v>0</v>
          </cell>
          <cell r="I370">
            <v>0</v>
          </cell>
          <cell r="J370">
            <v>0</v>
          </cell>
        </row>
        <row r="371">
          <cell r="B371" t="str">
            <v>1.1.06.15.17</v>
          </cell>
          <cell r="C371" t="str">
            <v>Piutang Pendapatan dari Pengembalian Kelebihan Pembayaran Belanja Pemeliharaan</v>
          </cell>
          <cell r="D371">
            <v>0</v>
          </cell>
          <cell r="E371">
            <v>0</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D372">
            <v>0</v>
          </cell>
          <cell r="E372">
            <v>0</v>
          </cell>
          <cell r="F372">
            <v>0</v>
          </cell>
          <cell r="G372">
            <v>0</v>
          </cell>
          <cell r="H372">
            <v>0</v>
          </cell>
          <cell r="I372">
            <v>0</v>
          </cell>
          <cell r="J372">
            <v>0</v>
          </cell>
        </row>
        <row r="373">
          <cell r="B373" t="str">
            <v>1.1.06.15.19</v>
          </cell>
          <cell r="C373" t="str">
            <v>Piutang Pendapatan dari Pengembalian Kelebihan Pembayaran Belanja Penunjang Otonomi Khusus*)</v>
          </cell>
          <cell r="D373">
            <v>0</v>
          </cell>
          <cell r="E373">
            <v>0</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D374">
            <v>0</v>
          </cell>
          <cell r="E374">
            <v>0</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D375">
            <v>0</v>
          </cell>
          <cell r="E375">
            <v>0</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D376">
            <v>0</v>
          </cell>
          <cell r="E376">
            <v>0</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D377">
            <v>0</v>
          </cell>
          <cell r="E377">
            <v>0</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D378">
            <v>0</v>
          </cell>
          <cell r="E378">
            <v>0</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D379">
            <v>0</v>
          </cell>
          <cell r="E379">
            <v>0</v>
          </cell>
          <cell r="F379">
            <v>0</v>
          </cell>
          <cell r="G379">
            <v>0</v>
          </cell>
          <cell r="H379">
            <v>0</v>
          </cell>
          <cell r="I379">
            <v>0</v>
          </cell>
          <cell r="J379">
            <v>0</v>
          </cell>
        </row>
        <row r="380">
          <cell r="B380" t="str">
            <v>1.1.06.15.26</v>
          </cell>
          <cell r="C380" t="str">
            <v>Piutang Pendapatan dari Pengembalian Kelebihan Pembayaran Belanja Subsidi kepada BUMN</v>
          </cell>
          <cell r="D380">
            <v>0</v>
          </cell>
          <cell r="E380">
            <v>0</v>
          </cell>
          <cell r="F380">
            <v>0</v>
          </cell>
          <cell r="G380">
            <v>0</v>
          </cell>
          <cell r="H380">
            <v>0</v>
          </cell>
          <cell r="I380">
            <v>0</v>
          </cell>
          <cell r="J380">
            <v>0</v>
          </cell>
        </row>
        <row r="381">
          <cell r="B381" t="str">
            <v>1.1.06.15.27</v>
          </cell>
          <cell r="C381" t="str">
            <v>Piutang Pendapatan dari Pengembalian Kelebihan Pembayaran Belanja Subsidi kepada BUMD</v>
          </cell>
          <cell r="D381">
            <v>0</v>
          </cell>
          <cell r="E381">
            <v>0</v>
          </cell>
          <cell r="F381">
            <v>0</v>
          </cell>
          <cell r="G381">
            <v>0</v>
          </cell>
          <cell r="H381">
            <v>0</v>
          </cell>
          <cell r="I381">
            <v>0</v>
          </cell>
          <cell r="J381">
            <v>0</v>
          </cell>
        </row>
        <row r="382">
          <cell r="B382" t="str">
            <v>1.1.06.15.28</v>
          </cell>
          <cell r="C382" t="str">
            <v>Piutang Pendapatan dari Pengembalian Kelebihan Pembayaran Belanja Subsidi</v>
          </cell>
          <cell r="D382">
            <v>0</v>
          </cell>
          <cell r="E382">
            <v>0</v>
          </cell>
          <cell r="F382">
            <v>0</v>
          </cell>
          <cell r="G382">
            <v>0</v>
          </cell>
          <cell r="H382">
            <v>0</v>
          </cell>
          <cell r="I382">
            <v>0</v>
          </cell>
          <cell r="J382">
            <v>0</v>
          </cell>
        </row>
        <row r="383">
          <cell r="B383" t="str">
            <v>1.1.06.15.29</v>
          </cell>
          <cell r="C383" t="str">
            <v>Piutang Pendapatan dari Pengembalian Kelebihan Pembayaran Belanja Subsidi kepada Koperasi</v>
          </cell>
          <cell r="D383">
            <v>0</v>
          </cell>
          <cell r="E383">
            <v>0</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D385">
            <v>0</v>
          </cell>
          <cell r="E385">
            <v>0</v>
          </cell>
          <cell r="F385">
            <v>0</v>
          </cell>
          <cell r="G385">
            <v>0</v>
          </cell>
          <cell r="H385">
            <v>0</v>
          </cell>
          <cell r="I385">
            <v>0</v>
          </cell>
          <cell r="J385">
            <v>0</v>
          </cell>
        </row>
        <row r="386">
          <cell r="B386" t="str">
            <v>1.1.06.15.32</v>
          </cell>
          <cell r="C386" t="str">
            <v>Piutang Pendapatan dari Pengembalian Kelebihan Pembayaran Belanja Hibah kepada BUMN</v>
          </cell>
          <cell r="D386">
            <v>0</v>
          </cell>
          <cell r="E386">
            <v>0</v>
          </cell>
          <cell r="F386">
            <v>0</v>
          </cell>
          <cell r="G386">
            <v>0</v>
          </cell>
          <cell r="H386">
            <v>0</v>
          </cell>
          <cell r="I386">
            <v>0</v>
          </cell>
          <cell r="J386">
            <v>0</v>
          </cell>
        </row>
        <row r="387">
          <cell r="B387" t="str">
            <v>1.1.06.15.33</v>
          </cell>
          <cell r="C387" t="str">
            <v>Piutang Pendapatan dari Pengembalian Kelebihan Pembayaran Belanja Hibah kepada</v>
          </cell>
          <cell r="D387">
            <v>0</v>
          </cell>
          <cell r="E387">
            <v>0</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D388">
            <v>0</v>
          </cell>
          <cell r="E388">
            <v>0</v>
          </cell>
          <cell r="F388">
            <v>0</v>
          </cell>
          <cell r="G388">
            <v>0</v>
          </cell>
          <cell r="H388">
            <v>0</v>
          </cell>
          <cell r="I388">
            <v>0</v>
          </cell>
          <cell r="J388">
            <v>0</v>
          </cell>
        </row>
        <row r="389">
          <cell r="B389" t="str">
            <v>1.1.06.15.35</v>
          </cell>
          <cell r="C389" t="str">
            <v>Piutang Pendapatan dari Pengembalian Kelebihan Pembayaran Belanja Hibah Dana BOS</v>
          </cell>
          <cell r="D389">
            <v>0</v>
          </cell>
          <cell r="E389">
            <v>0</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D390">
            <v>0</v>
          </cell>
          <cell r="E390">
            <v>0</v>
          </cell>
          <cell r="F390">
            <v>0</v>
          </cell>
          <cell r="G390">
            <v>0</v>
          </cell>
          <cell r="H390">
            <v>0</v>
          </cell>
          <cell r="I390">
            <v>0</v>
          </cell>
          <cell r="J390">
            <v>0</v>
          </cell>
        </row>
        <row r="391">
          <cell r="B391" t="str">
            <v>1.1.06.15.37</v>
          </cell>
          <cell r="C391" t="str">
            <v>Piutang Pendapatan dari Pengembalian Kelebihan Pembayaran Belanja Bantuan Sosial kepada Individu</v>
          </cell>
          <cell r="D391">
            <v>0</v>
          </cell>
          <cell r="E391">
            <v>0</v>
          </cell>
          <cell r="F391">
            <v>0</v>
          </cell>
          <cell r="G391">
            <v>0</v>
          </cell>
          <cell r="H391">
            <v>0</v>
          </cell>
          <cell r="I391">
            <v>0</v>
          </cell>
          <cell r="J391">
            <v>0</v>
          </cell>
        </row>
        <row r="392">
          <cell r="B392" t="str">
            <v>1.1.06.15.38</v>
          </cell>
          <cell r="C392" t="str">
            <v>Piutang Pendapatan dari Pengembalian Kelebihan Pembayaran Belanja Bantuan Sosial kepada Keluarga</v>
          </cell>
          <cell r="D392">
            <v>0</v>
          </cell>
          <cell r="E392">
            <v>0</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D393">
            <v>0</v>
          </cell>
          <cell r="E393">
            <v>0</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D394">
            <v>0</v>
          </cell>
          <cell r="E394">
            <v>0</v>
          </cell>
          <cell r="F394">
            <v>0</v>
          </cell>
          <cell r="G394">
            <v>0</v>
          </cell>
          <cell r="H394">
            <v>0</v>
          </cell>
          <cell r="I394">
            <v>0</v>
          </cell>
          <cell r="J394">
            <v>0</v>
          </cell>
        </row>
        <row r="395">
          <cell r="B395" t="str">
            <v>1.1.06.15.41</v>
          </cell>
          <cell r="C395" t="str">
            <v>Piutang Pendapatan dari Pengembalian Kelebihan Pembayaran Belanja Modal Tanah</v>
          </cell>
          <cell r="D395">
            <v>0</v>
          </cell>
          <cell r="E395">
            <v>0</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D396">
            <v>0</v>
          </cell>
          <cell r="E396">
            <v>0</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D397">
            <v>0</v>
          </cell>
          <cell r="E397">
            <v>0</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D398">
            <v>0</v>
          </cell>
          <cell r="E398">
            <v>0</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D399">
            <v>0</v>
          </cell>
          <cell r="E399">
            <v>0</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D400">
            <v>0</v>
          </cell>
          <cell r="E400">
            <v>0</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D401">
            <v>0</v>
          </cell>
          <cell r="E401">
            <v>0</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D402">
            <v>0</v>
          </cell>
          <cell r="E402">
            <v>0</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D403">
            <v>0</v>
          </cell>
          <cell r="E403">
            <v>0</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D404">
            <v>0</v>
          </cell>
          <cell r="E404">
            <v>0</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D405">
            <v>0</v>
          </cell>
          <cell r="E405">
            <v>0</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D406">
            <v>0</v>
          </cell>
          <cell r="E406">
            <v>0</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D407">
            <v>0</v>
          </cell>
          <cell r="E407">
            <v>0</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D408">
            <v>0</v>
          </cell>
          <cell r="E408">
            <v>0</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D409">
            <v>0</v>
          </cell>
          <cell r="E409">
            <v>0</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D410">
            <v>0</v>
          </cell>
          <cell r="E410">
            <v>0</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D411">
            <v>0</v>
          </cell>
          <cell r="E411">
            <v>0</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D412">
            <v>0</v>
          </cell>
          <cell r="E412">
            <v>0</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D413">
            <v>0</v>
          </cell>
          <cell r="E413">
            <v>0</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D414">
            <v>0</v>
          </cell>
          <cell r="E414">
            <v>0</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D415">
            <v>0</v>
          </cell>
          <cell r="E415">
            <v>0</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D416">
            <v>0</v>
          </cell>
          <cell r="E416">
            <v>0</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D417">
            <v>0</v>
          </cell>
          <cell r="E417">
            <v>0</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D418">
            <v>0</v>
          </cell>
          <cell r="E418">
            <v>0</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D419">
            <v>0</v>
          </cell>
          <cell r="E419">
            <v>0</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D420">
            <v>0</v>
          </cell>
          <cell r="E420">
            <v>0</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D421">
            <v>0</v>
          </cell>
          <cell r="E421">
            <v>0</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D422">
            <v>0</v>
          </cell>
          <cell r="E422">
            <v>0</v>
          </cell>
          <cell r="F422">
            <v>0</v>
          </cell>
          <cell r="G422">
            <v>0</v>
          </cell>
          <cell r="H422">
            <v>0</v>
          </cell>
          <cell r="I422">
            <v>0</v>
          </cell>
          <cell r="J422">
            <v>0</v>
          </cell>
        </row>
        <row r="423">
          <cell r="B423" t="str">
            <v>1.1.06.15.71</v>
          </cell>
          <cell r="C423" t="str">
            <v>Piutang Pendapatan dari Pengembalian Kelebihan Pembayaran Belanja Modal Aset Tetap Lainnya-Hewan</v>
          </cell>
          <cell r="D423">
            <v>0</v>
          </cell>
          <cell r="E423">
            <v>0</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D424">
            <v>0</v>
          </cell>
          <cell r="E424">
            <v>0</v>
          </cell>
          <cell r="F424">
            <v>0</v>
          </cell>
          <cell r="G424">
            <v>0</v>
          </cell>
          <cell r="H424">
            <v>0</v>
          </cell>
          <cell r="I424">
            <v>0</v>
          </cell>
          <cell r="J424">
            <v>0</v>
          </cell>
        </row>
        <row r="425">
          <cell r="B425" t="str">
            <v>1.1.06.15.73</v>
          </cell>
          <cell r="C425" t="str">
            <v>Piutang Pendapatan dari Pengembalian Kelebihan Pembayaran Belanja Modal Aset Tetap Lainnya-Tanaman</v>
          </cell>
          <cell r="D425">
            <v>0</v>
          </cell>
          <cell r="E425">
            <v>0</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D426">
            <v>0</v>
          </cell>
          <cell r="E426">
            <v>0</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D427">
            <v>0</v>
          </cell>
          <cell r="E427">
            <v>0</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D428">
            <v>0</v>
          </cell>
          <cell r="E428">
            <v>0</v>
          </cell>
          <cell r="F428">
            <v>0</v>
          </cell>
          <cell r="G428">
            <v>0</v>
          </cell>
          <cell r="H428">
            <v>0</v>
          </cell>
          <cell r="I428">
            <v>0</v>
          </cell>
          <cell r="J428">
            <v>0</v>
          </cell>
        </row>
        <row r="429">
          <cell r="B429" t="str">
            <v>1.1.06.15.77</v>
          </cell>
          <cell r="C429" t="str">
            <v>Piutang Pendapatan dari Pengembalian Kelebihan Pembayaran Belanja Tidak Terduga</v>
          </cell>
          <cell r="D429">
            <v>0</v>
          </cell>
          <cell r="E429">
            <v>0</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D430">
            <v>0</v>
          </cell>
          <cell r="E430">
            <v>0</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D431">
            <v>0</v>
          </cell>
          <cell r="E431">
            <v>0</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D432">
            <v>0</v>
          </cell>
          <cell r="E432">
            <v>0</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D433">
            <v>0</v>
          </cell>
          <cell r="E433">
            <v>0</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D434">
            <v>0</v>
          </cell>
          <cell r="E434">
            <v>0</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D435">
            <v>0</v>
          </cell>
          <cell r="E435">
            <v>0</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D436">
            <v>0</v>
          </cell>
          <cell r="E436">
            <v>0</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D437">
            <v>0</v>
          </cell>
          <cell r="E437">
            <v>0</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D438">
            <v>0</v>
          </cell>
          <cell r="E438">
            <v>0</v>
          </cell>
          <cell r="F438">
            <v>0</v>
          </cell>
          <cell r="G438">
            <v>0</v>
          </cell>
          <cell r="H438">
            <v>0</v>
          </cell>
          <cell r="I438">
            <v>0</v>
          </cell>
          <cell r="J438">
            <v>0</v>
          </cell>
        </row>
        <row r="439">
          <cell r="B439" t="str">
            <v>1.1.06.15.87</v>
          </cell>
          <cell r="C439" t="str">
            <v>Piutang Pendapatan dari Pengembalian Kelebihan Pembayaran Belanja Hibah Dana BOSP</v>
          </cell>
          <cell r="D439">
            <v>0</v>
          </cell>
          <cell r="E439">
            <v>0</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D440">
            <v>0</v>
          </cell>
          <cell r="E440">
            <v>0</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D441">
            <v>0</v>
          </cell>
          <cell r="E441">
            <v>0</v>
          </cell>
          <cell r="F441">
            <v>0</v>
          </cell>
          <cell r="G441">
            <v>0</v>
          </cell>
          <cell r="H441">
            <v>0</v>
          </cell>
          <cell r="I441">
            <v>0</v>
          </cell>
          <cell r="J441">
            <v>0</v>
          </cell>
        </row>
        <row r="442">
          <cell r="B442" t="str">
            <v>1.1.06.15.90</v>
          </cell>
          <cell r="C442" t="str">
            <v>Piutang Pendapatan dari Pengembalian Kelebihan Pembayaran Belanja Barang dan Jasa BOK Puskesmas</v>
          </cell>
          <cell r="D442">
            <v>0</v>
          </cell>
          <cell r="E442">
            <v>0</v>
          </cell>
          <cell r="F442">
            <v>0</v>
          </cell>
          <cell r="G442">
            <v>0</v>
          </cell>
          <cell r="H442">
            <v>0</v>
          </cell>
          <cell r="I442">
            <v>0</v>
          </cell>
          <cell r="J442">
            <v>0</v>
          </cell>
        </row>
        <row r="443">
          <cell r="B443" t="str">
            <v>1.1.06.15.91</v>
          </cell>
          <cell r="C443" t="str">
            <v>Piutang Pendapatan dari Pengembalian Kelebihan Pembayaran Belanja Hibah kepada BUMDesa</v>
          </cell>
          <cell r="D443">
            <v>0</v>
          </cell>
          <cell r="E443">
            <v>0</v>
          </cell>
          <cell r="F443">
            <v>0</v>
          </cell>
          <cell r="G443">
            <v>0</v>
          </cell>
          <cell r="H443">
            <v>0</v>
          </cell>
          <cell r="I443">
            <v>0</v>
          </cell>
          <cell r="J443">
            <v>0</v>
          </cell>
        </row>
        <row r="444">
          <cell r="B444" t="str">
            <v>1.1.06.15.92</v>
          </cell>
          <cell r="C444" t="str">
            <v>Piutang Pendapatan dari Pengembalian Kelebihan Pembayaran Belanja Hibah kepada Koperasi</v>
          </cell>
          <cell r="D444">
            <v>0</v>
          </cell>
          <cell r="E444">
            <v>0</v>
          </cell>
          <cell r="F444">
            <v>0</v>
          </cell>
          <cell r="G444">
            <v>0</v>
          </cell>
          <cell r="H444">
            <v>0</v>
          </cell>
          <cell r="I444">
            <v>0</v>
          </cell>
          <cell r="J444">
            <v>0</v>
          </cell>
        </row>
        <row r="445">
          <cell r="B445" t="str">
            <v>1.1.06.15.93</v>
          </cell>
          <cell r="C445" t="str">
            <v>Piutang Pendapatan dari Pengembalian Kelebihan Pembayaran Belanja Imbalan-Imbalan Sukuk Daerah</v>
          </cell>
          <cell r="D445">
            <v>0</v>
          </cell>
          <cell r="E445">
            <v>0</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D446">
            <v>0</v>
          </cell>
          <cell r="E446">
            <v>0</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D447">
            <v>0</v>
          </cell>
          <cell r="E447">
            <v>0</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448">
            <v>0</v>
          </cell>
          <cell r="E448">
            <v>0</v>
          </cell>
          <cell r="F448">
            <v>0</v>
          </cell>
          <cell r="G448">
            <v>0</v>
          </cell>
          <cell r="H448">
            <v>0</v>
          </cell>
          <cell r="I448">
            <v>0</v>
          </cell>
          <cell r="J448">
            <v>0</v>
          </cell>
        </row>
        <row r="449">
          <cell r="B449" t="str">
            <v>1.1.06.16</v>
          </cell>
          <cell r="C449" t="str">
            <v>Piutang Pendapatan BLUD</v>
          </cell>
          <cell r="D449">
            <v>6351561807</v>
          </cell>
          <cell r="E449">
            <v>4453057808</v>
          </cell>
          <cell r="F449"/>
          <cell r="G449"/>
          <cell r="H449"/>
          <cell r="I449"/>
          <cell r="J449">
            <v>0</v>
          </cell>
        </row>
        <row r="450">
          <cell r="B450" t="str">
            <v>1.1.06.16.01</v>
          </cell>
          <cell r="C450" t="str">
            <v>Piutang Pendapatan BLUD</v>
          </cell>
          <cell r="D450">
            <v>0</v>
          </cell>
          <cell r="E450">
            <v>0</v>
          </cell>
          <cell r="F450">
            <v>0</v>
          </cell>
          <cell r="G450">
            <v>0</v>
          </cell>
          <cell r="H450">
            <v>0</v>
          </cell>
          <cell r="I450">
            <v>0</v>
          </cell>
          <cell r="J450">
            <v>0</v>
          </cell>
        </row>
        <row r="451">
          <cell r="B451" t="str">
            <v>1.1.06.16.02</v>
          </cell>
          <cell r="C451" t="str">
            <v>Piutang Pendapatan BLUD dari Jasa Layanan</v>
          </cell>
          <cell r="D451">
            <v>6068256007</v>
          </cell>
          <cell r="E451">
            <v>4453057808</v>
          </cell>
          <cell r="F451">
            <v>0</v>
          </cell>
          <cell r="G451">
            <v>0</v>
          </cell>
          <cell r="H451">
            <v>0</v>
          </cell>
          <cell r="I451">
            <v>4453057808</v>
          </cell>
          <cell r="J451">
            <v>0</v>
          </cell>
        </row>
        <row r="452">
          <cell r="B452" t="str">
            <v>1.1.06.16.03</v>
          </cell>
          <cell r="C452" t="str">
            <v>Piutang Pendapatan BLUD dari Hibah</v>
          </cell>
          <cell r="D452">
            <v>0</v>
          </cell>
          <cell r="E452">
            <v>0</v>
          </cell>
          <cell r="F452">
            <v>0</v>
          </cell>
          <cell r="G452">
            <v>0</v>
          </cell>
          <cell r="H452">
            <v>0</v>
          </cell>
          <cell r="I452">
            <v>0</v>
          </cell>
          <cell r="J452">
            <v>0</v>
          </cell>
        </row>
        <row r="453">
          <cell r="B453" t="str">
            <v>1.1.06.16.04</v>
          </cell>
          <cell r="C453" t="str">
            <v>Piutang Pendapatan BLUD dari Hasil Kerja Sama dengan Pihak Lain</v>
          </cell>
          <cell r="D453">
            <v>283305800</v>
          </cell>
          <cell r="E453">
            <v>0</v>
          </cell>
          <cell r="F453">
            <v>0</v>
          </cell>
          <cell r="G453">
            <v>0</v>
          </cell>
          <cell r="H453">
            <v>0</v>
          </cell>
          <cell r="I453">
            <v>0</v>
          </cell>
          <cell r="J453">
            <v>0</v>
          </cell>
        </row>
        <row r="454">
          <cell r="B454" t="str">
            <v>1.1.06.16.05</v>
          </cell>
          <cell r="C454" t="str">
            <v>Piutang Pendapatan BLUD dari APBD</v>
          </cell>
          <cell r="D454">
            <v>0</v>
          </cell>
          <cell r="E454">
            <v>0</v>
          </cell>
          <cell r="F454">
            <v>0</v>
          </cell>
          <cell r="G454">
            <v>0</v>
          </cell>
          <cell r="H454">
            <v>0</v>
          </cell>
          <cell r="I454">
            <v>0</v>
          </cell>
          <cell r="J454">
            <v>0</v>
          </cell>
        </row>
        <row r="455">
          <cell r="B455" t="str">
            <v>1.1.06.16.06</v>
          </cell>
          <cell r="C455" t="str">
            <v>Piutang Pendapatan BLUD dari Lain-Lain Pendapatan BLUD yang Sah</v>
          </cell>
          <cell r="D455">
            <v>0</v>
          </cell>
          <cell r="E455">
            <v>0</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F456"/>
          <cell r="G456"/>
          <cell r="H456"/>
          <cell r="I456"/>
          <cell r="J456">
            <v>0</v>
          </cell>
        </row>
        <row r="457">
          <cell r="B457" t="str">
            <v>1.1.06.17.01</v>
          </cell>
          <cell r="C457" t="str">
            <v>Piutang Pendapatan Denda Pengakhiran Sewa BMD</v>
          </cell>
          <cell r="D457">
            <v>0</v>
          </cell>
          <cell r="E457">
            <v>0</v>
          </cell>
          <cell r="F457">
            <v>0</v>
          </cell>
          <cell r="G457">
            <v>0</v>
          </cell>
          <cell r="H457">
            <v>0</v>
          </cell>
          <cell r="I457">
            <v>0</v>
          </cell>
          <cell r="J457">
            <v>0</v>
          </cell>
        </row>
        <row r="458">
          <cell r="B458" t="str">
            <v>1.1.06.17.02</v>
          </cell>
          <cell r="C458" t="str">
            <v>Piutang Pendapatan Denda Hasil dari Kerja Sama Penyediaan Infrastruktur</v>
          </cell>
          <cell r="D458">
            <v>0</v>
          </cell>
          <cell r="E458">
            <v>0</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F459"/>
          <cell r="G459"/>
          <cell r="H459"/>
          <cell r="I459"/>
          <cell r="J459">
            <v>0</v>
          </cell>
        </row>
        <row r="460">
          <cell r="B460" t="str">
            <v>1.1.06.18.01</v>
          </cell>
          <cell r="C460" t="str">
            <v>Piutang Pendapatan Dana Kapitasi JKN pada FKTP</v>
          </cell>
          <cell r="D460">
            <v>0</v>
          </cell>
          <cell r="E460">
            <v>0</v>
          </cell>
          <cell r="F460">
            <v>0</v>
          </cell>
          <cell r="G460">
            <v>0</v>
          </cell>
          <cell r="H460">
            <v>0</v>
          </cell>
          <cell r="I460">
            <v>0</v>
          </cell>
          <cell r="J460">
            <v>0</v>
          </cell>
        </row>
        <row r="461">
          <cell r="B461" t="str">
            <v>1.1.06.19</v>
          </cell>
          <cell r="C461" t="str">
            <v>Piutang Pendapatan Hasil Pengelolaan Dana Bergulir</v>
          </cell>
          <cell r="D461">
            <v>0</v>
          </cell>
          <cell r="E461">
            <v>0</v>
          </cell>
          <cell r="F461"/>
          <cell r="G461"/>
          <cell r="H461"/>
          <cell r="I461"/>
          <cell r="J461">
            <v>0</v>
          </cell>
        </row>
        <row r="462">
          <cell r="B462" t="str">
            <v>1.1.06.19.01</v>
          </cell>
          <cell r="C462" t="str">
            <v>Piutang Pendapatan Hasil Pengelolaan Dana Bergulir</v>
          </cell>
          <cell r="D462">
            <v>0</v>
          </cell>
          <cell r="E462">
            <v>0</v>
          </cell>
          <cell r="F462">
            <v>0</v>
          </cell>
          <cell r="G462">
            <v>0</v>
          </cell>
          <cell r="H462">
            <v>0</v>
          </cell>
          <cell r="I462">
            <v>0</v>
          </cell>
          <cell r="J462">
            <v>0</v>
          </cell>
        </row>
        <row r="463">
          <cell r="B463" t="str">
            <v>1.1.06.20</v>
          </cell>
          <cell r="C463" t="str">
            <v>Piutang Pendapatan Berdasarkan Putusan Pengadilan (Inkracht)</v>
          </cell>
          <cell r="D463">
            <v>0</v>
          </cell>
          <cell r="E463">
            <v>0</v>
          </cell>
          <cell r="F463"/>
          <cell r="G463"/>
          <cell r="H463"/>
          <cell r="I463"/>
          <cell r="J463">
            <v>0</v>
          </cell>
        </row>
        <row r="464">
          <cell r="B464" t="str">
            <v>1.1.06.20.01</v>
          </cell>
          <cell r="C464" t="str">
            <v>Piutang Pendapatan Berdasarkan Putusan Pengadilan (Inkracht)</v>
          </cell>
          <cell r="D464">
            <v>0</v>
          </cell>
          <cell r="E464">
            <v>0</v>
          </cell>
          <cell r="F464">
            <v>0</v>
          </cell>
          <cell r="G464">
            <v>0</v>
          </cell>
          <cell r="H464">
            <v>0</v>
          </cell>
          <cell r="I464">
            <v>0</v>
          </cell>
          <cell r="J464">
            <v>0</v>
          </cell>
        </row>
        <row r="465">
          <cell r="B465" t="str">
            <v>1.1.06.21</v>
          </cell>
          <cell r="C465" t="str">
            <v>Piutang Pendapatan Denda atas Pelanggaran Peraturan Daerah</v>
          </cell>
          <cell r="D465">
            <v>0</v>
          </cell>
          <cell r="E465">
            <v>0</v>
          </cell>
          <cell r="F465"/>
          <cell r="G465"/>
          <cell r="H465"/>
          <cell r="I465"/>
          <cell r="J465">
            <v>0</v>
          </cell>
        </row>
        <row r="466">
          <cell r="B466" t="str">
            <v>1.1.06.21.01</v>
          </cell>
          <cell r="C466" t="str">
            <v>Piutang Pendapatan Denda atas Pelanggaran Peraturan Daerah</v>
          </cell>
          <cell r="D466">
            <v>0</v>
          </cell>
          <cell r="E466">
            <v>0</v>
          </cell>
          <cell r="F466">
            <v>0</v>
          </cell>
          <cell r="G466">
            <v>0</v>
          </cell>
          <cell r="H466">
            <v>0</v>
          </cell>
          <cell r="I466">
            <v>0</v>
          </cell>
          <cell r="J466">
            <v>0</v>
          </cell>
        </row>
        <row r="467">
          <cell r="B467" t="str">
            <v>1.1.06.22</v>
          </cell>
          <cell r="C467" t="str">
            <v>Piutang Pendapatan Zakat, Infaq, Shadaqah, dan Wakaf</v>
          </cell>
          <cell r="D467">
            <v>0</v>
          </cell>
          <cell r="E467">
            <v>0</v>
          </cell>
          <cell r="F467"/>
          <cell r="G467"/>
          <cell r="H467"/>
          <cell r="I467"/>
          <cell r="J467">
            <v>0</v>
          </cell>
        </row>
        <row r="468">
          <cell r="B468" t="str">
            <v>1.1.06.22.01</v>
          </cell>
          <cell r="C468" t="str">
            <v>Piutang Pendapatan Zakat</v>
          </cell>
          <cell r="D468">
            <v>0</v>
          </cell>
          <cell r="E468">
            <v>0</v>
          </cell>
          <cell r="F468">
            <v>0</v>
          </cell>
          <cell r="G468">
            <v>0</v>
          </cell>
          <cell r="H468">
            <v>0</v>
          </cell>
          <cell r="I468">
            <v>0</v>
          </cell>
          <cell r="J468">
            <v>0</v>
          </cell>
        </row>
        <row r="469">
          <cell r="B469" t="str">
            <v>1.1.06.22.02</v>
          </cell>
          <cell r="C469" t="str">
            <v>Piutang Pendapatan Infaq</v>
          </cell>
          <cell r="D469">
            <v>0</v>
          </cell>
          <cell r="E469">
            <v>0</v>
          </cell>
          <cell r="F469">
            <v>0</v>
          </cell>
          <cell r="G469">
            <v>0</v>
          </cell>
          <cell r="H469">
            <v>0</v>
          </cell>
          <cell r="I469">
            <v>0</v>
          </cell>
          <cell r="J469">
            <v>0</v>
          </cell>
        </row>
        <row r="470">
          <cell r="B470" t="str">
            <v>1.1.06.22.03</v>
          </cell>
          <cell r="C470" t="str">
            <v>Piutang Pendapatan Shadaqah</v>
          </cell>
          <cell r="D470">
            <v>0</v>
          </cell>
          <cell r="E470">
            <v>0</v>
          </cell>
          <cell r="F470">
            <v>0</v>
          </cell>
          <cell r="G470">
            <v>0</v>
          </cell>
          <cell r="H470">
            <v>0</v>
          </cell>
          <cell r="I470">
            <v>0</v>
          </cell>
          <cell r="J470">
            <v>0</v>
          </cell>
        </row>
        <row r="471">
          <cell r="B471" t="str">
            <v>1.1.06.22.04</v>
          </cell>
          <cell r="C471" t="str">
            <v>Piutang Pendapatan Wakaf</v>
          </cell>
          <cell r="D471">
            <v>0</v>
          </cell>
          <cell r="E471">
            <v>0</v>
          </cell>
          <cell r="F471">
            <v>0</v>
          </cell>
          <cell r="G471">
            <v>0</v>
          </cell>
          <cell r="H471">
            <v>0</v>
          </cell>
          <cell r="I471">
            <v>0</v>
          </cell>
          <cell r="J471">
            <v>0</v>
          </cell>
        </row>
        <row r="472">
          <cell r="B472" t="str">
            <v>1.1.06.23</v>
          </cell>
          <cell r="C472" t="str">
            <v>Piutang Pendapatan Hasil Pelaksanaan Perjanjian/Kontrak</v>
          </cell>
          <cell r="D472">
            <v>0</v>
          </cell>
          <cell r="E472">
            <v>0</v>
          </cell>
          <cell r="F472"/>
          <cell r="G472"/>
          <cell r="H472"/>
          <cell r="I472"/>
          <cell r="J472">
            <v>0</v>
          </cell>
        </row>
        <row r="473">
          <cell r="B473" t="str">
            <v>1.1.06.23.01</v>
          </cell>
          <cell r="C473" t="str">
            <v>Piutang Pendapatan Hasil Pelaksanaan Perjanjian/Kontrak</v>
          </cell>
          <cell r="D473">
            <v>0</v>
          </cell>
          <cell r="E473">
            <v>0</v>
          </cell>
          <cell r="F473">
            <v>0</v>
          </cell>
          <cell r="G473">
            <v>0</v>
          </cell>
          <cell r="H473">
            <v>0</v>
          </cell>
          <cell r="I473">
            <v>0</v>
          </cell>
          <cell r="J473">
            <v>0</v>
          </cell>
        </row>
        <row r="474">
          <cell r="B474" t="str">
            <v>1.1.06.24</v>
          </cell>
          <cell r="C474" t="str">
            <v>Piutang Pungutan bagi Wisatawan Asing</v>
          </cell>
          <cell r="D474">
            <v>0</v>
          </cell>
          <cell r="E474">
            <v>0</v>
          </cell>
          <cell r="F474"/>
          <cell r="G474"/>
          <cell r="H474"/>
          <cell r="I474"/>
          <cell r="J474">
            <v>0</v>
          </cell>
        </row>
        <row r="475">
          <cell r="B475" t="str">
            <v>1.1.06.24.01</v>
          </cell>
          <cell r="C475" t="str">
            <v>Piutang Pungutan bagi Wisatawan Asing</v>
          </cell>
          <cell r="D475">
            <v>0</v>
          </cell>
          <cell r="E475">
            <v>0</v>
          </cell>
          <cell r="F475">
            <v>0</v>
          </cell>
          <cell r="G475">
            <v>0</v>
          </cell>
          <cell r="H475">
            <v>0</v>
          </cell>
          <cell r="I475">
            <v>0</v>
          </cell>
          <cell r="J475">
            <v>0</v>
          </cell>
        </row>
        <row r="476">
          <cell r="B476" t="str">
            <v>1.1.06.25</v>
          </cell>
          <cell r="C476" t="str">
            <v>Piutang Hasil Pengelolaan Dana Abadi Daerah</v>
          </cell>
          <cell r="D476">
            <v>0</v>
          </cell>
          <cell r="E476">
            <v>0</v>
          </cell>
          <cell r="F476"/>
          <cell r="G476"/>
          <cell r="H476"/>
          <cell r="I476"/>
          <cell r="J476">
            <v>0</v>
          </cell>
        </row>
        <row r="477">
          <cell r="B477" t="str">
            <v>1.1.06.25.01</v>
          </cell>
          <cell r="C477" t="str">
            <v>Piutang Hasil Pengelolaan Dana Abadi Daerah</v>
          </cell>
          <cell r="D477">
            <v>0</v>
          </cell>
          <cell r="E477">
            <v>0</v>
          </cell>
          <cell r="F477">
            <v>0</v>
          </cell>
          <cell r="G477">
            <v>0</v>
          </cell>
          <cell r="H477">
            <v>0</v>
          </cell>
          <cell r="I477">
            <v>0</v>
          </cell>
          <cell r="J477">
            <v>0</v>
          </cell>
        </row>
        <row r="478">
          <cell r="B478" t="str">
            <v>1.1.06.26</v>
          </cell>
          <cell r="C478" t="str">
            <v>Piutang Hasil Pengelolaan Dana Cadangan</v>
          </cell>
          <cell r="D478">
            <v>0</v>
          </cell>
          <cell r="E478">
            <v>0</v>
          </cell>
          <cell r="F478"/>
          <cell r="G478"/>
          <cell r="H478"/>
          <cell r="I478"/>
          <cell r="J478">
            <v>0</v>
          </cell>
        </row>
        <row r="479">
          <cell r="B479" t="str">
            <v>1.1.06.26.01</v>
          </cell>
          <cell r="C479" t="str">
            <v>Piutang Hasil Pengelolaan Dana Cadangan</v>
          </cell>
          <cell r="D479">
            <v>0</v>
          </cell>
          <cell r="E479">
            <v>0</v>
          </cell>
          <cell r="F479">
            <v>0</v>
          </cell>
          <cell r="G479">
            <v>0</v>
          </cell>
          <cell r="H479">
            <v>0</v>
          </cell>
          <cell r="I479">
            <v>0</v>
          </cell>
          <cell r="J479">
            <v>0</v>
          </cell>
        </row>
        <row r="480">
          <cell r="B480" t="str">
            <v>1.1.06.27</v>
          </cell>
          <cell r="C480" t="str">
            <v>Piutang Pendapatan atas Sanksi Administrasi Pajak Daerah</v>
          </cell>
          <cell r="D480">
            <v>0</v>
          </cell>
          <cell r="E480">
            <v>0</v>
          </cell>
          <cell r="F480"/>
          <cell r="G480"/>
          <cell r="H480"/>
          <cell r="I480"/>
          <cell r="J480">
            <v>0</v>
          </cell>
        </row>
        <row r="481">
          <cell r="B481" t="str">
            <v>1.1.06.27.01</v>
          </cell>
          <cell r="C481" t="str">
            <v>Piutang Pendapatan Denda</v>
          </cell>
          <cell r="D481">
            <v>0</v>
          </cell>
          <cell r="E481">
            <v>0</v>
          </cell>
          <cell r="F481">
            <v>0</v>
          </cell>
          <cell r="G481">
            <v>0</v>
          </cell>
          <cell r="H481">
            <v>0</v>
          </cell>
          <cell r="I481">
            <v>0</v>
          </cell>
          <cell r="J481">
            <v>0</v>
          </cell>
        </row>
        <row r="482">
          <cell r="B482" t="str">
            <v>1.1.06.27.02</v>
          </cell>
          <cell r="C482" t="str">
            <v>Piutang Pendapatan Bunga</v>
          </cell>
          <cell r="D482">
            <v>0</v>
          </cell>
          <cell r="E482">
            <v>0</v>
          </cell>
          <cell r="F482">
            <v>0</v>
          </cell>
          <cell r="G482">
            <v>0</v>
          </cell>
          <cell r="H482">
            <v>0</v>
          </cell>
          <cell r="I482">
            <v>0</v>
          </cell>
          <cell r="J482">
            <v>0</v>
          </cell>
        </row>
        <row r="483">
          <cell r="B483" t="str">
            <v>1.1.06.27.03</v>
          </cell>
          <cell r="C483" t="str">
            <v>Piutang Pendapatan Kenaikan Pokok Pajak</v>
          </cell>
          <cell r="D483">
            <v>0</v>
          </cell>
          <cell r="E483">
            <v>0</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F484"/>
          <cell r="G484"/>
          <cell r="H484"/>
          <cell r="I484"/>
          <cell r="J484">
            <v>0</v>
          </cell>
        </row>
        <row r="485">
          <cell r="B485" t="str">
            <v>1.1.06.28.01</v>
          </cell>
          <cell r="C485" t="str">
            <v>Piutang Pendapatan Denda</v>
          </cell>
          <cell r="D485">
            <v>0</v>
          </cell>
          <cell r="E485">
            <v>0</v>
          </cell>
          <cell r="F485">
            <v>0</v>
          </cell>
          <cell r="G485">
            <v>0</v>
          </cell>
          <cell r="H485">
            <v>0</v>
          </cell>
          <cell r="I485">
            <v>0</v>
          </cell>
          <cell r="J485">
            <v>0</v>
          </cell>
        </row>
        <row r="486">
          <cell r="B486" t="str">
            <v>1.1.06.28.02</v>
          </cell>
          <cell r="C486" t="str">
            <v>Piutang Pendapatan Bunga</v>
          </cell>
          <cell r="D486">
            <v>0</v>
          </cell>
          <cell r="E486">
            <v>0</v>
          </cell>
          <cell r="F486">
            <v>0</v>
          </cell>
          <cell r="G486">
            <v>0</v>
          </cell>
          <cell r="H486">
            <v>0</v>
          </cell>
          <cell r="I486">
            <v>0</v>
          </cell>
          <cell r="J486">
            <v>0</v>
          </cell>
        </row>
        <row r="487">
          <cell r="B487"/>
          <cell r="C487"/>
          <cell r="D487"/>
          <cell r="E487"/>
          <cell r="F487"/>
          <cell r="G487"/>
          <cell r="H487"/>
          <cell r="I487"/>
          <cell r="J487"/>
        </row>
        <row r="488">
          <cell r="B488" t="str">
            <v>1.1.07</v>
          </cell>
          <cell r="C488" t="str">
            <v>Piutang Transfer Pemerintah Pusat</v>
          </cell>
          <cell r="D488">
            <v>0</v>
          </cell>
          <cell r="E488">
            <v>0</v>
          </cell>
          <cell r="F488"/>
          <cell r="G488"/>
          <cell r="H488"/>
          <cell r="I488"/>
          <cell r="J488">
            <v>0</v>
          </cell>
        </row>
        <row r="489">
          <cell r="B489" t="str">
            <v>1.1.07.01</v>
          </cell>
          <cell r="C489" t="str">
            <v>Piutang Dana Perimbangan</v>
          </cell>
          <cell r="D489">
            <v>0</v>
          </cell>
          <cell r="E489">
            <v>0</v>
          </cell>
          <cell r="F489"/>
          <cell r="G489"/>
          <cell r="H489"/>
          <cell r="I489"/>
          <cell r="J489">
            <v>0</v>
          </cell>
        </row>
        <row r="490">
          <cell r="B490" t="str">
            <v>1.1.07.01.01</v>
          </cell>
          <cell r="C490" t="str">
            <v>Piutang Dana Transfer Umum-DBH</v>
          </cell>
          <cell r="D490">
            <v>0</v>
          </cell>
          <cell r="E490">
            <v>0</v>
          </cell>
          <cell r="F490">
            <v>0</v>
          </cell>
          <cell r="G490">
            <v>0</v>
          </cell>
          <cell r="H490">
            <v>0</v>
          </cell>
          <cell r="I490">
            <v>0</v>
          </cell>
          <cell r="J490">
            <v>0</v>
          </cell>
        </row>
        <row r="491">
          <cell r="B491" t="str">
            <v>1.1.07.01.02</v>
          </cell>
          <cell r="C491" t="str">
            <v>Piutang Dana Transfer Umum-Dana Alokasi umum (DAU)</v>
          </cell>
          <cell r="D491">
            <v>0</v>
          </cell>
          <cell r="E491">
            <v>0</v>
          </cell>
          <cell r="F491">
            <v>0</v>
          </cell>
          <cell r="G491">
            <v>0</v>
          </cell>
          <cell r="H491">
            <v>0</v>
          </cell>
          <cell r="I491">
            <v>0</v>
          </cell>
          <cell r="J491">
            <v>0</v>
          </cell>
        </row>
        <row r="492">
          <cell r="B492" t="str">
            <v>1.1.07.01.03</v>
          </cell>
          <cell r="C492" t="str">
            <v>Piutang Dana Transfer Khusus-Dana Alokasi Khusus (DAK) Fisik</v>
          </cell>
          <cell r="D492">
            <v>0</v>
          </cell>
          <cell r="E492">
            <v>0</v>
          </cell>
          <cell r="F492">
            <v>0</v>
          </cell>
          <cell r="G492">
            <v>0</v>
          </cell>
          <cell r="H492">
            <v>0</v>
          </cell>
          <cell r="I492">
            <v>0</v>
          </cell>
          <cell r="J492">
            <v>0</v>
          </cell>
        </row>
        <row r="493">
          <cell r="B493" t="str">
            <v>1.1.07.01.04</v>
          </cell>
          <cell r="C493" t="str">
            <v>Piutang Dana Transfer Khusus Non Fisik-DAK Non Fisik</v>
          </cell>
          <cell r="D493">
            <v>0</v>
          </cell>
          <cell r="E493">
            <v>0</v>
          </cell>
          <cell r="F493">
            <v>0</v>
          </cell>
          <cell r="G493">
            <v>0</v>
          </cell>
          <cell r="H493">
            <v>0</v>
          </cell>
          <cell r="I493">
            <v>0</v>
          </cell>
          <cell r="J493">
            <v>0</v>
          </cell>
        </row>
        <row r="494">
          <cell r="B494" t="str">
            <v>1.1.07.02</v>
          </cell>
          <cell r="C494" t="str">
            <v>Piutang Dana Insentif Daerah (DID)</v>
          </cell>
          <cell r="D494">
            <v>0</v>
          </cell>
          <cell r="E494">
            <v>0</v>
          </cell>
          <cell r="F494"/>
          <cell r="G494"/>
          <cell r="H494"/>
          <cell r="I494"/>
          <cell r="J494">
            <v>0</v>
          </cell>
        </row>
        <row r="495">
          <cell r="B495" t="str">
            <v>1.1.07.02.01</v>
          </cell>
          <cell r="C495" t="str">
            <v>Piutang DID</v>
          </cell>
          <cell r="D495">
            <v>0</v>
          </cell>
          <cell r="E495">
            <v>0</v>
          </cell>
          <cell r="F495">
            <v>0</v>
          </cell>
          <cell r="G495">
            <v>0</v>
          </cell>
          <cell r="H495">
            <v>0</v>
          </cell>
          <cell r="I495">
            <v>0</v>
          </cell>
          <cell r="J495">
            <v>0</v>
          </cell>
        </row>
        <row r="496">
          <cell r="B496" t="str">
            <v>1.1.07.03</v>
          </cell>
          <cell r="C496" t="str">
            <v>Piutang Dana Otonomi Khusus dan Tambahan Infrastruktur</v>
          </cell>
          <cell r="D496">
            <v>0</v>
          </cell>
          <cell r="E496">
            <v>0</v>
          </cell>
          <cell r="F496"/>
          <cell r="G496"/>
          <cell r="H496"/>
          <cell r="I496"/>
          <cell r="J496">
            <v>0</v>
          </cell>
        </row>
        <row r="497">
          <cell r="B497" t="str">
            <v>1.1.07.03.01</v>
          </cell>
          <cell r="C497" t="str">
            <v>Piutang Dana Otonomi Khusus-Provinsi Papua</v>
          </cell>
          <cell r="D497">
            <v>0</v>
          </cell>
          <cell r="E497">
            <v>0</v>
          </cell>
          <cell r="F497">
            <v>0</v>
          </cell>
          <cell r="G497">
            <v>0</v>
          </cell>
          <cell r="H497">
            <v>0</v>
          </cell>
          <cell r="I497">
            <v>0</v>
          </cell>
          <cell r="J497">
            <v>0</v>
          </cell>
        </row>
        <row r="498">
          <cell r="B498" t="str">
            <v>1.1.07.03.02</v>
          </cell>
          <cell r="C498" t="str">
            <v>Piutang Dana Otonomi Khusus-Provinsi Papua Barat</v>
          </cell>
          <cell r="D498">
            <v>0</v>
          </cell>
          <cell r="E498">
            <v>0</v>
          </cell>
          <cell r="F498">
            <v>0</v>
          </cell>
          <cell r="G498">
            <v>0</v>
          </cell>
          <cell r="H498">
            <v>0</v>
          </cell>
          <cell r="I498">
            <v>0</v>
          </cell>
          <cell r="J498">
            <v>0</v>
          </cell>
        </row>
        <row r="499">
          <cell r="B499" t="str">
            <v>1.1.07.03.03</v>
          </cell>
          <cell r="C499" t="str">
            <v>Piutang Dana Otonomi Khusus-Provinsi Aceh</v>
          </cell>
          <cell r="D499">
            <v>0</v>
          </cell>
          <cell r="E499">
            <v>0</v>
          </cell>
          <cell r="F499">
            <v>0</v>
          </cell>
          <cell r="G499">
            <v>0</v>
          </cell>
          <cell r="H499">
            <v>0</v>
          </cell>
          <cell r="I499">
            <v>0</v>
          </cell>
          <cell r="J499">
            <v>0</v>
          </cell>
        </row>
        <row r="500">
          <cell r="B500" t="str">
            <v>1.1.07.03.04</v>
          </cell>
          <cell r="C500" t="str">
            <v>Piutang Dana Tambahan Infrastruktur dalam rangka Otonomi Khusus Provinsi Papua</v>
          </cell>
          <cell r="D500">
            <v>0</v>
          </cell>
          <cell r="E500">
            <v>0</v>
          </cell>
          <cell r="F500">
            <v>0</v>
          </cell>
          <cell r="G500">
            <v>0</v>
          </cell>
          <cell r="H500">
            <v>0</v>
          </cell>
          <cell r="I500">
            <v>0</v>
          </cell>
          <cell r="J500">
            <v>0</v>
          </cell>
        </row>
        <row r="501">
          <cell r="B501" t="str">
            <v>1.1.07.03.05</v>
          </cell>
          <cell r="C501" t="str">
            <v>Piutang Dana Tambahan Infrastruktur dalam rangka Otonomi Khusus Provinsi Papua Barat</v>
          </cell>
          <cell r="D501">
            <v>0</v>
          </cell>
          <cell r="E501">
            <v>0</v>
          </cell>
          <cell r="F501">
            <v>0</v>
          </cell>
          <cell r="G501">
            <v>0</v>
          </cell>
          <cell r="H501">
            <v>0</v>
          </cell>
          <cell r="I501">
            <v>0</v>
          </cell>
          <cell r="J501">
            <v>0</v>
          </cell>
        </row>
        <row r="502">
          <cell r="B502" t="str">
            <v>1.1.07.03.06</v>
          </cell>
          <cell r="C502" t="str">
            <v>Piutang Dana Bagi Hasil (DBH) Minyak dan Gas Otonomi Khusus Papua</v>
          </cell>
          <cell r="D502">
            <v>0</v>
          </cell>
          <cell r="E502">
            <v>0</v>
          </cell>
          <cell r="F502">
            <v>0</v>
          </cell>
          <cell r="G502">
            <v>0</v>
          </cell>
          <cell r="H502">
            <v>0</v>
          </cell>
          <cell r="I502">
            <v>0</v>
          </cell>
          <cell r="J502">
            <v>0</v>
          </cell>
        </row>
        <row r="503">
          <cell r="B503" t="str">
            <v>1.1.07.03.07</v>
          </cell>
          <cell r="C503" t="str">
            <v>Piutang Dana Bagi Hasil (DBH) Minyak dan Gas Otonomi Khusus Aceh</v>
          </cell>
          <cell r="D503">
            <v>0</v>
          </cell>
          <cell r="E503">
            <v>0</v>
          </cell>
          <cell r="F503">
            <v>0</v>
          </cell>
          <cell r="G503">
            <v>0</v>
          </cell>
          <cell r="H503">
            <v>0</v>
          </cell>
          <cell r="I503">
            <v>0</v>
          </cell>
          <cell r="J503">
            <v>0</v>
          </cell>
        </row>
        <row r="504">
          <cell r="B504" t="str">
            <v>1.1.07.03.08</v>
          </cell>
          <cell r="C504" t="str">
            <v>Piutang Dana Otonomi Khusus 1%-Papua</v>
          </cell>
          <cell r="D504">
            <v>0</v>
          </cell>
          <cell r="E504">
            <v>0</v>
          </cell>
          <cell r="F504">
            <v>0</v>
          </cell>
          <cell r="G504">
            <v>0</v>
          </cell>
          <cell r="H504">
            <v>0</v>
          </cell>
          <cell r="I504">
            <v>0</v>
          </cell>
          <cell r="J504">
            <v>0</v>
          </cell>
        </row>
        <row r="505">
          <cell r="B505" t="str">
            <v>1.1.07.03.09</v>
          </cell>
          <cell r="C505" t="str">
            <v>Piutang DBH SDA Pertambangan Minyak Bumi-Papua</v>
          </cell>
          <cell r="D505">
            <v>0</v>
          </cell>
          <cell r="E505">
            <v>0</v>
          </cell>
          <cell r="F505">
            <v>0</v>
          </cell>
          <cell r="G505">
            <v>0</v>
          </cell>
          <cell r="H505">
            <v>0</v>
          </cell>
          <cell r="I505">
            <v>0</v>
          </cell>
          <cell r="J505">
            <v>0</v>
          </cell>
        </row>
        <row r="506">
          <cell r="B506" t="str">
            <v>1.1.07.03.10</v>
          </cell>
          <cell r="C506" t="str">
            <v>Piutang DBH SDA Pertambangan Gas Alam-Papua</v>
          </cell>
          <cell r="D506">
            <v>0</v>
          </cell>
          <cell r="E506">
            <v>0</v>
          </cell>
          <cell r="F506">
            <v>0</v>
          </cell>
          <cell r="G506">
            <v>0</v>
          </cell>
          <cell r="H506">
            <v>0</v>
          </cell>
          <cell r="I506">
            <v>0</v>
          </cell>
          <cell r="J506">
            <v>0</v>
          </cell>
        </row>
        <row r="507">
          <cell r="B507" t="str">
            <v>1.1.07.03.11</v>
          </cell>
          <cell r="C507" t="str">
            <v>Piutang Dana Otonomi Khusus 1,25%-Papua</v>
          </cell>
          <cell r="D507">
            <v>0</v>
          </cell>
          <cell r="E507">
            <v>0</v>
          </cell>
          <cell r="F507">
            <v>0</v>
          </cell>
          <cell r="G507">
            <v>0</v>
          </cell>
          <cell r="H507">
            <v>0</v>
          </cell>
          <cell r="I507">
            <v>0</v>
          </cell>
          <cell r="J507">
            <v>0</v>
          </cell>
        </row>
        <row r="508">
          <cell r="B508" t="str">
            <v>1.1.07.03.12</v>
          </cell>
          <cell r="C508" t="str">
            <v>Piutang DTI-Papua</v>
          </cell>
          <cell r="D508">
            <v>0</v>
          </cell>
          <cell r="E508">
            <v>0</v>
          </cell>
          <cell r="F508">
            <v>0</v>
          </cell>
          <cell r="G508">
            <v>0</v>
          </cell>
          <cell r="H508">
            <v>0</v>
          </cell>
          <cell r="I508">
            <v>0</v>
          </cell>
          <cell r="J508">
            <v>0</v>
          </cell>
        </row>
        <row r="509">
          <cell r="B509" t="str">
            <v>1.1.07.03.13</v>
          </cell>
          <cell r="C509" t="str">
            <v>Piutang DBH SDA Pertambangan Minyak Bumi-Aceh</v>
          </cell>
          <cell r="D509">
            <v>0</v>
          </cell>
          <cell r="E509">
            <v>0</v>
          </cell>
          <cell r="F509">
            <v>0</v>
          </cell>
          <cell r="G509">
            <v>0</v>
          </cell>
          <cell r="H509">
            <v>0</v>
          </cell>
          <cell r="I509">
            <v>0</v>
          </cell>
          <cell r="J509">
            <v>0</v>
          </cell>
        </row>
        <row r="510">
          <cell r="B510" t="str">
            <v>1.1.07.03.14</v>
          </cell>
          <cell r="C510" t="str">
            <v>Piutang DBH SDA Pertambangan Gas Alam-Aceh</v>
          </cell>
          <cell r="D510">
            <v>0</v>
          </cell>
          <cell r="E510">
            <v>0</v>
          </cell>
          <cell r="F510">
            <v>0</v>
          </cell>
          <cell r="G510">
            <v>0</v>
          </cell>
          <cell r="H510">
            <v>0</v>
          </cell>
          <cell r="I510">
            <v>0</v>
          </cell>
          <cell r="J510">
            <v>0</v>
          </cell>
        </row>
        <row r="511">
          <cell r="B511" t="str">
            <v>1.1.07.04</v>
          </cell>
          <cell r="C511" t="str">
            <v>Piutang Dana Keistimewaan</v>
          </cell>
          <cell r="D511">
            <v>0</v>
          </cell>
          <cell r="E511">
            <v>0</v>
          </cell>
          <cell r="F511"/>
          <cell r="G511"/>
          <cell r="H511"/>
          <cell r="I511"/>
          <cell r="J511">
            <v>0</v>
          </cell>
        </row>
        <row r="512">
          <cell r="B512" t="str">
            <v>1.1.07.04.01</v>
          </cell>
          <cell r="C512" t="str">
            <v>Piutang Dana Keistimewaan Daerah Istimewa Yogyakarta</v>
          </cell>
          <cell r="D512">
            <v>0</v>
          </cell>
          <cell r="E512">
            <v>0</v>
          </cell>
          <cell r="F512">
            <v>0</v>
          </cell>
          <cell r="G512">
            <v>0</v>
          </cell>
          <cell r="H512">
            <v>0</v>
          </cell>
          <cell r="I512">
            <v>0</v>
          </cell>
          <cell r="J512">
            <v>0</v>
          </cell>
        </row>
        <row r="513">
          <cell r="B513" t="str">
            <v>1.1.07.05</v>
          </cell>
          <cell r="C513" t="str">
            <v>Piutang Dana Desa</v>
          </cell>
          <cell r="D513">
            <v>0</v>
          </cell>
          <cell r="E513">
            <v>0</v>
          </cell>
          <cell r="F513"/>
          <cell r="G513"/>
          <cell r="H513"/>
          <cell r="I513"/>
          <cell r="J513">
            <v>0</v>
          </cell>
        </row>
        <row r="514">
          <cell r="B514" t="str">
            <v>1.1.07.05.01</v>
          </cell>
          <cell r="C514" t="str">
            <v>Piutang Dana Desa</v>
          </cell>
          <cell r="D514">
            <v>0</v>
          </cell>
          <cell r="E514">
            <v>0</v>
          </cell>
          <cell r="F514">
            <v>0</v>
          </cell>
          <cell r="G514">
            <v>0</v>
          </cell>
          <cell r="H514">
            <v>0</v>
          </cell>
          <cell r="I514">
            <v>0</v>
          </cell>
          <cell r="J514">
            <v>0</v>
          </cell>
        </row>
        <row r="515">
          <cell r="B515" t="str">
            <v>1.1.07.06</v>
          </cell>
          <cell r="C515" t="str">
            <v>Piutang Insentif Fiskal</v>
          </cell>
          <cell r="D515">
            <v>0</v>
          </cell>
          <cell r="E515">
            <v>0</v>
          </cell>
          <cell r="F515"/>
          <cell r="G515"/>
          <cell r="H515"/>
          <cell r="I515"/>
          <cell r="J515">
            <v>0</v>
          </cell>
        </row>
        <row r="516">
          <cell r="B516" t="str">
            <v>1.1.07.06.01</v>
          </cell>
          <cell r="C516" t="str">
            <v>Piutang Insentif Fiskal</v>
          </cell>
          <cell r="D516">
            <v>0</v>
          </cell>
          <cell r="E516">
            <v>0</v>
          </cell>
          <cell r="F516">
            <v>0</v>
          </cell>
          <cell r="G516">
            <v>0</v>
          </cell>
          <cell r="H516">
            <v>0</v>
          </cell>
          <cell r="I516">
            <v>0</v>
          </cell>
          <cell r="J516">
            <v>0</v>
          </cell>
        </row>
        <row r="517">
          <cell r="B517" t="str">
            <v>1.1.07.06.02</v>
          </cell>
          <cell r="C517" t="str">
            <v>Piutang Insentif Fiskal Untuk Penghargaan Kinerja Tahun Sebelumnya</v>
          </cell>
          <cell r="D517">
            <v>0</v>
          </cell>
          <cell r="E517">
            <v>0</v>
          </cell>
          <cell r="F517">
            <v>0</v>
          </cell>
          <cell r="G517">
            <v>0</v>
          </cell>
          <cell r="H517">
            <v>0</v>
          </cell>
          <cell r="I517">
            <v>0</v>
          </cell>
          <cell r="J517">
            <v>0</v>
          </cell>
        </row>
        <row r="518">
          <cell r="B518" t="str">
            <v>1.1.07.06.03</v>
          </cell>
          <cell r="C518" t="str">
            <v>Piutang Insentif Fiskal Untuk Penghargaan Kinerja Tahun Berjalan</v>
          </cell>
          <cell r="D518">
            <v>0</v>
          </cell>
          <cell r="E518">
            <v>0</v>
          </cell>
          <cell r="F518">
            <v>0</v>
          </cell>
          <cell r="G518">
            <v>0</v>
          </cell>
          <cell r="H518">
            <v>0</v>
          </cell>
          <cell r="I518">
            <v>0</v>
          </cell>
          <cell r="J518">
            <v>0</v>
          </cell>
        </row>
        <row r="519">
          <cell r="B519" t="str">
            <v>1.1.07.07</v>
          </cell>
          <cell r="C519" t="str">
            <v>Piutang Dana Bagi Hasil (DBH)</v>
          </cell>
          <cell r="D519">
            <v>0</v>
          </cell>
          <cell r="E519">
            <v>0</v>
          </cell>
          <cell r="F519"/>
          <cell r="G519"/>
          <cell r="H519"/>
          <cell r="I519"/>
          <cell r="J519">
            <v>0</v>
          </cell>
        </row>
        <row r="520">
          <cell r="B520" t="str">
            <v>1.1.07.07.01</v>
          </cell>
          <cell r="C520" t="str">
            <v>Piutang DBH Pajak</v>
          </cell>
          <cell r="D520">
            <v>0</v>
          </cell>
          <cell r="E520">
            <v>0</v>
          </cell>
          <cell r="F520">
            <v>0</v>
          </cell>
          <cell r="G520">
            <v>0</v>
          </cell>
          <cell r="H520">
            <v>0</v>
          </cell>
          <cell r="I520">
            <v>0</v>
          </cell>
          <cell r="J520">
            <v>0</v>
          </cell>
        </row>
        <row r="521">
          <cell r="B521" t="str">
            <v>1.1.07.07.02</v>
          </cell>
          <cell r="C521" t="str">
            <v>Piutang DBH Sumber Daya Alam (SDA)</v>
          </cell>
          <cell r="D521">
            <v>0</v>
          </cell>
          <cell r="E521">
            <v>0</v>
          </cell>
          <cell r="F521">
            <v>0</v>
          </cell>
          <cell r="G521">
            <v>0</v>
          </cell>
          <cell r="H521">
            <v>0</v>
          </cell>
          <cell r="I521">
            <v>0</v>
          </cell>
          <cell r="J521">
            <v>0</v>
          </cell>
        </row>
        <row r="522">
          <cell r="B522" t="str">
            <v>1.1.07.07.03</v>
          </cell>
          <cell r="C522" t="str">
            <v>Piutang DBH Lainnya</v>
          </cell>
          <cell r="D522">
            <v>0</v>
          </cell>
          <cell r="E522">
            <v>0</v>
          </cell>
          <cell r="F522">
            <v>0</v>
          </cell>
          <cell r="G522">
            <v>0</v>
          </cell>
          <cell r="H522">
            <v>0</v>
          </cell>
          <cell r="I522">
            <v>0</v>
          </cell>
          <cell r="J522">
            <v>0</v>
          </cell>
        </row>
        <row r="523">
          <cell r="B523" t="str">
            <v>1.1.07.08</v>
          </cell>
          <cell r="C523" t="str">
            <v>Piutang Dana Alokasi Umum (DAU)</v>
          </cell>
          <cell r="D523">
            <v>0</v>
          </cell>
          <cell r="E523">
            <v>0</v>
          </cell>
          <cell r="F523"/>
          <cell r="G523"/>
          <cell r="H523"/>
          <cell r="I523"/>
          <cell r="J523">
            <v>0</v>
          </cell>
        </row>
        <row r="524">
          <cell r="B524" t="str">
            <v>1.1.07.08.01</v>
          </cell>
          <cell r="C524" t="str">
            <v>Piutang DAU yang Tidak Ditentukan Penggunaannya</v>
          </cell>
          <cell r="D524">
            <v>0</v>
          </cell>
          <cell r="E524">
            <v>0</v>
          </cell>
          <cell r="F524">
            <v>0</v>
          </cell>
          <cell r="G524">
            <v>0</v>
          </cell>
          <cell r="H524">
            <v>0</v>
          </cell>
          <cell r="I524">
            <v>0</v>
          </cell>
          <cell r="J524">
            <v>0</v>
          </cell>
        </row>
        <row r="525">
          <cell r="B525" t="str">
            <v>1.1.07.08.02</v>
          </cell>
          <cell r="C525" t="str">
            <v>Piutang DAU yang Ditentukan Penggunaannya</v>
          </cell>
          <cell r="D525">
            <v>0</v>
          </cell>
          <cell r="E525">
            <v>0</v>
          </cell>
          <cell r="F525">
            <v>0</v>
          </cell>
          <cell r="G525">
            <v>0</v>
          </cell>
          <cell r="H525">
            <v>0</v>
          </cell>
          <cell r="I525">
            <v>0</v>
          </cell>
          <cell r="J525">
            <v>0</v>
          </cell>
        </row>
        <row r="526">
          <cell r="B526" t="str">
            <v>1.1.07.09</v>
          </cell>
          <cell r="C526" t="str">
            <v>Piutang Dana Alokasi Khusus (DAK)</v>
          </cell>
          <cell r="D526">
            <v>0</v>
          </cell>
          <cell r="E526">
            <v>0</v>
          </cell>
          <cell r="F526"/>
          <cell r="G526"/>
          <cell r="H526"/>
          <cell r="I526"/>
          <cell r="J526">
            <v>0</v>
          </cell>
        </row>
        <row r="527">
          <cell r="B527" t="str">
            <v>1.1.07.09.01</v>
          </cell>
          <cell r="C527" t="str">
            <v>Piutang DAK Fisik</v>
          </cell>
          <cell r="D527"/>
          <cell r="E527"/>
          <cell r="F527">
            <v>0</v>
          </cell>
          <cell r="G527">
            <v>0</v>
          </cell>
          <cell r="H527">
            <v>0</v>
          </cell>
          <cell r="I527">
            <v>0</v>
          </cell>
          <cell r="J527">
            <v>0</v>
          </cell>
        </row>
        <row r="528">
          <cell r="B528" t="str">
            <v>1.1.07.09.02</v>
          </cell>
          <cell r="C528" t="str">
            <v>Piutang DAK Non Fisik</v>
          </cell>
          <cell r="D528"/>
          <cell r="E528"/>
          <cell r="F528">
            <v>0</v>
          </cell>
          <cell r="G528">
            <v>0</v>
          </cell>
          <cell r="H528">
            <v>0</v>
          </cell>
          <cell r="I528">
            <v>0</v>
          </cell>
          <cell r="J528">
            <v>0</v>
          </cell>
        </row>
        <row r="529">
          <cell r="B529" t="str">
            <v>1.1.07.09.03</v>
          </cell>
          <cell r="C529" t="str">
            <v>Piutang Hibah kepada Daerah</v>
          </cell>
          <cell r="D529"/>
          <cell r="E529"/>
          <cell r="F529">
            <v>0</v>
          </cell>
          <cell r="G529">
            <v>0</v>
          </cell>
          <cell r="H529">
            <v>0</v>
          </cell>
          <cell r="I529">
            <v>0</v>
          </cell>
          <cell r="J529">
            <v>0</v>
          </cell>
        </row>
        <row r="530">
          <cell r="B530"/>
          <cell r="C530"/>
          <cell r="D530"/>
          <cell r="E530"/>
          <cell r="F530"/>
          <cell r="G530"/>
          <cell r="H530"/>
          <cell r="I530"/>
          <cell r="J530"/>
        </row>
        <row r="531">
          <cell r="B531" t="str">
            <v>1.1.08</v>
          </cell>
          <cell r="C531" t="str">
            <v>Piutang Transfer Antar Daerah</v>
          </cell>
          <cell r="D531">
            <v>26343208254</v>
          </cell>
          <cell r="E531">
            <v>907226055</v>
          </cell>
          <cell r="F531"/>
          <cell r="G531"/>
          <cell r="H531"/>
          <cell r="I531"/>
          <cell r="J531">
            <v>907226055</v>
          </cell>
        </row>
        <row r="532">
          <cell r="B532" t="str">
            <v>1.1.08.01</v>
          </cell>
          <cell r="C532" t="str">
            <v>Piutang Bagi Hasil</v>
          </cell>
          <cell r="D532">
            <v>26343208254</v>
          </cell>
          <cell r="E532">
            <v>907226055</v>
          </cell>
          <cell r="F532"/>
          <cell r="G532"/>
          <cell r="H532"/>
          <cell r="I532"/>
          <cell r="J532">
            <v>907226055</v>
          </cell>
        </row>
        <row r="533">
          <cell r="B533" t="str">
            <v>1.1.08.01.01</v>
          </cell>
          <cell r="C533" t="str">
            <v>Piutang Bagi Hasil Pajak</v>
          </cell>
          <cell r="D533">
            <v>26343208254</v>
          </cell>
          <cell r="E533">
            <v>907226055</v>
          </cell>
          <cell r="F533">
            <v>0</v>
          </cell>
          <cell r="G533">
            <v>0</v>
          </cell>
          <cell r="H533">
            <v>0</v>
          </cell>
          <cell r="I533">
            <v>0</v>
          </cell>
          <cell r="J533">
            <v>907226055</v>
          </cell>
        </row>
        <row r="534">
          <cell r="B534" t="str">
            <v>1.1.08.02</v>
          </cell>
          <cell r="C534" t="str">
            <v>Piutang Bantuan Keuangan</v>
          </cell>
          <cell r="D534">
            <v>0</v>
          </cell>
          <cell r="E534">
            <v>0</v>
          </cell>
          <cell r="F534"/>
          <cell r="G534"/>
          <cell r="H534"/>
          <cell r="I534"/>
          <cell r="J534">
            <v>0</v>
          </cell>
        </row>
        <row r="535">
          <cell r="B535" t="str">
            <v>1.1.08.02.01</v>
          </cell>
          <cell r="C535" t="str">
            <v>Piutang Bantuan Keuangan Umum dari Pemerintah Provinsi</v>
          </cell>
          <cell r="D535">
            <v>0</v>
          </cell>
          <cell r="E535">
            <v>0</v>
          </cell>
          <cell r="F535">
            <v>0</v>
          </cell>
          <cell r="G535">
            <v>0</v>
          </cell>
          <cell r="H535">
            <v>0</v>
          </cell>
          <cell r="I535">
            <v>0</v>
          </cell>
          <cell r="J535">
            <v>0</v>
          </cell>
        </row>
        <row r="536">
          <cell r="B536" t="str">
            <v>1.1.08.02.02</v>
          </cell>
          <cell r="C536" t="str">
            <v>Piutang Bantuan Keuangan Khusus dari Pemerintah Provinsi</v>
          </cell>
          <cell r="D536">
            <v>0</v>
          </cell>
          <cell r="E536">
            <v>0</v>
          </cell>
          <cell r="F536">
            <v>0</v>
          </cell>
          <cell r="G536">
            <v>0</v>
          </cell>
          <cell r="H536">
            <v>0</v>
          </cell>
          <cell r="I536">
            <v>0</v>
          </cell>
          <cell r="J536">
            <v>0</v>
          </cell>
        </row>
        <row r="537">
          <cell r="B537" t="str">
            <v>1.1.08.02.03</v>
          </cell>
          <cell r="C537" t="str">
            <v>Piutang Bantuan Keuangan Umum dari Pemerintah Kabupaten/Kota</v>
          </cell>
          <cell r="D537">
            <v>0</v>
          </cell>
          <cell r="E537">
            <v>0</v>
          </cell>
          <cell r="F537">
            <v>0</v>
          </cell>
          <cell r="G537">
            <v>0</v>
          </cell>
          <cell r="H537">
            <v>0</v>
          </cell>
          <cell r="I537">
            <v>0</v>
          </cell>
          <cell r="J537">
            <v>0</v>
          </cell>
        </row>
        <row r="538">
          <cell r="B538" t="str">
            <v>1.1.08.02.04</v>
          </cell>
          <cell r="C538" t="str">
            <v>Piutang Bantuan Keuangan Khusus dari Pemerintah Kabupaten/Kota</v>
          </cell>
          <cell r="D538">
            <v>0</v>
          </cell>
          <cell r="E538">
            <v>0</v>
          </cell>
          <cell r="F538">
            <v>0</v>
          </cell>
          <cell r="G538">
            <v>0</v>
          </cell>
          <cell r="H538">
            <v>0</v>
          </cell>
          <cell r="I538">
            <v>0</v>
          </cell>
          <cell r="J538">
            <v>0</v>
          </cell>
        </row>
        <row r="539">
          <cell r="B539"/>
          <cell r="C539"/>
          <cell r="D539"/>
          <cell r="E539"/>
          <cell r="F539"/>
          <cell r="G539"/>
          <cell r="H539"/>
          <cell r="I539"/>
          <cell r="J539"/>
        </row>
        <row r="540">
          <cell r="B540" t="str">
            <v>1.1.09</v>
          </cell>
          <cell r="C540" t="str">
            <v>Piutang Lainnya</v>
          </cell>
          <cell r="D540">
            <v>7651826244</v>
          </cell>
          <cell r="E540">
            <v>6458130084</v>
          </cell>
          <cell r="F540"/>
          <cell r="G540"/>
          <cell r="H540"/>
          <cell r="I540"/>
          <cell r="J540">
            <v>6487189391</v>
          </cell>
        </row>
        <row r="541">
          <cell r="B541" t="str">
            <v>1.1.09.01</v>
          </cell>
          <cell r="C541" t="str">
            <v>Bagian Lancar Tagihan Jangka Panjang</v>
          </cell>
          <cell r="D541">
            <v>6500598084</v>
          </cell>
          <cell r="E541">
            <v>5558655408</v>
          </cell>
          <cell r="F541"/>
          <cell r="G541"/>
          <cell r="H541"/>
          <cell r="I541"/>
          <cell r="J541">
            <v>5176591495</v>
          </cell>
        </row>
        <row r="542">
          <cell r="B542" t="str">
            <v>1.1.09.01.01</v>
          </cell>
          <cell r="C542" t="str">
            <v>Bagian Lancar Tagihan Jangka Panjang-Investasi dalam Proyek Pembangunan kepada Pemerintah Pusat</v>
          </cell>
          <cell r="D542">
            <v>0</v>
          </cell>
          <cell r="E542">
            <v>0</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D543">
            <v>0</v>
          </cell>
          <cell r="E543">
            <v>0</v>
          </cell>
          <cell r="F543">
            <v>0</v>
          </cell>
          <cell r="G543">
            <v>0</v>
          </cell>
          <cell r="H543">
            <v>0</v>
          </cell>
          <cell r="I543">
            <v>0</v>
          </cell>
          <cell r="J543">
            <v>0</v>
          </cell>
        </row>
        <row r="544">
          <cell r="B544" t="str">
            <v>1.1.09.01.03</v>
          </cell>
          <cell r="C544" t="str">
            <v>Bagian Lancar Tagihan Jangka Panjang-Investasi Non Permanen kepada BUMD</v>
          </cell>
          <cell r="D544">
            <v>0</v>
          </cell>
          <cell r="E544">
            <v>0</v>
          </cell>
          <cell r="F544">
            <v>0</v>
          </cell>
          <cell r="G544">
            <v>0</v>
          </cell>
          <cell r="H544">
            <v>0</v>
          </cell>
          <cell r="I544">
            <v>0</v>
          </cell>
          <cell r="J544">
            <v>0</v>
          </cell>
        </row>
        <row r="545">
          <cell r="B545" t="str">
            <v>1.1.09.01.04</v>
          </cell>
          <cell r="C545" t="str">
            <v>Bagian Lancar Tagihan Jangka Panjang-Investasi Non Permanen Lainnya kepada BUMN</v>
          </cell>
          <cell r="D545">
            <v>0</v>
          </cell>
          <cell r="E545">
            <v>0</v>
          </cell>
          <cell r="F545">
            <v>0</v>
          </cell>
          <cell r="G545">
            <v>0</v>
          </cell>
          <cell r="H545">
            <v>0</v>
          </cell>
          <cell r="I545">
            <v>0</v>
          </cell>
          <cell r="J545">
            <v>0</v>
          </cell>
        </row>
        <row r="546">
          <cell r="B546" t="str">
            <v>1.1.09.01.05</v>
          </cell>
          <cell r="C546" t="str">
            <v>Bagian Lancar Tagihan Jangka Panjang-Dana Bergulir kepada Koperasi</v>
          </cell>
          <cell r="D546">
            <v>6500598084</v>
          </cell>
          <cell r="E546">
            <v>5558655408</v>
          </cell>
          <cell r="F546">
            <v>0</v>
          </cell>
          <cell r="G546">
            <v>382063913</v>
          </cell>
          <cell r="H546">
            <v>0</v>
          </cell>
          <cell r="I546">
            <v>0</v>
          </cell>
          <cell r="J546">
            <v>5176591495</v>
          </cell>
        </row>
        <row r="547">
          <cell r="B547" t="str">
            <v>1.1.09.01.06</v>
          </cell>
          <cell r="C547" t="str">
            <v>Bagian Lancar Tagihan Jangka Panjang-Dana Bergulir kepada Masyarakat</v>
          </cell>
          <cell r="D547">
            <v>0</v>
          </cell>
          <cell r="E547">
            <v>0</v>
          </cell>
          <cell r="F547">
            <v>0</v>
          </cell>
          <cell r="G547">
            <v>0</v>
          </cell>
          <cell r="H547">
            <v>0</v>
          </cell>
          <cell r="I547">
            <v>0</v>
          </cell>
          <cell r="J547">
            <v>0</v>
          </cell>
        </row>
        <row r="548">
          <cell r="B548" t="str">
            <v>1.1.09.01.07</v>
          </cell>
          <cell r="C548" t="str">
            <v>Bagian Lancar Tagihan Jangka Panjang-Dana Bergulir melalui BLUD</v>
          </cell>
          <cell r="D548">
            <v>0</v>
          </cell>
          <cell r="E548">
            <v>0</v>
          </cell>
          <cell r="F548">
            <v>0</v>
          </cell>
          <cell r="G548">
            <v>0</v>
          </cell>
          <cell r="H548">
            <v>0</v>
          </cell>
          <cell r="I548">
            <v>0</v>
          </cell>
          <cell r="J548">
            <v>0</v>
          </cell>
        </row>
        <row r="549">
          <cell r="B549" t="str">
            <v>1.1.09.02</v>
          </cell>
          <cell r="C549" t="str">
            <v>Bagian Lancar Tagihan Pinjaman Jangka Panjang</v>
          </cell>
          <cell r="D549">
            <v>1145000000</v>
          </cell>
          <cell r="E549">
            <v>893246516</v>
          </cell>
          <cell r="F549"/>
          <cell r="G549"/>
          <cell r="H549"/>
          <cell r="I549"/>
          <cell r="J549">
            <v>893166516</v>
          </cell>
        </row>
        <row r="550">
          <cell r="B550" t="str">
            <v>1.1.09.02.01</v>
          </cell>
          <cell r="C550" t="str">
            <v>Bagian Lancar Tagihan Pinjaman Jangka Panjang kepada Pemerintah Pusat</v>
          </cell>
          <cell r="D550">
            <v>0</v>
          </cell>
          <cell r="E550">
            <v>0</v>
          </cell>
          <cell r="F550">
            <v>0</v>
          </cell>
          <cell r="G550">
            <v>0</v>
          </cell>
          <cell r="H550">
            <v>0</v>
          </cell>
          <cell r="I550">
            <v>0</v>
          </cell>
          <cell r="J550">
            <v>0</v>
          </cell>
        </row>
        <row r="551">
          <cell r="B551" t="str">
            <v>1.1.09.02.02</v>
          </cell>
          <cell r="C551" t="str">
            <v>Bagian Lancar Tagihan Pinjaman Jangka Panjang kepada Pemerintah Daerah Lainnya</v>
          </cell>
          <cell r="D551">
            <v>0</v>
          </cell>
          <cell r="E551">
            <v>0</v>
          </cell>
          <cell r="F551">
            <v>0</v>
          </cell>
          <cell r="G551">
            <v>0</v>
          </cell>
          <cell r="H551">
            <v>0</v>
          </cell>
          <cell r="I551">
            <v>0</v>
          </cell>
          <cell r="J551">
            <v>0</v>
          </cell>
        </row>
        <row r="552">
          <cell r="B552" t="str">
            <v>1.1.09.02.03</v>
          </cell>
          <cell r="C552" t="str">
            <v>Bagian Lancar Tagihan Pinjaman Jangka Panjang kepada BUMD</v>
          </cell>
          <cell r="D552">
            <v>0</v>
          </cell>
          <cell r="E552">
            <v>0</v>
          </cell>
          <cell r="F552">
            <v>0</v>
          </cell>
          <cell r="G552">
            <v>0</v>
          </cell>
          <cell r="H552">
            <v>0</v>
          </cell>
          <cell r="I552">
            <v>0</v>
          </cell>
          <cell r="J552">
            <v>0</v>
          </cell>
        </row>
        <row r="553">
          <cell r="B553" t="str">
            <v>1.1.09.02.04</v>
          </cell>
          <cell r="C553" t="str">
            <v>Bagian Lancar Tagihan Pinjaman Jangka Panjang kepada BUMN</v>
          </cell>
          <cell r="D553">
            <v>0</v>
          </cell>
          <cell r="E553">
            <v>0</v>
          </cell>
          <cell r="F553">
            <v>0</v>
          </cell>
          <cell r="G553">
            <v>0</v>
          </cell>
          <cell r="H553">
            <v>0</v>
          </cell>
          <cell r="I553">
            <v>0</v>
          </cell>
          <cell r="J553">
            <v>0</v>
          </cell>
        </row>
        <row r="554">
          <cell r="B554" t="str">
            <v>1.1.09.02.05</v>
          </cell>
          <cell r="C554" t="str">
            <v>Bagian Lancar Tagihan Pinjaman Jangka Panjang kepada Koperasi</v>
          </cell>
          <cell r="D554">
            <v>0</v>
          </cell>
          <cell r="E554">
            <v>0</v>
          </cell>
          <cell r="F554">
            <v>0</v>
          </cell>
          <cell r="G554">
            <v>0</v>
          </cell>
          <cell r="H554">
            <v>0</v>
          </cell>
          <cell r="I554">
            <v>0</v>
          </cell>
          <cell r="J554">
            <v>0</v>
          </cell>
        </row>
        <row r="555">
          <cell r="B555" t="str">
            <v>1.1.09.02.06</v>
          </cell>
          <cell r="C555" t="str">
            <v>Bagian Lancar Tagihan Pinjaman Jangka Panjang kepada Masyarakat</v>
          </cell>
          <cell r="D555">
            <v>1145000000</v>
          </cell>
          <cell r="E555">
            <v>893246516</v>
          </cell>
          <cell r="F555">
            <v>0</v>
          </cell>
          <cell r="G555">
            <v>80000</v>
          </cell>
          <cell r="H555">
            <v>0</v>
          </cell>
          <cell r="I555">
            <v>0</v>
          </cell>
          <cell r="J555">
            <v>893166516</v>
          </cell>
        </row>
        <row r="556">
          <cell r="B556" t="str">
            <v>1.1.09.02.07</v>
          </cell>
          <cell r="C556" t="str">
            <v>Bagian Lancar Tagihan Pinjaman Jangka Panjang melalui BLUD</v>
          </cell>
          <cell r="D556">
            <v>0</v>
          </cell>
          <cell r="E556">
            <v>0</v>
          </cell>
          <cell r="F556">
            <v>0</v>
          </cell>
          <cell r="G556">
            <v>0</v>
          </cell>
          <cell r="H556">
            <v>0</v>
          </cell>
          <cell r="I556">
            <v>0</v>
          </cell>
          <cell r="J556">
            <v>0</v>
          </cell>
        </row>
        <row r="557">
          <cell r="B557" t="str">
            <v>1.1.09.03</v>
          </cell>
          <cell r="C557" t="str">
            <v>Bagian Lancar Tagihan Penjualan Angsuran</v>
          </cell>
          <cell r="D557">
            <v>0</v>
          </cell>
          <cell r="E557">
            <v>0</v>
          </cell>
          <cell r="F557"/>
          <cell r="G557"/>
          <cell r="H557"/>
          <cell r="I557"/>
          <cell r="J557">
            <v>0</v>
          </cell>
        </row>
        <row r="558">
          <cell r="B558" t="str">
            <v>1.1.09.03.01</v>
          </cell>
          <cell r="C558" t="str">
            <v>Bagian Lancar Tagihan Penjualan Angsuran Penjualan Rumah Negara Golongan III</v>
          </cell>
          <cell r="D558">
            <v>0</v>
          </cell>
          <cell r="E558">
            <v>0</v>
          </cell>
          <cell r="F558">
            <v>0</v>
          </cell>
          <cell r="G558">
            <v>0</v>
          </cell>
          <cell r="H558">
            <v>0</v>
          </cell>
          <cell r="I558">
            <v>0</v>
          </cell>
          <cell r="J558">
            <v>0</v>
          </cell>
        </row>
        <row r="559">
          <cell r="B559" t="str">
            <v>1.1.09.03.02</v>
          </cell>
          <cell r="C559" t="str">
            <v>Bagian Lancar Tagihan Penjualan Angsuran Penjualan Kendaraan Perorangan Dinas</v>
          </cell>
          <cell r="D559">
            <v>0</v>
          </cell>
          <cell r="E559">
            <v>0</v>
          </cell>
          <cell r="F559">
            <v>0</v>
          </cell>
          <cell r="G559">
            <v>0</v>
          </cell>
          <cell r="H559">
            <v>0</v>
          </cell>
          <cell r="I559">
            <v>0</v>
          </cell>
          <cell r="J559">
            <v>0</v>
          </cell>
        </row>
        <row r="560">
          <cell r="B560" t="str">
            <v>1.1.09.04</v>
          </cell>
          <cell r="C560" t="str">
            <v>Bagian Lancar Tuntutan Ganti Kerugian Daerah</v>
          </cell>
          <cell r="D560">
            <v>0</v>
          </cell>
          <cell r="E560">
            <v>0</v>
          </cell>
          <cell r="F560"/>
          <cell r="G560"/>
          <cell r="H560"/>
          <cell r="I560"/>
          <cell r="J560">
            <v>411203220</v>
          </cell>
        </row>
        <row r="561">
          <cell r="B561" t="str">
            <v>1.1.09.04.01</v>
          </cell>
          <cell r="C561" t="str">
            <v>Bagian Lancar Tuntutan Ganti Kerugian Daerah Terhadap Bendahara</v>
          </cell>
          <cell r="D561">
            <v>0</v>
          </cell>
          <cell r="E561">
            <v>0</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0</v>
          </cell>
          <cell r="E562">
            <v>0</v>
          </cell>
          <cell r="F562">
            <v>411203220</v>
          </cell>
          <cell r="G562">
            <v>0</v>
          </cell>
          <cell r="H562">
            <v>0</v>
          </cell>
          <cell r="I562">
            <v>0</v>
          </cell>
          <cell r="J562">
            <v>411203220</v>
          </cell>
        </row>
        <row r="563">
          <cell r="B563" t="str">
            <v>1.1.09.05</v>
          </cell>
          <cell r="C563" t="str">
            <v>Uang Muka</v>
          </cell>
          <cell r="D563">
            <v>6228160</v>
          </cell>
          <cell r="E563">
            <v>6228160</v>
          </cell>
          <cell r="F563"/>
          <cell r="G563"/>
          <cell r="H563"/>
          <cell r="I563"/>
          <cell r="J563">
            <v>6228160</v>
          </cell>
        </row>
        <row r="564">
          <cell r="B564" t="str">
            <v>1.1.09.05.01</v>
          </cell>
          <cell r="C564" t="str">
            <v>Uang Muka</v>
          </cell>
          <cell r="D564">
            <v>6228160</v>
          </cell>
          <cell r="E564">
            <v>6228160</v>
          </cell>
          <cell r="F564">
            <v>0</v>
          </cell>
          <cell r="G564">
            <v>0</v>
          </cell>
          <cell r="H564">
            <v>0</v>
          </cell>
          <cell r="I564">
            <v>0</v>
          </cell>
          <cell r="J564">
            <v>6228160</v>
          </cell>
        </row>
        <row r="565">
          <cell r="B565"/>
          <cell r="C565"/>
          <cell r="D565"/>
          <cell r="E565"/>
          <cell r="F565"/>
          <cell r="G565"/>
          <cell r="H565"/>
          <cell r="I565"/>
          <cell r="J565"/>
        </row>
        <row r="566">
          <cell r="B566" t="str">
            <v>1.1.10</v>
          </cell>
          <cell r="C566" t="str">
            <v>Penyisihan Piutang</v>
          </cell>
          <cell r="D566">
            <v>-2992783635.9000001</v>
          </cell>
          <cell r="E566">
            <v>-3613155421.5999999</v>
          </cell>
          <cell r="F566"/>
          <cell r="G566"/>
          <cell r="H566"/>
          <cell r="I566"/>
          <cell r="J566">
            <v>-3622156006.0299997</v>
          </cell>
        </row>
        <row r="567">
          <cell r="B567" t="str">
            <v>1.1.10.01</v>
          </cell>
          <cell r="C567" t="str">
            <v>Penyisihan Piutang Pendapatan</v>
          </cell>
          <cell r="D567">
            <v>-2992783635.9000001</v>
          </cell>
          <cell r="E567">
            <v>-3613155421.5999999</v>
          </cell>
          <cell r="F567"/>
          <cell r="G567"/>
          <cell r="H567"/>
          <cell r="I567"/>
          <cell r="J567">
            <v>-3622156006.0299997</v>
          </cell>
        </row>
        <row r="568">
          <cell r="B568" t="str">
            <v>1.1.10.01.01</v>
          </cell>
          <cell r="C568" t="str">
            <v>Penyisihan Piutang Pajak Daerah</v>
          </cell>
          <cell r="D568">
            <v>-1615266175.9000001</v>
          </cell>
          <cell r="E568">
            <v>-2180288611.5999999</v>
          </cell>
          <cell r="F568">
            <v>0</v>
          </cell>
          <cell r="G568">
            <v>60249134.429999828</v>
          </cell>
          <cell r="H568">
            <v>0</v>
          </cell>
          <cell r="I568">
            <v>0</v>
          </cell>
          <cell r="J568">
            <v>-2240537746.0299997</v>
          </cell>
        </row>
        <row r="569">
          <cell r="B569" t="str">
            <v>1.1.10.01.02</v>
          </cell>
          <cell r="C569" t="str">
            <v>Penyisihan Piutang Retribusi</v>
          </cell>
          <cell r="D569">
            <v>-1377517460</v>
          </cell>
          <cell r="E569">
            <v>-1432866810</v>
          </cell>
          <cell r="F569">
            <v>51248550</v>
          </cell>
          <cell r="G569">
            <v>0</v>
          </cell>
          <cell r="H569">
            <v>0</v>
          </cell>
          <cell r="I569">
            <v>0</v>
          </cell>
          <cell r="J569">
            <v>-1381618260</v>
          </cell>
        </row>
        <row r="570">
          <cell r="B570" t="str">
            <v>1.1.10.01.03</v>
          </cell>
          <cell r="C570" t="str">
            <v>Penyisihan Piutang Hasil Pengelolaan Kekayaan Daerah yang Dipisahkan</v>
          </cell>
          <cell r="D570">
            <v>0</v>
          </cell>
          <cell r="E570">
            <v>0</v>
          </cell>
          <cell r="F570">
            <v>0</v>
          </cell>
          <cell r="G570">
            <v>0</v>
          </cell>
          <cell r="H570">
            <v>0</v>
          </cell>
          <cell r="I570">
            <v>0</v>
          </cell>
          <cell r="J570">
            <v>0</v>
          </cell>
        </row>
        <row r="571">
          <cell r="B571" t="str">
            <v>1.1.10.01.04</v>
          </cell>
          <cell r="C571" t="str">
            <v>Penyisihan Piutang Lain-lain PAD yang Sah</v>
          </cell>
          <cell r="D571">
            <v>0</v>
          </cell>
          <cell r="E571">
            <v>0</v>
          </cell>
          <cell r="F571">
            <v>0</v>
          </cell>
          <cell r="G571">
            <v>0</v>
          </cell>
          <cell r="H571">
            <v>0</v>
          </cell>
          <cell r="I571">
            <v>0</v>
          </cell>
          <cell r="J571">
            <v>0</v>
          </cell>
        </row>
        <row r="572">
          <cell r="B572" t="str">
            <v>1.1.10.01.05</v>
          </cell>
          <cell r="C572" t="str">
            <v>Penyisihan Piutang Transfer Pemerintah Pusat</v>
          </cell>
          <cell r="D572">
            <v>0</v>
          </cell>
          <cell r="E572">
            <v>0</v>
          </cell>
          <cell r="F572">
            <v>0</v>
          </cell>
          <cell r="G572">
            <v>0</v>
          </cell>
          <cell r="H572">
            <v>0</v>
          </cell>
          <cell r="I572">
            <v>0</v>
          </cell>
          <cell r="J572">
            <v>0</v>
          </cell>
        </row>
        <row r="573">
          <cell r="B573" t="str">
            <v>1.1.10.01.06</v>
          </cell>
          <cell r="C573" t="str">
            <v>Penyisihan Piutang Transfer Antar Daerah</v>
          </cell>
          <cell r="D573">
            <v>0</v>
          </cell>
          <cell r="E573">
            <v>0</v>
          </cell>
          <cell r="F573">
            <v>0</v>
          </cell>
          <cell r="G573">
            <v>0</v>
          </cell>
          <cell r="H573">
            <v>0</v>
          </cell>
          <cell r="I573">
            <v>0</v>
          </cell>
          <cell r="J573">
            <v>0</v>
          </cell>
        </row>
        <row r="574">
          <cell r="B574" t="str">
            <v>1.1.10.02</v>
          </cell>
          <cell r="C574" t="str">
            <v>Penyisihan Piutang Lainnya</v>
          </cell>
          <cell r="D574">
            <v>0</v>
          </cell>
          <cell r="E574">
            <v>0</v>
          </cell>
          <cell r="F574"/>
          <cell r="G574"/>
          <cell r="H574"/>
          <cell r="I574"/>
          <cell r="J574">
            <v>0</v>
          </cell>
        </row>
        <row r="575">
          <cell r="B575" t="str">
            <v>1.1.10.02.01</v>
          </cell>
          <cell r="C575" t="str">
            <v>Penyisihan Piutang Lainnya-Bagian Lancar Tagihan Jangka Panjang dari Pemerintah Pusat</v>
          </cell>
          <cell r="D575">
            <v>0</v>
          </cell>
          <cell r="E575">
            <v>0</v>
          </cell>
          <cell r="F575">
            <v>0</v>
          </cell>
          <cell r="G575">
            <v>0</v>
          </cell>
          <cell r="H575">
            <v>0</v>
          </cell>
          <cell r="I575">
            <v>0</v>
          </cell>
          <cell r="J575">
            <v>0</v>
          </cell>
        </row>
        <row r="576">
          <cell r="B576" t="str">
            <v>1.1.10.02.02</v>
          </cell>
          <cell r="C576" t="str">
            <v>Penyisihan Piutang Lainnya-Bagian Lancar Tagihan Jangka Panjang dari Daerah Lain</v>
          </cell>
          <cell r="D576">
            <v>0</v>
          </cell>
          <cell r="E576">
            <v>0</v>
          </cell>
          <cell r="F576">
            <v>0</v>
          </cell>
          <cell r="G576">
            <v>0</v>
          </cell>
          <cell r="H576">
            <v>0</v>
          </cell>
          <cell r="I576">
            <v>0</v>
          </cell>
          <cell r="J576">
            <v>0</v>
          </cell>
        </row>
        <row r="577">
          <cell r="B577" t="str">
            <v>1.1.10.02.03</v>
          </cell>
          <cell r="C577" t="str">
            <v>Penyisihan Piutang Lainnya-Bagian Lancar Tagihan Jangka Panjang dari Lembaga Keuangan Bank</v>
          </cell>
          <cell r="D577">
            <v>0</v>
          </cell>
          <cell r="E577">
            <v>0</v>
          </cell>
          <cell r="F577">
            <v>0</v>
          </cell>
          <cell r="G577">
            <v>0</v>
          </cell>
          <cell r="H577">
            <v>0</v>
          </cell>
          <cell r="I577">
            <v>0</v>
          </cell>
          <cell r="J577">
            <v>0</v>
          </cell>
        </row>
        <row r="578">
          <cell r="B578" t="str">
            <v>1.1.10.02.04</v>
          </cell>
          <cell r="C578" t="str">
            <v>Penyisihan Piutang Lainnya-Bagian Lancar Tagihan Jangka Panjang dari Lembaga Keuangan Bukan Bank</v>
          </cell>
          <cell r="D578">
            <v>0</v>
          </cell>
          <cell r="E578">
            <v>0</v>
          </cell>
          <cell r="F578">
            <v>0</v>
          </cell>
          <cell r="G578">
            <v>0</v>
          </cell>
          <cell r="H578">
            <v>0</v>
          </cell>
          <cell r="I578">
            <v>0</v>
          </cell>
          <cell r="J578">
            <v>0</v>
          </cell>
        </row>
        <row r="579">
          <cell r="B579" t="str">
            <v>1.1.10.02.05</v>
          </cell>
          <cell r="C579" t="str">
            <v>Penyisihan Piutang Lainnya-Bagian Lancar Tagihan Pinjaman melalui BLUD</v>
          </cell>
          <cell r="D579">
            <v>0</v>
          </cell>
          <cell r="E579">
            <v>0</v>
          </cell>
          <cell r="F579">
            <v>0</v>
          </cell>
          <cell r="G579">
            <v>0</v>
          </cell>
          <cell r="H579">
            <v>0</v>
          </cell>
          <cell r="I579">
            <v>0</v>
          </cell>
          <cell r="J579">
            <v>0</v>
          </cell>
        </row>
        <row r="580">
          <cell r="B580" t="str">
            <v>1.1.10.02.06</v>
          </cell>
          <cell r="C580" t="str">
            <v>Penyisihan Piutang Lainnya-Bagian Lancar Tagihan Penjualan Angsuran</v>
          </cell>
          <cell r="D580">
            <v>0</v>
          </cell>
          <cell r="E580">
            <v>0</v>
          </cell>
          <cell r="F580">
            <v>0</v>
          </cell>
          <cell r="G580">
            <v>0</v>
          </cell>
          <cell r="H580">
            <v>0</v>
          </cell>
          <cell r="I580">
            <v>0</v>
          </cell>
          <cell r="J580">
            <v>0</v>
          </cell>
        </row>
        <row r="581">
          <cell r="B581" t="str">
            <v>1.1.10.02.07</v>
          </cell>
          <cell r="C581" t="str">
            <v>Penyisihan Piutang Lainnya-Bagian lancar Tuntutan Ganti Kerugian Daerah</v>
          </cell>
          <cell r="D581">
            <v>0</v>
          </cell>
          <cell r="E581">
            <v>0</v>
          </cell>
          <cell r="F581">
            <v>0</v>
          </cell>
          <cell r="G581">
            <v>0</v>
          </cell>
          <cell r="H581">
            <v>0</v>
          </cell>
          <cell r="I581">
            <v>0</v>
          </cell>
          <cell r="J581">
            <v>0</v>
          </cell>
        </row>
        <row r="582">
          <cell r="B582" t="str">
            <v>1.1.10.02.08</v>
          </cell>
          <cell r="C582" t="str">
            <v>Penyisihan Piutang Lainnya-Uang Muka</v>
          </cell>
          <cell r="D582">
            <v>0</v>
          </cell>
          <cell r="E582">
            <v>0</v>
          </cell>
          <cell r="F582">
            <v>0</v>
          </cell>
          <cell r="G582">
            <v>0</v>
          </cell>
          <cell r="H582">
            <v>0</v>
          </cell>
          <cell r="I582">
            <v>0</v>
          </cell>
          <cell r="J582">
            <v>0</v>
          </cell>
        </row>
        <row r="583">
          <cell r="B583" t="str">
            <v>1.1.10.02.09</v>
          </cell>
          <cell r="C583" t="str">
            <v>Penyisihan Bagian Lancar Tagihan Jangka Panjang</v>
          </cell>
          <cell r="D583">
            <v>0</v>
          </cell>
          <cell r="E583">
            <v>0</v>
          </cell>
          <cell r="F583">
            <v>0</v>
          </cell>
          <cell r="G583">
            <v>0</v>
          </cell>
          <cell r="H583">
            <v>0</v>
          </cell>
          <cell r="I583">
            <v>0</v>
          </cell>
          <cell r="J583">
            <v>0</v>
          </cell>
        </row>
        <row r="584">
          <cell r="B584" t="str">
            <v>1.1.10.02.10</v>
          </cell>
          <cell r="C584" t="str">
            <v>Penyisihan Bagian Lancar Tagihan Pinjaman Jangka Panjang</v>
          </cell>
          <cell r="D584">
            <v>0</v>
          </cell>
          <cell r="E584">
            <v>0</v>
          </cell>
          <cell r="F584">
            <v>0</v>
          </cell>
          <cell r="G584">
            <v>0</v>
          </cell>
          <cell r="H584">
            <v>0</v>
          </cell>
          <cell r="I584">
            <v>0</v>
          </cell>
          <cell r="J584">
            <v>0</v>
          </cell>
        </row>
        <row r="585">
          <cell r="B585" t="str">
            <v>1.1.10.02.11</v>
          </cell>
          <cell r="C585" t="str">
            <v>Penyisihan Bagian Lancar Tagihan Penjualan Angsuran</v>
          </cell>
          <cell r="D585">
            <v>0</v>
          </cell>
          <cell r="E585">
            <v>0</v>
          </cell>
          <cell r="F585">
            <v>0</v>
          </cell>
          <cell r="G585">
            <v>0</v>
          </cell>
          <cell r="H585">
            <v>0</v>
          </cell>
          <cell r="I585">
            <v>0</v>
          </cell>
          <cell r="J585">
            <v>0</v>
          </cell>
        </row>
        <row r="586">
          <cell r="B586" t="str">
            <v>1.1.10.02.12</v>
          </cell>
          <cell r="C586" t="str">
            <v>Penyisihan Bagian Lancar Tuntutan Ganti Kerugian Daerah</v>
          </cell>
          <cell r="D586">
            <v>0</v>
          </cell>
          <cell r="E586">
            <v>0</v>
          </cell>
          <cell r="F586">
            <v>0</v>
          </cell>
          <cell r="G586">
            <v>0</v>
          </cell>
          <cell r="H586">
            <v>0</v>
          </cell>
          <cell r="I586">
            <v>0</v>
          </cell>
          <cell r="J586">
            <v>0</v>
          </cell>
        </row>
        <row r="587">
          <cell r="B587" t="str">
            <v>1.1.10.02.13</v>
          </cell>
          <cell r="C587" t="str">
            <v>Penyisihan Uang Muka</v>
          </cell>
          <cell r="D587">
            <v>0</v>
          </cell>
          <cell r="E587">
            <v>0</v>
          </cell>
          <cell r="F587">
            <v>0</v>
          </cell>
          <cell r="G587">
            <v>0</v>
          </cell>
          <cell r="H587">
            <v>0</v>
          </cell>
          <cell r="I587">
            <v>0</v>
          </cell>
          <cell r="J587">
            <v>0</v>
          </cell>
        </row>
        <row r="588">
          <cell r="B588" t="str">
            <v>1.1.10.02.14</v>
          </cell>
          <cell r="C588" t="str">
            <v>Penyisihan Dana Bergulir</v>
          </cell>
          <cell r="D588">
            <v>0</v>
          </cell>
          <cell r="E588">
            <v>0</v>
          </cell>
          <cell r="F588">
            <v>0</v>
          </cell>
          <cell r="G588">
            <v>0</v>
          </cell>
          <cell r="H588">
            <v>0</v>
          </cell>
          <cell r="I588">
            <v>0</v>
          </cell>
          <cell r="J588">
            <v>0</v>
          </cell>
        </row>
        <row r="589">
          <cell r="B589"/>
          <cell r="C589"/>
          <cell r="D589"/>
          <cell r="E589"/>
          <cell r="F589"/>
          <cell r="G589"/>
          <cell r="H589"/>
          <cell r="I589"/>
          <cell r="J589"/>
        </row>
        <row r="590">
          <cell r="B590" t="str">
            <v>1.1.11</v>
          </cell>
          <cell r="C590" t="str">
            <v>Beban Dibayar Dimuka</v>
          </cell>
          <cell r="D590">
            <v>988159114</v>
          </cell>
          <cell r="E590">
            <v>746207886.70000005</v>
          </cell>
          <cell r="F590"/>
          <cell r="G590"/>
          <cell r="H590"/>
          <cell r="I590"/>
          <cell r="J590">
            <v>622947986.70000005</v>
          </cell>
        </row>
        <row r="591">
          <cell r="B591" t="str">
            <v>1.1.11.01</v>
          </cell>
          <cell r="C591" t="str">
            <v>Beban Dibayar Dimuka</v>
          </cell>
          <cell r="D591">
            <v>988159114</v>
          </cell>
          <cell r="E591">
            <v>746207886.70000005</v>
          </cell>
          <cell r="F591"/>
          <cell r="G591"/>
          <cell r="H591"/>
          <cell r="I591"/>
          <cell r="J591">
            <v>622947986.70000005</v>
          </cell>
        </row>
        <row r="592">
          <cell r="B592" t="str">
            <v>1.1.11.01.01</v>
          </cell>
          <cell r="C592" t="str">
            <v>Beban Dibayar Dimuka</v>
          </cell>
          <cell r="D592">
            <v>988159114</v>
          </cell>
          <cell r="E592">
            <v>746207886.70000005</v>
          </cell>
          <cell r="F592">
            <v>0</v>
          </cell>
          <cell r="G592">
            <v>123259900</v>
          </cell>
          <cell r="H592">
            <v>0</v>
          </cell>
          <cell r="I592">
            <v>0</v>
          </cell>
          <cell r="J592">
            <v>622947986.70000005</v>
          </cell>
        </row>
        <row r="593">
          <cell r="B593" t="str">
            <v>1.1.11.02</v>
          </cell>
          <cell r="C593" t="str">
            <v>Beban Dibayar Dimuka-Sewa</v>
          </cell>
          <cell r="D593">
            <v>0</v>
          </cell>
          <cell r="E593">
            <v>0</v>
          </cell>
          <cell r="F593"/>
          <cell r="G593"/>
          <cell r="H593"/>
          <cell r="I593"/>
          <cell r="J593">
            <v>0</v>
          </cell>
        </row>
        <row r="594">
          <cell r="B594" t="str">
            <v>1.1.11.02.01</v>
          </cell>
          <cell r="C594" t="str">
            <v>Beban Dibayar Dimuka-Sewa Tanah</v>
          </cell>
          <cell r="D594">
            <v>0</v>
          </cell>
          <cell r="E594">
            <v>0</v>
          </cell>
          <cell r="F594">
            <v>0</v>
          </cell>
          <cell r="G594">
            <v>0</v>
          </cell>
          <cell r="H594">
            <v>0</v>
          </cell>
          <cell r="I594">
            <v>0</v>
          </cell>
          <cell r="J594">
            <v>0</v>
          </cell>
        </row>
        <row r="595">
          <cell r="B595" t="str">
            <v>1.1.11.02.02</v>
          </cell>
          <cell r="C595" t="str">
            <v>Beban Dibayar Dimuka-Sewa Peralatan dan Mesin</v>
          </cell>
          <cell r="D595">
            <v>0</v>
          </cell>
          <cell r="E595">
            <v>0</v>
          </cell>
          <cell r="F595">
            <v>0</v>
          </cell>
          <cell r="G595">
            <v>0</v>
          </cell>
          <cell r="H595">
            <v>0</v>
          </cell>
          <cell r="I595">
            <v>0</v>
          </cell>
          <cell r="J595">
            <v>0</v>
          </cell>
        </row>
        <row r="596">
          <cell r="B596" t="str">
            <v>1.1.11.02.03</v>
          </cell>
          <cell r="C596" t="str">
            <v>Beban Dibayar Dimuka-Sewa Gedung dan Bangunan</v>
          </cell>
          <cell r="D596">
            <v>0</v>
          </cell>
          <cell r="E596">
            <v>0</v>
          </cell>
          <cell r="F596">
            <v>0</v>
          </cell>
          <cell r="G596">
            <v>0</v>
          </cell>
          <cell r="H596">
            <v>0</v>
          </cell>
          <cell r="I596">
            <v>0</v>
          </cell>
          <cell r="J596">
            <v>0</v>
          </cell>
        </row>
        <row r="597">
          <cell r="B597" t="str">
            <v>1.1.11.02.04</v>
          </cell>
          <cell r="C597" t="str">
            <v>Beban Dibayar Dimuka-Sewa Jalan, Jaringan, dan Irigasi</v>
          </cell>
          <cell r="D597">
            <v>0</v>
          </cell>
          <cell r="E597">
            <v>0</v>
          </cell>
          <cell r="F597">
            <v>0</v>
          </cell>
          <cell r="G597">
            <v>0</v>
          </cell>
          <cell r="H597">
            <v>0</v>
          </cell>
          <cell r="I597">
            <v>0</v>
          </cell>
          <cell r="J597">
            <v>0</v>
          </cell>
        </row>
        <row r="598">
          <cell r="B598" t="str">
            <v>1.1.11.02.05</v>
          </cell>
          <cell r="C598" t="str">
            <v>Beban Dibayar Dimuka-Sewa Aset Tetap Lainnya</v>
          </cell>
          <cell r="D598">
            <v>0</v>
          </cell>
          <cell r="E598">
            <v>0</v>
          </cell>
          <cell r="F598">
            <v>0</v>
          </cell>
          <cell r="G598">
            <v>0</v>
          </cell>
          <cell r="H598">
            <v>0</v>
          </cell>
          <cell r="I598">
            <v>0</v>
          </cell>
          <cell r="J598">
            <v>0</v>
          </cell>
        </row>
        <row r="599">
          <cell r="B599" t="str">
            <v>1.1.11.02.06</v>
          </cell>
          <cell r="C599" t="str">
            <v>Beban Dibayar Dimuka-Sewa Aset Tidak Berwujud</v>
          </cell>
          <cell r="D599">
            <v>0</v>
          </cell>
          <cell r="E599">
            <v>0</v>
          </cell>
          <cell r="F599">
            <v>0</v>
          </cell>
          <cell r="G599">
            <v>0</v>
          </cell>
          <cell r="H599">
            <v>0</v>
          </cell>
          <cell r="I599">
            <v>0</v>
          </cell>
          <cell r="J599">
            <v>0</v>
          </cell>
        </row>
        <row r="600">
          <cell r="B600" t="str">
            <v>1.1.11.02.07</v>
          </cell>
          <cell r="C600" t="str">
            <v>Beban Dibayar Dimuka Sewa Jasa</v>
          </cell>
          <cell r="D600">
            <v>0</v>
          </cell>
          <cell r="E600">
            <v>0</v>
          </cell>
          <cell r="F600">
            <v>0</v>
          </cell>
          <cell r="G600">
            <v>0</v>
          </cell>
          <cell r="H600">
            <v>0</v>
          </cell>
          <cell r="I600">
            <v>0</v>
          </cell>
          <cell r="J600">
            <v>0</v>
          </cell>
        </row>
        <row r="601">
          <cell r="B601" t="str">
            <v>1.1.11.03</v>
          </cell>
          <cell r="C601" t="str">
            <v>Beban Dibayar Dimuka Asuransi Barang Milik Daerah</v>
          </cell>
          <cell r="D601">
            <v>0</v>
          </cell>
          <cell r="E601">
            <v>0</v>
          </cell>
          <cell r="F601"/>
          <cell r="G601"/>
          <cell r="H601"/>
          <cell r="I601"/>
          <cell r="J601">
            <v>0</v>
          </cell>
        </row>
        <row r="602">
          <cell r="B602" t="str">
            <v>1.1.11.03.01</v>
          </cell>
          <cell r="C602" t="str">
            <v>Beban Dibayar Dimuka Asuransi Barang Milik Daerah-Tanah</v>
          </cell>
          <cell r="D602">
            <v>0</v>
          </cell>
          <cell r="E602">
            <v>0</v>
          </cell>
          <cell r="F602">
            <v>0</v>
          </cell>
          <cell r="G602">
            <v>0</v>
          </cell>
          <cell r="H602">
            <v>0</v>
          </cell>
          <cell r="I602">
            <v>0</v>
          </cell>
          <cell r="J602">
            <v>0</v>
          </cell>
        </row>
        <row r="603">
          <cell r="B603" t="str">
            <v>1.1.11.03.02</v>
          </cell>
          <cell r="C603" t="str">
            <v>Beban Dibayar Dimuka Asuransi Barang Milik Daerah-Peralatan dan Mesin</v>
          </cell>
          <cell r="D603">
            <v>0</v>
          </cell>
          <cell r="E603">
            <v>0</v>
          </cell>
          <cell r="F603">
            <v>0</v>
          </cell>
          <cell r="G603">
            <v>0</v>
          </cell>
          <cell r="H603">
            <v>0</v>
          </cell>
          <cell r="I603">
            <v>0</v>
          </cell>
          <cell r="J603">
            <v>0</v>
          </cell>
        </row>
        <row r="604">
          <cell r="B604" t="str">
            <v>1.1.11.03.03</v>
          </cell>
          <cell r="C604" t="str">
            <v>Beban Dibayar Dimuka Asuransi Barang Milik Daerah-Gedung dan Bangunan</v>
          </cell>
          <cell r="D604">
            <v>0</v>
          </cell>
          <cell r="E604">
            <v>0</v>
          </cell>
          <cell r="F604">
            <v>0</v>
          </cell>
          <cell r="G604">
            <v>0</v>
          </cell>
          <cell r="H604">
            <v>0</v>
          </cell>
          <cell r="I604">
            <v>0</v>
          </cell>
          <cell r="J604">
            <v>0</v>
          </cell>
        </row>
        <row r="605">
          <cell r="B605"/>
          <cell r="C605"/>
          <cell r="D605"/>
          <cell r="E605"/>
          <cell r="F605"/>
          <cell r="G605"/>
          <cell r="H605"/>
          <cell r="I605"/>
          <cell r="J605"/>
        </row>
        <row r="606">
          <cell r="B606" t="str">
            <v>1.1.12</v>
          </cell>
          <cell r="C606" t="str">
            <v>Persediaan</v>
          </cell>
          <cell r="D606">
            <v>13071457863.58</v>
          </cell>
          <cell r="E606">
            <v>12446491354.710001</v>
          </cell>
          <cell r="F606"/>
          <cell r="G606"/>
          <cell r="H606"/>
          <cell r="I606"/>
          <cell r="J606">
            <v>12265321354.710001</v>
          </cell>
        </row>
        <row r="607">
          <cell r="B607" t="str">
            <v>1.1.12.01</v>
          </cell>
          <cell r="C607" t="str">
            <v>Barang Pakai Habis</v>
          </cell>
          <cell r="D607">
            <v>13071457863.58</v>
          </cell>
          <cell r="E607">
            <v>12446491354.710001</v>
          </cell>
          <cell r="F607"/>
          <cell r="G607"/>
          <cell r="H607"/>
          <cell r="I607"/>
          <cell r="J607">
            <v>12265321354.710001</v>
          </cell>
        </row>
        <row r="608">
          <cell r="B608" t="str">
            <v>1.1.12.01.01</v>
          </cell>
          <cell r="C608" t="str">
            <v>Bahan</v>
          </cell>
          <cell r="D608">
            <v>254052886</v>
          </cell>
          <cell r="E608">
            <v>21968250</v>
          </cell>
          <cell r="F608">
            <v>0</v>
          </cell>
          <cell r="G608">
            <v>0</v>
          </cell>
          <cell r="H608">
            <v>0</v>
          </cell>
          <cell r="I608">
            <v>0</v>
          </cell>
          <cell r="J608">
            <v>21968250</v>
          </cell>
        </row>
        <row r="609">
          <cell r="B609" t="str">
            <v>1.1.12.01.02</v>
          </cell>
          <cell r="C609" t="str">
            <v>Suku Cadang</v>
          </cell>
          <cell r="D609">
            <v>0</v>
          </cell>
          <cell r="E609">
            <v>2000000</v>
          </cell>
          <cell r="F609">
            <v>0</v>
          </cell>
          <cell r="G609">
            <v>0</v>
          </cell>
          <cell r="H609">
            <v>0</v>
          </cell>
          <cell r="I609">
            <v>0</v>
          </cell>
          <cell r="J609">
            <v>2000000</v>
          </cell>
        </row>
        <row r="610">
          <cell r="B610" t="str">
            <v>1.1.12.01.03</v>
          </cell>
          <cell r="C610" t="str">
            <v>Alat/Bahan Untuk Kegiatan Kantor</v>
          </cell>
          <cell r="D610">
            <v>884695827</v>
          </cell>
          <cell r="E610">
            <v>1087315000.55</v>
          </cell>
          <cell r="F610">
            <v>0</v>
          </cell>
          <cell r="G610">
            <v>0</v>
          </cell>
          <cell r="H610">
            <v>0</v>
          </cell>
          <cell r="I610">
            <v>0</v>
          </cell>
          <cell r="J610">
            <v>1087315000.55</v>
          </cell>
        </row>
        <row r="611">
          <cell r="B611" t="str">
            <v>1.1.12.01.04</v>
          </cell>
          <cell r="C611" t="str">
            <v>Obat-obatan</v>
          </cell>
          <cell r="D611">
            <v>8422482192.5500002</v>
          </cell>
          <cell r="E611">
            <v>8373742265.1300001</v>
          </cell>
          <cell r="F611">
            <v>0</v>
          </cell>
          <cell r="G611">
            <v>0</v>
          </cell>
          <cell r="H611">
            <v>0</v>
          </cell>
          <cell r="I611">
            <v>0</v>
          </cell>
          <cell r="J611">
            <v>8373742265.1300001</v>
          </cell>
        </row>
        <row r="612">
          <cell r="B612" t="str">
            <v>1.1.12.01.05</v>
          </cell>
          <cell r="C612" t="str">
            <v>Persediaan untuk Dijual/Diserahkan</v>
          </cell>
          <cell r="D612">
            <v>3410203758.0300002</v>
          </cell>
          <cell r="E612">
            <v>2820021224.0300002</v>
          </cell>
          <cell r="F612">
            <v>0</v>
          </cell>
          <cell r="G612">
            <v>0</v>
          </cell>
          <cell r="H612">
            <v>0</v>
          </cell>
          <cell r="I612">
            <v>181170000</v>
          </cell>
          <cell r="J612">
            <v>2638851224.0300002</v>
          </cell>
        </row>
        <row r="613">
          <cell r="B613" t="str">
            <v>1.1.12.01.06</v>
          </cell>
          <cell r="C613" t="str">
            <v>Persediaan untuk Tujuan Strategis/Berjaga-Jaga</v>
          </cell>
          <cell r="D613">
            <v>0</v>
          </cell>
          <cell r="E613">
            <v>139720325</v>
          </cell>
          <cell r="F613">
            <v>0</v>
          </cell>
          <cell r="G613">
            <v>0</v>
          </cell>
          <cell r="H613">
            <v>0</v>
          </cell>
          <cell r="I613">
            <v>0</v>
          </cell>
          <cell r="J613">
            <v>139720325</v>
          </cell>
        </row>
        <row r="614">
          <cell r="B614" t="str">
            <v>1.1.12.01.07</v>
          </cell>
          <cell r="C614" t="str">
            <v>Natura dan Pakan</v>
          </cell>
          <cell r="D614">
            <v>100023200</v>
          </cell>
          <cell r="E614">
            <v>1724290</v>
          </cell>
          <cell r="F614">
            <v>0</v>
          </cell>
          <cell r="G614">
            <v>0</v>
          </cell>
          <cell r="H614">
            <v>0</v>
          </cell>
          <cell r="I614">
            <v>0</v>
          </cell>
          <cell r="J614">
            <v>1724290</v>
          </cell>
        </row>
        <row r="615">
          <cell r="B615" t="str">
            <v>1.1.12.01.08</v>
          </cell>
          <cell r="C615" t="str">
            <v>Persediaan Penelitian</v>
          </cell>
          <cell r="D615">
            <v>0</v>
          </cell>
          <cell r="E615">
            <v>0</v>
          </cell>
          <cell r="F615">
            <v>0</v>
          </cell>
          <cell r="G615">
            <v>0</v>
          </cell>
          <cell r="H615">
            <v>0</v>
          </cell>
          <cell r="I615">
            <v>0</v>
          </cell>
          <cell r="J615">
            <v>0</v>
          </cell>
        </row>
        <row r="616">
          <cell r="B616" t="str">
            <v>1.1.12.01.09</v>
          </cell>
          <cell r="C616" t="str">
            <v>Persediaan dalam Proses</v>
          </cell>
          <cell r="D616">
            <v>0</v>
          </cell>
          <cell r="E616">
            <v>0</v>
          </cell>
          <cell r="F616">
            <v>0</v>
          </cell>
          <cell r="G616">
            <v>0</v>
          </cell>
          <cell r="H616">
            <v>0</v>
          </cell>
          <cell r="I616">
            <v>0</v>
          </cell>
          <cell r="J616">
            <v>0</v>
          </cell>
        </row>
        <row r="617">
          <cell r="B617" t="str">
            <v>1.1.12.02</v>
          </cell>
          <cell r="C617" t="str">
            <v>Barang Tak Habis Pakai</v>
          </cell>
          <cell r="D617">
            <v>0</v>
          </cell>
          <cell r="E617">
            <v>0</v>
          </cell>
          <cell r="F617"/>
          <cell r="G617"/>
          <cell r="H617"/>
          <cell r="I617"/>
          <cell r="J617">
            <v>0</v>
          </cell>
        </row>
        <row r="618">
          <cell r="B618" t="str">
            <v>1.1.12.02.01</v>
          </cell>
          <cell r="C618" t="str">
            <v>Komponen</v>
          </cell>
          <cell r="D618">
            <v>0</v>
          </cell>
          <cell r="E618">
            <v>0</v>
          </cell>
          <cell r="F618">
            <v>0</v>
          </cell>
          <cell r="G618">
            <v>0</v>
          </cell>
          <cell r="H618">
            <v>0</v>
          </cell>
          <cell r="I618">
            <v>0</v>
          </cell>
          <cell r="J618">
            <v>0</v>
          </cell>
        </row>
        <row r="619">
          <cell r="B619" t="str">
            <v>1.1.12.02.02</v>
          </cell>
          <cell r="C619" t="str">
            <v>Pipa</v>
          </cell>
          <cell r="D619">
            <v>0</v>
          </cell>
          <cell r="E619">
            <v>0</v>
          </cell>
          <cell r="F619">
            <v>0</v>
          </cell>
          <cell r="G619">
            <v>0</v>
          </cell>
          <cell r="H619">
            <v>0</v>
          </cell>
          <cell r="I619">
            <v>0</v>
          </cell>
          <cell r="J619">
            <v>0</v>
          </cell>
        </row>
        <row r="620">
          <cell r="B620" t="str">
            <v>1.1.12.03</v>
          </cell>
          <cell r="C620" t="str">
            <v>Barang Bekas Dipakai</v>
          </cell>
          <cell r="D620">
            <v>0</v>
          </cell>
          <cell r="E620">
            <v>0</v>
          </cell>
          <cell r="F620"/>
          <cell r="G620"/>
          <cell r="H620"/>
          <cell r="I620"/>
          <cell r="J620">
            <v>0</v>
          </cell>
        </row>
        <row r="621">
          <cell r="B621" t="str">
            <v>1.1.12.03.01</v>
          </cell>
          <cell r="C621" t="str">
            <v>Komponen Bekas dan Pipa Bekas</v>
          </cell>
          <cell r="D621">
            <v>0</v>
          </cell>
          <cell r="E621">
            <v>0</v>
          </cell>
          <cell r="F621">
            <v>0</v>
          </cell>
          <cell r="G621">
            <v>0</v>
          </cell>
          <cell r="H621">
            <v>0</v>
          </cell>
          <cell r="I621">
            <v>0</v>
          </cell>
          <cell r="J621">
            <v>0</v>
          </cell>
        </row>
        <row r="622">
          <cell r="B622"/>
          <cell r="C622"/>
          <cell r="D622">
            <v>0</v>
          </cell>
          <cell r="E622">
            <v>0</v>
          </cell>
          <cell r="F622"/>
          <cell r="G622"/>
          <cell r="H622"/>
          <cell r="I622"/>
          <cell r="J622"/>
        </row>
        <row r="623">
          <cell r="B623" t="str">
            <v>1.1.13</v>
          </cell>
          <cell r="C623" t="str">
            <v>Aset Untuk Dikonsolidasikan</v>
          </cell>
          <cell r="D623">
            <v>0</v>
          </cell>
          <cell r="E623">
            <v>0</v>
          </cell>
          <cell r="F623"/>
          <cell r="G623"/>
          <cell r="H623"/>
          <cell r="I623"/>
          <cell r="J623">
            <v>0</v>
          </cell>
        </row>
        <row r="624">
          <cell r="B624" t="str">
            <v>1.1.13.01</v>
          </cell>
          <cell r="C624" t="str">
            <v>RK SKPD</v>
          </cell>
          <cell r="D624">
            <v>0</v>
          </cell>
          <cell r="E624">
            <v>0</v>
          </cell>
          <cell r="F624"/>
          <cell r="G624"/>
          <cell r="H624"/>
          <cell r="I624"/>
          <cell r="J624">
            <v>0</v>
          </cell>
        </row>
        <row r="625">
          <cell r="B625" t="str">
            <v>1.1.13.01.01</v>
          </cell>
          <cell r="C625" t="str">
            <v>RK SKPD</v>
          </cell>
          <cell r="D625">
            <v>0</v>
          </cell>
          <cell r="E625">
            <v>0</v>
          </cell>
          <cell r="F625">
            <v>0</v>
          </cell>
          <cell r="G625">
            <v>0</v>
          </cell>
          <cell r="H625">
            <v>0</v>
          </cell>
          <cell r="I625">
            <v>0</v>
          </cell>
          <cell r="J625">
            <v>0</v>
          </cell>
        </row>
        <row r="626">
          <cell r="B626"/>
          <cell r="C626"/>
          <cell r="D626"/>
          <cell r="E626"/>
          <cell r="F626"/>
          <cell r="G626"/>
          <cell r="H626"/>
          <cell r="I626"/>
          <cell r="J626"/>
        </row>
        <row r="627">
          <cell r="B627" t="str">
            <v>1.2</v>
          </cell>
          <cell r="C627" t="str">
            <v>INVESTASI JANGKA PANJANG</v>
          </cell>
          <cell r="D627">
            <v>122907156006</v>
          </cell>
          <cell r="E627">
            <v>132333707783</v>
          </cell>
          <cell r="F627"/>
          <cell r="G627"/>
          <cell r="H627"/>
          <cell r="I627"/>
          <cell r="J627">
            <v>133505934291</v>
          </cell>
        </row>
        <row r="628">
          <cell r="B628" t="str">
            <v>1.2.01</v>
          </cell>
          <cell r="C628" t="str">
            <v>Investasi Jangka Panjang Non Permanen</v>
          </cell>
          <cell r="D628">
            <v>0</v>
          </cell>
          <cell r="E628">
            <v>0</v>
          </cell>
          <cell r="F628"/>
          <cell r="G628"/>
          <cell r="H628"/>
          <cell r="I628"/>
          <cell r="J628">
            <v>0</v>
          </cell>
        </row>
        <row r="629">
          <cell r="B629" t="str">
            <v>1.2.01.01</v>
          </cell>
          <cell r="C629" t="str">
            <v>Investasi kepada Badan Usaha Milik Negara</v>
          </cell>
          <cell r="D629">
            <v>0</v>
          </cell>
          <cell r="E629">
            <v>0</v>
          </cell>
          <cell r="F629"/>
          <cell r="G629"/>
          <cell r="H629"/>
          <cell r="I629"/>
          <cell r="J629">
            <v>0</v>
          </cell>
        </row>
        <row r="630">
          <cell r="B630" t="str">
            <v>1.2.01.01.01</v>
          </cell>
          <cell r="C630" t="str">
            <v>Investasi kepada Badan Usaha Milik Negara</v>
          </cell>
          <cell r="D630">
            <v>0</v>
          </cell>
          <cell r="E630">
            <v>0</v>
          </cell>
          <cell r="F630">
            <v>0</v>
          </cell>
          <cell r="G630">
            <v>0</v>
          </cell>
          <cell r="H630">
            <v>0</v>
          </cell>
          <cell r="I630">
            <v>0</v>
          </cell>
          <cell r="J630">
            <v>0</v>
          </cell>
        </row>
        <row r="631">
          <cell r="B631" t="str">
            <v>1.2.01.02</v>
          </cell>
          <cell r="C631" t="str">
            <v>Investasi kepada Badan Usaha Milik Daerah</v>
          </cell>
          <cell r="D631">
            <v>0</v>
          </cell>
          <cell r="E631">
            <v>0</v>
          </cell>
          <cell r="F631"/>
          <cell r="G631"/>
          <cell r="H631"/>
          <cell r="I631"/>
          <cell r="J631">
            <v>0</v>
          </cell>
        </row>
        <row r="632">
          <cell r="B632" t="str">
            <v>1.2.01.02.01</v>
          </cell>
          <cell r="C632" t="str">
            <v>Investasi kepada Badan Usaha Milik Daerah</v>
          </cell>
          <cell r="D632">
            <v>0</v>
          </cell>
          <cell r="E632">
            <v>0</v>
          </cell>
          <cell r="F632">
            <v>0</v>
          </cell>
          <cell r="G632">
            <v>0</v>
          </cell>
          <cell r="H632">
            <v>0</v>
          </cell>
          <cell r="I632">
            <v>0</v>
          </cell>
          <cell r="J632">
            <v>0</v>
          </cell>
        </row>
        <row r="633">
          <cell r="B633" t="str">
            <v>1.2.01.03</v>
          </cell>
          <cell r="C633" t="str">
            <v>Investasi dalam Obligasi</v>
          </cell>
          <cell r="D633">
            <v>0</v>
          </cell>
          <cell r="E633">
            <v>0</v>
          </cell>
          <cell r="F633"/>
          <cell r="G633"/>
          <cell r="H633"/>
          <cell r="I633"/>
          <cell r="J633">
            <v>0</v>
          </cell>
        </row>
        <row r="634">
          <cell r="B634" t="str">
            <v>1.2.01.03.01</v>
          </cell>
          <cell r="C634" t="str">
            <v>Investasi dalam Obligasi</v>
          </cell>
          <cell r="D634">
            <v>0</v>
          </cell>
          <cell r="E634">
            <v>0</v>
          </cell>
          <cell r="F634">
            <v>0</v>
          </cell>
          <cell r="G634">
            <v>0</v>
          </cell>
          <cell r="H634">
            <v>0</v>
          </cell>
          <cell r="I634">
            <v>0</v>
          </cell>
          <cell r="J634">
            <v>0</v>
          </cell>
        </row>
        <row r="635">
          <cell r="B635" t="str">
            <v>1.2.01.04</v>
          </cell>
          <cell r="C635" t="str">
            <v>Investasi dalam Proyek Pembangunan</v>
          </cell>
          <cell r="D635">
            <v>0</v>
          </cell>
          <cell r="E635">
            <v>0</v>
          </cell>
          <cell r="F635"/>
          <cell r="G635"/>
          <cell r="H635"/>
          <cell r="I635"/>
          <cell r="J635">
            <v>0</v>
          </cell>
        </row>
        <row r="636">
          <cell r="B636" t="str">
            <v>1.2.01.04.01</v>
          </cell>
          <cell r="C636" t="str">
            <v>Investasi dalam Proyek Pembangunan kepada Pemerintah Pusat</v>
          </cell>
          <cell r="D636">
            <v>0</v>
          </cell>
          <cell r="E636">
            <v>0</v>
          </cell>
          <cell r="F636">
            <v>0</v>
          </cell>
          <cell r="G636">
            <v>0</v>
          </cell>
          <cell r="H636">
            <v>0</v>
          </cell>
          <cell r="I636">
            <v>0</v>
          </cell>
          <cell r="J636">
            <v>0</v>
          </cell>
        </row>
        <row r="637">
          <cell r="B637" t="str">
            <v>1.2.01.04.02</v>
          </cell>
          <cell r="C637" t="str">
            <v>Investasi dalam Proyek Pembangunan kepada Pemerintah Daerah</v>
          </cell>
          <cell r="D637">
            <v>0</v>
          </cell>
          <cell r="E637">
            <v>0</v>
          </cell>
          <cell r="F637">
            <v>0</v>
          </cell>
          <cell r="G637">
            <v>0</v>
          </cell>
          <cell r="H637">
            <v>0</v>
          </cell>
          <cell r="I637">
            <v>0</v>
          </cell>
          <cell r="J637">
            <v>0</v>
          </cell>
        </row>
        <row r="638">
          <cell r="B638" t="str">
            <v>1.2.01.05</v>
          </cell>
          <cell r="C638" t="str">
            <v>Dana Bergulir</v>
          </cell>
          <cell r="D638">
            <v>0</v>
          </cell>
          <cell r="E638">
            <v>0</v>
          </cell>
          <cell r="F638"/>
          <cell r="G638"/>
          <cell r="H638"/>
          <cell r="I638"/>
          <cell r="J638">
            <v>0</v>
          </cell>
        </row>
        <row r="639">
          <cell r="B639" t="str">
            <v>1.2.01.05.01</v>
          </cell>
          <cell r="C639" t="str">
            <v>Dana Bergulir kepada Koperasi</v>
          </cell>
          <cell r="D639">
            <v>0</v>
          </cell>
          <cell r="E639">
            <v>0</v>
          </cell>
          <cell r="F639">
            <v>0</v>
          </cell>
          <cell r="G639">
            <v>0</v>
          </cell>
          <cell r="H639">
            <v>0</v>
          </cell>
          <cell r="I639">
            <v>0</v>
          </cell>
          <cell r="J639">
            <v>0</v>
          </cell>
        </row>
        <row r="640">
          <cell r="B640" t="str">
            <v>1.2.01.05.02</v>
          </cell>
          <cell r="C640" t="str">
            <v>Dana Bergulir kepada Masyarakat</v>
          </cell>
          <cell r="D640">
            <v>0</v>
          </cell>
          <cell r="E640">
            <v>0</v>
          </cell>
          <cell r="F640">
            <v>0</v>
          </cell>
          <cell r="G640">
            <v>0</v>
          </cell>
          <cell r="H640">
            <v>0</v>
          </cell>
          <cell r="I640">
            <v>0</v>
          </cell>
          <cell r="J640">
            <v>0</v>
          </cell>
        </row>
        <row r="641">
          <cell r="B641" t="str">
            <v>1.2.01.05.03</v>
          </cell>
          <cell r="C641" t="str">
            <v>Dana Bergulir melalui BLUD</v>
          </cell>
          <cell r="D641">
            <v>0</v>
          </cell>
          <cell r="E641">
            <v>0</v>
          </cell>
          <cell r="F641">
            <v>0</v>
          </cell>
          <cell r="G641">
            <v>0</v>
          </cell>
          <cell r="H641">
            <v>0</v>
          </cell>
          <cell r="I641">
            <v>0</v>
          </cell>
          <cell r="J641">
            <v>0</v>
          </cell>
        </row>
        <row r="642">
          <cell r="B642"/>
          <cell r="C642"/>
          <cell r="D642"/>
          <cell r="E642"/>
          <cell r="F642"/>
          <cell r="G642"/>
          <cell r="H642"/>
          <cell r="I642"/>
          <cell r="J642"/>
        </row>
        <row r="643">
          <cell r="B643" t="str">
            <v>1.2.02</v>
          </cell>
          <cell r="C643" t="str">
            <v>Investasi Jangka Panjang Permanen</v>
          </cell>
          <cell r="D643">
            <v>122907156006</v>
          </cell>
          <cell r="E643">
            <v>132333707783</v>
          </cell>
          <cell r="F643"/>
          <cell r="G643"/>
          <cell r="H643"/>
          <cell r="I643"/>
          <cell r="J643">
            <v>133505934291</v>
          </cell>
        </row>
        <row r="644">
          <cell r="B644" t="str">
            <v>1.2.02.01</v>
          </cell>
          <cell r="C644" t="str">
            <v>Penyertaan Modal</v>
          </cell>
          <cell r="D644">
            <v>122907156006</v>
          </cell>
          <cell r="E644">
            <v>132333707783</v>
          </cell>
          <cell r="F644"/>
          <cell r="G644"/>
          <cell r="H644"/>
          <cell r="I644"/>
          <cell r="J644">
            <v>133505934291</v>
          </cell>
        </row>
        <row r="645">
          <cell r="B645" t="str">
            <v>1.2.02.01.01</v>
          </cell>
          <cell r="C645" t="str">
            <v>Penyertaan Modal kepada Badan Usaha Milik Daerah (BUMD)</v>
          </cell>
          <cell r="D645">
            <v>122907156006</v>
          </cell>
          <cell r="E645">
            <v>132333707783</v>
          </cell>
          <cell r="F645">
            <v>1245688856</v>
          </cell>
          <cell r="G645">
            <v>73462348</v>
          </cell>
          <cell r="H645">
            <v>0</v>
          </cell>
          <cell r="I645">
            <v>0</v>
          </cell>
          <cell r="J645">
            <v>133505934291</v>
          </cell>
        </row>
        <row r="646">
          <cell r="B646" t="str">
            <v>1.2.02.01.02</v>
          </cell>
          <cell r="C646" t="str">
            <v>Penyertaan Modal kepada Badan Usaha Milik Negara (BUMN)</v>
          </cell>
          <cell r="D646">
            <v>0</v>
          </cell>
          <cell r="E646">
            <v>0</v>
          </cell>
          <cell r="F646">
            <v>0</v>
          </cell>
          <cell r="G646">
            <v>0</v>
          </cell>
          <cell r="H646">
            <v>0</v>
          </cell>
          <cell r="I646">
            <v>0</v>
          </cell>
          <cell r="J646">
            <v>0</v>
          </cell>
        </row>
        <row r="647">
          <cell r="B647" t="str">
            <v>1.2.02.02</v>
          </cell>
          <cell r="C647" t="str">
            <v>Investasi-Pemberian Pinjaman Daerah</v>
          </cell>
          <cell r="D647">
            <v>0</v>
          </cell>
          <cell r="E647">
            <v>0</v>
          </cell>
          <cell r="F647"/>
          <cell r="G647"/>
          <cell r="H647"/>
          <cell r="I647"/>
          <cell r="J647">
            <v>0</v>
          </cell>
        </row>
        <row r="648">
          <cell r="B648" t="str">
            <v>1.2.02.02.01</v>
          </cell>
          <cell r="C648" t="str">
            <v>Investasi-Pemberian Pinjaman Daerah kepada Pemerintah Pusat</v>
          </cell>
          <cell r="D648">
            <v>0</v>
          </cell>
          <cell r="E648">
            <v>0</v>
          </cell>
          <cell r="F648">
            <v>0</v>
          </cell>
          <cell r="G648">
            <v>0</v>
          </cell>
          <cell r="H648">
            <v>0</v>
          </cell>
          <cell r="I648">
            <v>0</v>
          </cell>
          <cell r="J648">
            <v>0</v>
          </cell>
        </row>
        <row r="649">
          <cell r="B649" t="str">
            <v>1.2.02.02.02</v>
          </cell>
          <cell r="C649" t="str">
            <v>Investasi-Pemberian Pinjaman Daerah kepada Pemerintah Daerah Lainnya</v>
          </cell>
          <cell r="D649">
            <v>0</v>
          </cell>
          <cell r="E649">
            <v>0</v>
          </cell>
          <cell r="F649">
            <v>0</v>
          </cell>
          <cell r="G649">
            <v>0</v>
          </cell>
          <cell r="H649">
            <v>0</v>
          </cell>
          <cell r="I649">
            <v>0</v>
          </cell>
          <cell r="J649">
            <v>0</v>
          </cell>
        </row>
        <row r="650">
          <cell r="B650" t="str">
            <v>1.2.02.02.03</v>
          </cell>
          <cell r="C650" t="str">
            <v>Investasi-Pemberian Pinjaman Daerah kepada BUMD</v>
          </cell>
          <cell r="D650">
            <v>0</v>
          </cell>
          <cell r="E650">
            <v>0</v>
          </cell>
          <cell r="F650">
            <v>0</v>
          </cell>
          <cell r="G650">
            <v>0</v>
          </cell>
          <cell r="H650">
            <v>0</v>
          </cell>
          <cell r="I650">
            <v>0</v>
          </cell>
          <cell r="J650">
            <v>0</v>
          </cell>
        </row>
        <row r="651">
          <cell r="B651" t="str">
            <v>1.2.02.02.04</v>
          </cell>
          <cell r="C651" t="str">
            <v>Investasi-Pemberian Pinjaman Daerah kepada BUMN</v>
          </cell>
          <cell r="D651">
            <v>0</v>
          </cell>
          <cell r="E651">
            <v>0</v>
          </cell>
          <cell r="F651">
            <v>0</v>
          </cell>
          <cell r="G651">
            <v>0</v>
          </cell>
          <cell r="H651">
            <v>0</v>
          </cell>
          <cell r="I651">
            <v>0</v>
          </cell>
          <cell r="J651">
            <v>0</v>
          </cell>
        </row>
        <row r="652">
          <cell r="B652" t="str">
            <v>1.2.02.02.05</v>
          </cell>
          <cell r="C652" t="str">
            <v>Investasi-Pemberian Pinjaman Daerah kepada Koperasi</v>
          </cell>
          <cell r="D652">
            <v>0</v>
          </cell>
          <cell r="E652">
            <v>0</v>
          </cell>
          <cell r="F652">
            <v>0</v>
          </cell>
          <cell r="G652">
            <v>0</v>
          </cell>
          <cell r="H652">
            <v>0</v>
          </cell>
          <cell r="I652">
            <v>0</v>
          </cell>
          <cell r="J652">
            <v>0</v>
          </cell>
        </row>
        <row r="653">
          <cell r="B653" t="str">
            <v>1.2.02.02.06</v>
          </cell>
          <cell r="C653" t="str">
            <v>Investasi-Pemberian Pinjaman Daerah kepada Masyarakat</v>
          </cell>
          <cell r="D653">
            <v>0</v>
          </cell>
          <cell r="E653">
            <v>0</v>
          </cell>
          <cell r="F653">
            <v>0</v>
          </cell>
          <cell r="G653">
            <v>0</v>
          </cell>
          <cell r="H653">
            <v>0</v>
          </cell>
          <cell r="I653">
            <v>0</v>
          </cell>
          <cell r="J653">
            <v>0</v>
          </cell>
        </row>
        <row r="654">
          <cell r="B654" t="str">
            <v>1.2.02.03</v>
          </cell>
          <cell r="C654" t="str">
            <v>Investasi Dana Abadi Daerah</v>
          </cell>
          <cell r="D654">
            <v>0</v>
          </cell>
          <cell r="E654">
            <v>0</v>
          </cell>
          <cell r="F654"/>
          <cell r="G654"/>
          <cell r="H654"/>
          <cell r="I654"/>
          <cell r="J654">
            <v>0</v>
          </cell>
        </row>
        <row r="655">
          <cell r="B655" t="str">
            <v>1.2.02.03.01</v>
          </cell>
          <cell r="C655" t="str">
            <v>Investasi Dana Abadi Daerah</v>
          </cell>
          <cell r="D655">
            <v>0</v>
          </cell>
          <cell r="E655">
            <v>0</v>
          </cell>
          <cell r="F655">
            <v>0</v>
          </cell>
          <cell r="G655">
            <v>0</v>
          </cell>
          <cell r="H655">
            <v>0</v>
          </cell>
          <cell r="I655">
            <v>0</v>
          </cell>
          <cell r="J655">
            <v>0</v>
          </cell>
        </row>
        <row r="656">
          <cell r="B656"/>
          <cell r="C656"/>
          <cell r="D656"/>
          <cell r="E656"/>
          <cell r="F656"/>
          <cell r="G656"/>
          <cell r="H656"/>
          <cell r="I656"/>
          <cell r="J656"/>
        </row>
        <row r="657">
          <cell r="B657" t="str">
            <v>1.3</v>
          </cell>
          <cell r="C657" t="str">
            <v>ASET TETAP</v>
          </cell>
          <cell r="D657" t="str">
            <v>2.940.417.845.381,65</v>
          </cell>
          <cell r="E657" t="str">
            <v>3.236.801.569.147,48</v>
          </cell>
          <cell r="F657"/>
          <cell r="G657"/>
          <cell r="H657"/>
          <cell r="I657"/>
          <cell r="J657" t="str">
            <v>3.242.344.969.734,48</v>
          </cell>
        </row>
        <row r="658">
          <cell r="B658" t="str">
            <v>1.3.01</v>
          </cell>
          <cell r="C658" t="str">
            <v>Tanah</v>
          </cell>
          <cell r="D658">
            <v>382443526716.15002</v>
          </cell>
          <cell r="E658">
            <v>397549186961.15002</v>
          </cell>
          <cell r="F658"/>
          <cell r="G658"/>
          <cell r="H658"/>
          <cell r="I658"/>
          <cell r="J658">
            <v>397055867491.15002</v>
          </cell>
        </row>
        <row r="659">
          <cell r="B659" t="str">
            <v>1.3.01.01</v>
          </cell>
          <cell r="C659" t="str">
            <v>Tanah</v>
          </cell>
          <cell r="D659">
            <v>382443526716.15002</v>
          </cell>
          <cell r="E659">
            <v>397549186961.15002</v>
          </cell>
          <cell r="F659"/>
          <cell r="G659"/>
          <cell r="H659"/>
          <cell r="I659"/>
          <cell r="J659">
            <v>397055867491.15002</v>
          </cell>
        </row>
        <row r="660">
          <cell r="B660" t="str">
            <v>1.3.01.01.01</v>
          </cell>
          <cell r="C660" t="str">
            <v>Tanah Persil</v>
          </cell>
          <cell r="D660">
            <v>120501856861.57001</v>
          </cell>
          <cell r="E660">
            <v>134561016989.57001</v>
          </cell>
          <cell r="F660">
            <v>0</v>
          </cell>
          <cell r="G660">
            <v>0</v>
          </cell>
          <cell r="H660">
            <v>0</v>
          </cell>
          <cell r="I660">
            <v>493319470</v>
          </cell>
          <cell r="J660">
            <v>134067697519.57001</v>
          </cell>
        </row>
        <row r="661">
          <cell r="B661" t="str">
            <v>1.3.01.01.02</v>
          </cell>
          <cell r="C661" t="str">
            <v>Tanah Non Persil</v>
          </cell>
          <cell r="D661">
            <v>19040271078</v>
          </cell>
          <cell r="E661">
            <v>19940748498</v>
          </cell>
          <cell r="F661">
            <v>0</v>
          </cell>
          <cell r="G661">
            <v>0</v>
          </cell>
          <cell r="H661">
            <v>0</v>
          </cell>
          <cell r="I661">
            <v>0</v>
          </cell>
          <cell r="J661">
            <v>19940748498</v>
          </cell>
        </row>
        <row r="662">
          <cell r="B662" t="str">
            <v>1.3.01.01.03</v>
          </cell>
          <cell r="C662" t="str">
            <v>Lapangan</v>
          </cell>
          <cell r="D662">
            <v>242901398776.57999</v>
          </cell>
          <cell r="E662">
            <v>243047421473.57999</v>
          </cell>
          <cell r="F662">
            <v>0</v>
          </cell>
          <cell r="G662">
            <v>0</v>
          </cell>
          <cell r="H662">
            <v>0</v>
          </cell>
          <cell r="I662">
            <v>0</v>
          </cell>
          <cell r="J662">
            <v>243047421473.57999</v>
          </cell>
        </row>
        <row r="663">
          <cell r="B663"/>
          <cell r="C663"/>
          <cell r="D663"/>
          <cell r="E663"/>
          <cell r="F663"/>
          <cell r="G663"/>
          <cell r="H663"/>
          <cell r="I663"/>
          <cell r="J663"/>
        </row>
        <row r="664">
          <cell r="B664" t="str">
            <v>1.3.02</v>
          </cell>
          <cell r="C664" t="str">
            <v>Peralatan dan Mesin</v>
          </cell>
          <cell r="D664">
            <v>622338605784.60999</v>
          </cell>
          <cell r="E664">
            <v>718790009379.61011</v>
          </cell>
          <cell r="F664"/>
          <cell r="G664"/>
          <cell r="H664"/>
          <cell r="I664"/>
          <cell r="J664">
            <v>718697889979.61011</v>
          </cell>
        </row>
        <row r="665">
          <cell r="B665" t="str">
            <v>1.3.02.01</v>
          </cell>
          <cell r="C665" t="str">
            <v>Alat Besar</v>
          </cell>
          <cell r="D665">
            <v>35448771193</v>
          </cell>
          <cell r="E665">
            <v>52313885039</v>
          </cell>
          <cell r="F665"/>
          <cell r="G665"/>
          <cell r="H665"/>
          <cell r="I665"/>
          <cell r="J665">
            <v>52313885039</v>
          </cell>
        </row>
        <row r="666">
          <cell r="B666" t="str">
            <v>1.3.02.01.01</v>
          </cell>
          <cell r="C666" t="str">
            <v>Alat Besar Darat</v>
          </cell>
          <cell r="D666">
            <v>21627404299</v>
          </cell>
          <cell r="E666">
            <v>37300786525</v>
          </cell>
          <cell r="F666">
            <v>0</v>
          </cell>
          <cell r="G666">
            <v>0</v>
          </cell>
          <cell r="H666">
            <v>0</v>
          </cell>
          <cell r="I666">
            <v>0</v>
          </cell>
          <cell r="J666">
            <v>37300786525</v>
          </cell>
        </row>
        <row r="667">
          <cell r="B667" t="str">
            <v>1.3.02.01.02</v>
          </cell>
          <cell r="C667" t="str">
            <v>Alat Besar Apung</v>
          </cell>
          <cell r="D667">
            <v>4476807630</v>
          </cell>
          <cell r="E667">
            <v>4476807630</v>
          </cell>
          <cell r="F667">
            <v>0</v>
          </cell>
          <cell r="G667">
            <v>0</v>
          </cell>
          <cell r="H667">
            <v>0</v>
          </cell>
          <cell r="I667">
            <v>0</v>
          </cell>
          <cell r="J667">
            <v>4476807630</v>
          </cell>
        </row>
        <row r="668">
          <cell r="B668" t="str">
            <v>1.3.02.01.03</v>
          </cell>
          <cell r="C668" t="str">
            <v>Alat Bantu</v>
          </cell>
          <cell r="D668">
            <v>9344559264</v>
          </cell>
          <cell r="E668">
            <v>10536290884</v>
          </cell>
          <cell r="F668">
            <v>0</v>
          </cell>
          <cell r="G668">
            <v>0</v>
          </cell>
          <cell r="H668">
            <v>0</v>
          </cell>
          <cell r="I668">
            <v>0</v>
          </cell>
          <cell r="J668">
            <v>10536290884</v>
          </cell>
        </row>
        <row r="669">
          <cell r="B669" t="str">
            <v>1.3.02.02</v>
          </cell>
          <cell r="C669" t="str">
            <v>Alat Angkutan</v>
          </cell>
          <cell r="D669">
            <v>119980314789</v>
          </cell>
          <cell r="E669">
            <v>148319613500</v>
          </cell>
          <cell r="F669"/>
          <cell r="G669"/>
          <cell r="H669"/>
          <cell r="I669"/>
          <cell r="J669">
            <v>147911963500</v>
          </cell>
        </row>
        <row r="670">
          <cell r="B670" t="str">
            <v>1.3.02.02.01</v>
          </cell>
          <cell r="C670" t="str">
            <v>Alat Angkutan Darat Bermotor</v>
          </cell>
          <cell r="D670">
            <v>117498578916</v>
          </cell>
          <cell r="E670">
            <v>145837877627</v>
          </cell>
          <cell r="F670">
            <v>0</v>
          </cell>
          <cell r="G670">
            <v>407650000</v>
          </cell>
          <cell r="H670">
            <v>0</v>
          </cell>
          <cell r="I670">
            <v>0</v>
          </cell>
          <cell r="J670">
            <v>145430227627</v>
          </cell>
        </row>
        <row r="671">
          <cell r="B671" t="str">
            <v>1.3.02.02.02</v>
          </cell>
          <cell r="C671" t="str">
            <v>Alat Angkutan Darat Tak Bermotor</v>
          </cell>
          <cell r="D671">
            <v>156419873</v>
          </cell>
          <cell r="E671">
            <v>156419873</v>
          </cell>
          <cell r="F671">
            <v>0</v>
          </cell>
          <cell r="G671">
            <v>0</v>
          </cell>
          <cell r="H671">
            <v>0</v>
          </cell>
          <cell r="I671">
            <v>0</v>
          </cell>
          <cell r="J671">
            <v>156419873</v>
          </cell>
        </row>
        <row r="672">
          <cell r="B672" t="str">
            <v>1.3.02.02.03</v>
          </cell>
          <cell r="C672" t="str">
            <v>Alat Angkutan Apung Bermotor</v>
          </cell>
          <cell r="D672">
            <v>2206566000</v>
          </cell>
          <cell r="E672">
            <v>2206566000</v>
          </cell>
          <cell r="F672">
            <v>0</v>
          </cell>
          <cell r="G672">
            <v>0</v>
          </cell>
          <cell r="H672">
            <v>0</v>
          </cell>
          <cell r="I672">
            <v>0</v>
          </cell>
          <cell r="J672">
            <v>2206566000</v>
          </cell>
        </row>
        <row r="673">
          <cell r="B673" t="str">
            <v>1.3.02.02.04</v>
          </cell>
          <cell r="C673" t="str">
            <v>Alat Angkutan Apung Tak Bermotor</v>
          </cell>
          <cell r="D673">
            <v>74750000</v>
          </cell>
          <cell r="E673">
            <v>74750000</v>
          </cell>
          <cell r="F673">
            <v>0</v>
          </cell>
          <cell r="G673">
            <v>0</v>
          </cell>
          <cell r="H673">
            <v>0</v>
          </cell>
          <cell r="I673">
            <v>0</v>
          </cell>
          <cell r="J673">
            <v>74750000</v>
          </cell>
        </row>
        <row r="674">
          <cell r="B674" t="str">
            <v>1.3.02.02.05</v>
          </cell>
          <cell r="C674" t="str">
            <v>Alat Angkutan Bermotor Udara</v>
          </cell>
          <cell r="D674">
            <v>44000000</v>
          </cell>
          <cell r="E674">
            <v>44000000</v>
          </cell>
          <cell r="F674">
            <v>0</v>
          </cell>
          <cell r="G674">
            <v>0</v>
          </cell>
          <cell r="H674">
            <v>0</v>
          </cell>
          <cell r="I674">
            <v>0</v>
          </cell>
          <cell r="J674">
            <v>44000000</v>
          </cell>
        </row>
        <row r="675">
          <cell r="B675" t="str">
            <v>1.3.02.03</v>
          </cell>
          <cell r="C675" t="str">
            <v>Alat Bengkel dan Alat Ukur</v>
          </cell>
          <cell r="D675">
            <v>6594677031.5</v>
          </cell>
          <cell r="E675">
            <v>6813513591.5</v>
          </cell>
          <cell r="F675"/>
          <cell r="G675"/>
          <cell r="H675"/>
          <cell r="I675"/>
          <cell r="J675">
            <v>6813513591.5</v>
          </cell>
        </row>
        <row r="676">
          <cell r="B676" t="str">
            <v>1.3.02.03.01</v>
          </cell>
          <cell r="C676" t="str">
            <v>Alat Bengkel Bermesin</v>
          </cell>
          <cell r="D676">
            <v>888251380</v>
          </cell>
          <cell r="E676">
            <v>918531380</v>
          </cell>
          <cell r="F676">
            <v>0</v>
          </cell>
          <cell r="G676">
            <v>0</v>
          </cell>
          <cell r="H676">
            <v>0</v>
          </cell>
          <cell r="I676">
            <v>0</v>
          </cell>
          <cell r="J676">
            <v>918531380</v>
          </cell>
        </row>
        <row r="677">
          <cell r="B677" t="str">
            <v>1.3.02.03.02</v>
          </cell>
          <cell r="C677" t="str">
            <v>Alat Bengkel Tak Bermesin</v>
          </cell>
          <cell r="D677">
            <v>1159997466.5</v>
          </cell>
          <cell r="E677">
            <v>1159997466.5</v>
          </cell>
          <cell r="F677">
            <v>0</v>
          </cell>
          <cell r="G677">
            <v>0</v>
          </cell>
          <cell r="H677">
            <v>0</v>
          </cell>
          <cell r="I677">
            <v>0</v>
          </cell>
          <cell r="J677">
            <v>1159997466.5</v>
          </cell>
        </row>
        <row r="678">
          <cell r="B678" t="str">
            <v>1.3.02.03.03</v>
          </cell>
          <cell r="C678" t="str">
            <v>Alat Ukur</v>
          </cell>
          <cell r="D678">
            <v>4546428185</v>
          </cell>
          <cell r="E678">
            <v>4734984745</v>
          </cell>
          <cell r="F678">
            <v>0</v>
          </cell>
          <cell r="G678">
            <v>0</v>
          </cell>
          <cell r="H678">
            <v>0</v>
          </cell>
          <cell r="I678">
            <v>0</v>
          </cell>
          <cell r="J678">
            <v>4734984745</v>
          </cell>
        </row>
        <row r="679">
          <cell r="B679" t="str">
            <v>1.3.02.04</v>
          </cell>
          <cell r="C679" t="str">
            <v>Alat Pertanian</v>
          </cell>
          <cell r="D679">
            <v>16945434203</v>
          </cell>
          <cell r="E679">
            <v>16938434203</v>
          </cell>
          <cell r="F679"/>
          <cell r="G679"/>
          <cell r="H679"/>
          <cell r="I679"/>
          <cell r="J679">
            <v>16938434203</v>
          </cell>
        </row>
        <row r="680">
          <cell r="B680" t="str">
            <v>1.3.02.04.01</v>
          </cell>
          <cell r="C680" t="str">
            <v>Alat Pengolahan</v>
          </cell>
          <cell r="D680">
            <v>16945434203</v>
          </cell>
          <cell r="E680">
            <v>16938434203</v>
          </cell>
          <cell r="F680">
            <v>0</v>
          </cell>
          <cell r="G680">
            <v>0</v>
          </cell>
          <cell r="H680">
            <v>0</v>
          </cell>
          <cell r="I680">
            <v>0</v>
          </cell>
          <cell r="J680">
            <v>16938434203</v>
          </cell>
        </row>
        <row r="681">
          <cell r="B681" t="str">
            <v>1.3.02.05</v>
          </cell>
          <cell r="C681" t="str">
            <v>Alat Kantor dan Rumah Tangga</v>
          </cell>
          <cell r="D681">
            <v>151649195935.17999</v>
          </cell>
          <cell r="E681">
            <v>171448271371.17999</v>
          </cell>
          <cell r="F681"/>
          <cell r="G681"/>
          <cell r="H681"/>
          <cell r="I681"/>
          <cell r="J681">
            <v>171763801971.17999</v>
          </cell>
        </row>
        <row r="682">
          <cell r="B682" t="str">
            <v>1.3.02.05.01</v>
          </cell>
          <cell r="C682" t="str">
            <v>Alat Kantor</v>
          </cell>
          <cell r="D682">
            <v>28671780466.900002</v>
          </cell>
          <cell r="E682">
            <v>32095645553.900002</v>
          </cell>
          <cell r="F682">
            <v>0</v>
          </cell>
          <cell r="G682">
            <v>0</v>
          </cell>
          <cell r="H682">
            <v>0</v>
          </cell>
          <cell r="I682">
            <v>0</v>
          </cell>
          <cell r="J682">
            <v>32095645553.900002</v>
          </cell>
        </row>
        <row r="683">
          <cell r="B683" t="str">
            <v>1.3.02.05.02</v>
          </cell>
          <cell r="C683" t="str">
            <v>Alat Rumah Tangga</v>
          </cell>
          <cell r="D683">
            <v>106216662329.28</v>
          </cell>
          <cell r="E683">
            <v>122465889178.28</v>
          </cell>
          <cell r="F683">
            <v>0</v>
          </cell>
          <cell r="G683">
            <v>0</v>
          </cell>
          <cell r="H683">
            <v>0</v>
          </cell>
          <cell r="I683">
            <v>0</v>
          </cell>
          <cell r="J683">
            <v>122465889178.28</v>
          </cell>
        </row>
        <row r="684">
          <cell r="B684" t="str">
            <v>1.3.02.05.03</v>
          </cell>
          <cell r="C684" t="str">
            <v>Meja dan Kursi Kerja/Rapat Pejabat</v>
          </cell>
          <cell r="D684">
            <v>16760753139</v>
          </cell>
          <cell r="E684">
            <v>16886736639</v>
          </cell>
          <cell r="F684">
            <v>315530600</v>
          </cell>
          <cell r="G684">
            <v>0</v>
          </cell>
          <cell r="H684">
            <v>0</v>
          </cell>
          <cell r="I684">
            <v>0</v>
          </cell>
          <cell r="J684">
            <v>17202267239</v>
          </cell>
        </row>
        <row r="685">
          <cell r="B685" t="str">
            <v>1.3.02.06</v>
          </cell>
          <cell r="C685" t="str">
            <v>Alat Studio, Komunikasi, dan Pemancar</v>
          </cell>
          <cell r="D685">
            <v>22286301308</v>
          </cell>
          <cell r="E685">
            <v>27230523526</v>
          </cell>
          <cell r="F685"/>
          <cell r="G685"/>
          <cell r="H685"/>
          <cell r="I685"/>
          <cell r="J685">
            <v>27230523526</v>
          </cell>
        </row>
        <row r="686">
          <cell r="B686" t="str">
            <v>1.3.02.06.01</v>
          </cell>
          <cell r="C686" t="str">
            <v>Alat Studio</v>
          </cell>
          <cell r="D686">
            <v>19946119123</v>
          </cell>
          <cell r="E686">
            <v>23579639073</v>
          </cell>
          <cell r="F686">
            <v>0</v>
          </cell>
          <cell r="G686">
            <v>0</v>
          </cell>
          <cell r="H686">
            <v>0</v>
          </cell>
          <cell r="I686">
            <v>0</v>
          </cell>
          <cell r="J686">
            <v>23579639073</v>
          </cell>
        </row>
        <row r="687">
          <cell r="B687" t="str">
            <v>1.3.02.06.02</v>
          </cell>
          <cell r="C687" t="str">
            <v>Alat Komunikasi</v>
          </cell>
          <cell r="D687">
            <v>1566757785</v>
          </cell>
          <cell r="E687">
            <v>2889460053</v>
          </cell>
          <cell r="F687">
            <v>0</v>
          </cell>
          <cell r="G687">
            <v>0</v>
          </cell>
          <cell r="H687">
            <v>0</v>
          </cell>
          <cell r="I687">
            <v>0</v>
          </cell>
          <cell r="J687">
            <v>2889460053</v>
          </cell>
        </row>
        <row r="688">
          <cell r="B688" t="str">
            <v>1.3.02.06.03</v>
          </cell>
          <cell r="C688" t="str">
            <v>Peralatan Pemancar</v>
          </cell>
          <cell r="D688">
            <v>769424400</v>
          </cell>
          <cell r="E688">
            <v>757424400</v>
          </cell>
          <cell r="F688">
            <v>0</v>
          </cell>
          <cell r="G688">
            <v>0</v>
          </cell>
          <cell r="H688">
            <v>0</v>
          </cell>
          <cell r="I688">
            <v>0</v>
          </cell>
          <cell r="J688">
            <v>757424400</v>
          </cell>
        </row>
        <row r="689">
          <cell r="B689" t="str">
            <v>1.3.02.06.04</v>
          </cell>
          <cell r="C689" t="str">
            <v>Peralatan Komunikasi Navigasi</v>
          </cell>
          <cell r="D689">
            <v>4000000</v>
          </cell>
          <cell r="E689">
            <v>4000000</v>
          </cell>
          <cell r="F689">
            <v>0</v>
          </cell>
          <cell r="G689">
            <v>0</v>
          </cell>
          <cell r="H689">
            <v>0</v>
          </cell>
          <cell r="I689">
            <v>0</v>
          </cell>
          <cell r="J689">
            <v>4000000</v>
          </cell>
        </row>
        <row r="690">
          <cell r="B690" t="str">
            <v>1.3.02.07</v>
          </cell>
          <cell r="C690" t="str">
            <v>Alat Kedokteran dan Kesehatan</v>
          </cell>
          <cell r="D690">
            <v>122922523527.70001</v>
          </cell>
          <cell r="E690">
            <v>128624383386.70001</v>
          </cell>
          <cell r="F690"/>
          <cell r="G690"/>
          <cell r="H690"/>
          <cell r="I690"/>
          <cell r="J690">
            <v>128624383386.70001</v>
          </cell>
        </row>
        <row r="691">
          <cell r="B691" t="str">
            <v>1.3.02.07.01</v>
          </cell>
          <cell r="C691" t="str">
            <v>Alat Kedokteran</v>
          </cell>
          <cell r="D691">
            <v>83386807861.520004</v>
          </cell>
          <cell r="E691">
            <v>88996567720.520004</v>
          </cell>
          <cell r="F691">
            <v>0</v>
          </cell>
          <cell r="G691">
            <v>0</v>
          </cell>
          <cell r="H691">
            <v>0</v>
          </cell>
          <cell r="I691">
            <v>0</v>
          </cell>
          <cell r="J691">
            <v>88996567720.520004</v>
          </cell>
        </row>
        <row r="692">
          <cell r="B692" t="str">
            <v>1.3.02.07.02</v>
          </cell>
          <cell r="C692" t="str">
            <v>Alat Kesehatan Umum</v>
          </cell>
          <cell r="D692">
            <v>39535715666.18</v>
          </cell>
          <cell r="E692">
            <v>39627815666.18</v>
          </cell>
          <cell r="F692">
            <v>0</v>
          </cell>
          <cell r="G692">
            <v>0</v>
          </cell>
          <cell r="H692">
            <v>0</v>
          </cell>
          <cell r="I692">
            <v>0</v>
          </cell>
          <cell r="J692">
            <v>39627815666.18</v>
          </cell>
        </row>
        <row r="693">
          <cell r="B693" t="str">
            <v>1.3.02.08</v>
          </cell>
          <cell r="C693" t="str">
            <v>Alat Laboratorium</v>
          </cell>
          <cell r="D693">
            <v>43919895667.300003</v>
          </cell>
          <cell r="E693">
            <v>45583463108.300003</v>
          </cell>
          <cell r="F693"/>
          <cell r="G693"/>
          <cell r="H693"/>
          <cell r="I693"/>
          <cell r="J693">
            <v>45583463108.300003</v>
          </cell>
        </row>
        <row r="694">
          <cell r="B694" t="str">
            <v>1.3.02.08.01</v>
          </cell>
          <cell r="C694" t="str">
            <v>Unit Alat Laboratorium</v>
          </cell>
          <cell r="D694">
            <v>30509674727</v>
          </cell>
          <cell r="E694">
            <v>32322665808</v>
          </cell>
          <cell r="F694">
            <v>0</v>
          </cell>
          <cell r="G694">
            <v>0</v>
          </cell>
          <cell r="H694">
            <v>0</v>
          </cell>
          <cell r="I694">
            <v>0</v>
          </cell>
          <cell r="J694">
            <v>32322665808</v>
          </cell>
        </row>
        <row r="695">
          <cell r="B695" t="str">
            <v>1.3.02.08.02</v>
          </cell>
          <cell r="C695" t="str">
            <v>Unit Alat Laboratorium Kimia Nuklir</v>
          </cell>
          <cell r="D695">
            <v>282200000</v>
          </cell>
          <cell r="E695">
            <v>282200000</v>
          </cell>
          <cell r="F695">
            <v>0</v>
          </cell>
          <cell r="G695">
            <v>0</v>
          </cell>
          <cell r="H695">
            <v>0</v>
          </cell>
          <cell r="I695">
            <v>0</v>
          </cell>
          <cell r="J695">
            <v>282200000</v>
          </cell>
        </row>
        <row r="696">
          <cell r="B696" t="str">
            <v>1.3.02.08.03</v>
          </cell>
          <cell r="C696" t="str">
            <v>Alat Peraga Praktik Sekolah</v>
          </cell>
          <cell r="D696">
            <v>10488130228.299999</v>
          </cell>
          <cell r="E696">
            <v>9946305088.2999992</v>
          </cell>
          <cell r="F696">
            <v>0</v>
          </cell>
          <cell r="G696">
            <v>0</v>
          </cell>
          <cell r="H696">
            <v>0</v>
          </cell>
          <cell r="I696">
            <v>0</v>
          </cell>
          <cell r="J696">
            <v>9946305088.2999992</v>
          </cell>
        </row>
        <row r="697">
          <cell r="B697" t="str">
            <v>1.3.02.08.04</v>
          </cell>
          <cell r="C697" t="str">
            <v>Alat Laboratorium Fisika Nuklir/Elektronika</v>
          </cell>
          <cell r="D697">
            <v>1142384804</v>
          </cell>
          <cell r="E697">
            <v>1534786304</v>
          </cell>
          <cell r="F697">
            <v>0</v>
          </cell>
          <cell r="G697">
            <v>0</v>
          </cell>
          <cell r="H697">
            <v>0</v>
          </cell>
          <cell r="I697">
            <v>0</v>
          </cell>
          <cell r="J697">
            <v>1534786304</v>
          </cell>
        </row>
        <row r="698">
          <cell r="B698" t="str">
            <v>1.3.02.08.05</v>
          </cell>
          <cell r="C698" t="str">
            <v>Alat Proteksi Radiasi/Proteksi Lingkungan</v>
          </cell>
          <cell r="D698">
            <v>208736910</v>
          </cell>
          <cell r="E698">
            <v>208736910</v>
          </cell>
          <cell r="F698">
            <v>0</v>
          </cell>
          <cell r="G698">
            <v>0</v>
          </cell>
          <cell r="H698">
            <v>0</v>
          </cell>
          <cell r="I698">
            <v>0</v>
          </cell>
          <cell r="J698">
            <v>208736910</v>
          </cell>
        </row>
        <row r="699">
          <cell r="B699" t="str">
            <v>1.3.02.08.06</v>
          </cell>
          <cell r="C699" t="str">
            <v>Radiation Application and Non Destructive Testing Laboratory Lainnya</v>
          </cell>
          <cell r="D699">
            <v>43758150</v>
          </cell>
          <cell r="E699">
            <v>43758150</v>
          </cell>
          <cell r="F699">
            <v>0</v>
          </cell>
          <cell r="G699">
            <v>0</v>
          </cell>
          <cell r="H699">
            <v>0</v>
          </cell>
          <cell r="I699">
            <v>0</v>
          </cell>
          <cell r="J699">
            <v>43758150</v>
          </cell>
        </row>
        <row r="700">
          <cell r="B700" t="str">
            <v>1.3.02.08.07</v>
          </cell>
          <cell r="C700" t="str">
            <v>Alat Laboratorium Lingkungan Hidup</v>
          </cell>
          <cell r="D700">
            <v>1033340248</v>
          </cell>
          <cell r="E700">
            <v>1033340248</v>
          </cell>
          <cell r="F700">
            <v>0</v>
          </cell>
          <cell r="G700">
            <v>0</v>
          </cell>
          <cell r="H700">
            <v>0</v>
          </cell>
          <cell r="I700">
            <v>0</v>
          </cell>
          <cell r="J700">
            <v>1033340248</v>
          </cell>
        </row>
        <row r="701">
          <cell r="B701" t="str">
            <v>1.3.02.08.08</v>
          </cell>
          <cell r="C701" t="str">
            <v>Peralatan Laboratorium Hydrodinamica</v>
          </cell>
          <cell r="D701">
            <v>124762600</v>
          </cell>
          <cell r="E701">
            <v>124762600</v>
          </cell>
          <cell r="F701">
            <v>0</v>
          </cell>
          <cell r="G701">
            <v>0</v>
          </cell>
          <cell r="H701">
            <v>0</v>
          </cell>
          <cell r="I701">
            <v>0</v>
          </cell>
          <cell r="J701">
            <v>124762600</v>
          </cell>
        </row>
        <row r="702">
          <cell r="B702" t="str">
            <v>1.3.02.08.09</v>
          </cell>
          <cell r="C702" t="str">
            <v>Alat Laboratorium Standarisasi Kalibrasi dan Instrumentasi</v>
          </cell>
          <cell r="D702">
            <v>86908000</v>
          </cell>
          <cell r="E702">
            <v>86908000</v>
          </cell>
          <cell r="F702">
            <v>0</v>
          </cell>
          <cell r="G702">
            <v>0</v>
          </cell>
          <cell r="H702">
            <v>0</v>
          </cell>
          <cell r="I702">
            <v>0</v>
          </cell>
          <cell r="J702">
            <v>86908000</v>
          </cell>
        </row>
        <row r="703">
          <cell r="B703" t="str">
            <v>1.3.02.09</v>
          </cell>
          <cell r="C703" t="str">
            <v>Alat Persenjataan</v>
          </cell>
          <cell r="D703">
            <v>1197242910</v>
          </cell>
          <cell r="E703">
            <v>1197242910</v>
          </cell>
          <cell r="F703"/>
          <cell r="G703"/>
          <cell r="H703"/>
          <cell r="I703"/>
          <cell r="J703">
            <v>1197242910</v>
          </cell>
        </row>
        <row r="704">
          <cell r="B704" t="str">
            <v>1.3.02.09.01</v>
          </cell>
          <cell r="C704" t="str">
            <v>Senjata Api</v>
          </cell>
          <cell r="D704">
            <v>90910800</v>
          </cell>
          <cell r="E704">
            <v>90910800</v>
          </cell>
          <cell r="F704">
            <v>0</v>
          </cell>
          <cell r="G704">
            <v>0</v>
          </cell>
          <cell r="H704">
            <v>0</v>
          </cell>
          <cell r="I704">
            <v>0</v>
          </cell>
          <cell r="J704">
            <v>90910800</v>
          </cell>
        </row>
        <row r="705">
          <cell r="B705" t="str">
            <v>1.3.02.09.02</v>
          </cell>
          <cell r="C705" t="str">
            <v>Persenjataan Non Senjata Api</v>
          </cell>
          <cell r="D705">
            <v>661696300</v>
          </cell>
          <cell r="E705">
            <v>661696300</v>
          </cell>
          <cell r="F705">
            <v>0</v>
          </cell>
          <cell r="G705">
            <v>0</v>
          </cell>
          <cell r="H705">
            <v>0</v>
          </cell>
          <cell r="I705">
            <v>0</v>
          </cell>
          <cell r="J705">
            <v>661696300</v>
          </cell>
        </row>
        <row r="706">
          <cell r="B706" t="str">
            <v>1.3.02.09.03</v>
          </cell>
          <cell r="C706" t="str">
            <v>Senjata Sinar</v>
          </cell>
          <cell r="D706">
            <v>13000000</v>
          </cell>
          <cell r="E706">
            <v>13000000</v>
          </cell>
          <cell r="F706">
            <v>0</v>
          </cell>
          <cell r="G706">
            <v>0</v>
          </cell>
          <cell r="H706">
            <v>0</v>
          </cell>
          <cell r="I706">
            <v>0</v>
          </cell>
          <cell r="J706">
            <v>13000000</v>
          </cell>
        </row>
        <row r="707">
          <cell r="B707" t="str">
            <v>1.3.02.09.04</v>
          </cell>
          <cell r="C707" t="str">
            <v>Alat Khusus Kepolisian</v>
          </cell>
          <cell r="D707">
            <v>431635810</v>
          </cell>
          <cell r="E707">
            <v>431635810</v>
          </cell>
          <cell r="F707">
            <v>0</v>
          </cell>
          <cell r="G707">
            <v>0</v>
          </cell>
          <cell r="H707">
            <v>0</v>
          </cell>
          <cell r="I707">
            <v>0</v>
          </cell>
          <cell r="J707">
            <v>431635810</v>
          </cell>
        </row>
        <row r="708">
          <cell r="B708" t="str">
            <v>1.3.02.10</v>
          </cell>
          <cell r="C708" t="str">
            <v>Komputer</v>
          </cell>
          <cell r="D708">
            <v>95756696524.930008</v>
          </cell>
          <cell r="E708">
            <v>113960399046.93001</v>
          </cell>
          <cell r="F708"/>
          <cell r="G708"/>
          <cell r="H708"/>
          <cell r="I708"/>
          <cell r="J708">
            <v>113960399046.93001</v>
          </cell>
        </row>
        <row r="709">
          <cell r="B709" t="str">
            <v>1.3.02.10.01</v>
          </cell>
          <cell r="C709" t="str">
            <v>Komputer Unit</v>
          </cell>
          <cell r="D709">
            <v>76876941967.550003</v>
          </cell>
          <cell r="E709">
            <v>92218798792.550003</v>
          </cell>
          <cell r="F709">
            <v>0</v>
          </cell>
          <cell r="G709">
            <v>0</v>
          </cell>
          <cell r="H709">
            <v>0</v>
          </cell>
          <cell r="I709">
            <v>0</v>
          </cell>
          <cell r="J709">
            <v>92218798792.550003</v>
          </cell>
        </row>
        <row r="710">
          <cell r="B710" t="str">
            <v>1.3.02.10.02</v>
          </cell>
          <cell r="C710" t="str">
            <v>Peralatan Komputer</v>
          </cell>
          <cell r="D710">
            <v>18879754557.380001</v>
          </cell>
          <cell r="E710">
            <v>21741600254.380001</v>
          </cell>
          <cell r="F710">
            <v>0</v>
          </cell>
          <cell r="G710">
            <v>0</v>
          </cell>
          <cell r="H710">
            <v>0</v>
          </cell>
          <cell r="I710">
            <v>0</v>
          </cell>
          <cell r="J710">
            <v>21741600254.380001</v>
          </cell>
        </row>
        <row r="711">
          <cell r="B711" t="str">
            <v>1.3.02.11</v>
          </cell>
          <cell r="C711" t="str">
            <v>Alat Eksplorasi</v>
          </cell>
          <cell r="D711">
            <v>2000000</v>
          </cell>
          <cell r="E711">
            <v>3500000</v>
          </cell>
          <cell r="F711"/>
          <cell r="G711"/>
          <cell r="H711"/>
          <cell r="I711"/>
          <cell r="J711">
            <v>3500000</v>
          </cell>
        </row>
        <row r="712">
          <cell r="B712" t="str">
            <v>1.3.02.11.01</v>
          </cell>
          <cell r="C712" t="str">
            <v>Alat Eksplorasi Topografi</v>
          </cell>
          <cell r="D712">
            <v>0</v>
          </cell>
          <cell r="E712">
            <v>1500000</v>
          </cell>
          <cell r="F712">
            <v>0</v>
          </cell>
          <cell r="G712">
            <v>0</v>
          </cell>
          <cell r="H712">
            <v>0</v>
          </cell>
          <cell r="I712">
            <v>0</v>
          </cell>
          <cell r="J712">
            <v>1500000</v>
          </cell>
        </row>
        <row r="713">
          <cell r="B713" t="str">
            <v>1.3.02.11.02</v>
          </cell>
          <cell r="C713" t="str">
            <v>Alat Eksplorasi Geofisika</v>
          </cell>
          <cell r="D713">
            <v>2000000</v>
          </cell>
          <cell r="E713">
            <v>2000000</v>
          </cell>
          <cell r="F713">
            <v>0</v>
          </cell>
          <cell r="G713">
            <v>0</v>
          </cell>
          <cell r="H713">
            <v>0</v>
          </cell>
          <cell r="I713">
            <v>0</v>
          </cell>
          <cell r="J713">
            <v>2000000</v>
          </cell>
        </row>
        <row r="714">
          <cell r="B714" t="str">
            <v>1.3.02.12</v>
          </cell>
          <cell r="C714" t="str">
            <v>Alat Pengeboran</v>
          </cell>
          <cell r="D714">
            <v>5000000</v>
          </cell>
          <cell r="E714">
            <v>5000000</v>
          </cell>
          <cell r="F714"/>
          <cell r="G714"/>
          <cell r="H714"/>
          <cell r="I714"/>
          <cell r="J714">
            <v>5000000</v>
          </cell>
        </row>
        <row r="715">
          <cell r="B715" t="str">
            <v>1.3.02.12.01</v>
          </cell>
          <cell r="C715" t="str">
            <v>Alat Pengeboran Mesin</v>
          </cell>
          <cell r="D715">
            <v>0</v>
          </cell>
          <cell r="E715">
            <v>0</v>
          </cell>
          <cell r="F715">
            <v>0</v>
          </cell>
          <cell r="G715">
            <v>0</v>
          </cell>
          <cell r="H715">
            <v>0</v>
          </cell>
          <cell r="I715">
            <v>0</v>
          </cell>
          <cell r="J715">
            <v>0</v>
          </cell>
        </row>
        <row r="716">
          <cell r="B716" t="str">
            <v>1.3.02.12.02</v>
          </cell>
          <cell r="C716" t="str">
            <v>Alat Pengeboran Non Mesin</v>
          </cell>
          <cell r="D716">
            <v>5000000</v>
          </cell>
          <cell r="E716">
            <v>5000000</v>
          </cell>
          <cell r="F716">
            <v>0</v>
          </cell>
          <cell r="G716">
            <v>0</v>
          </cell>
          <cell r="H716">
            <v>0</v>
          </cell>
          <cell r="I716">
            <v>0</v>
          </cell>
          <cell r="J716">
            <v>5000000</v>
          </cell>
        </row>
        <row r="717">
          <cell r="B717" t="str">
            <v>1.3.02.13</v>
          </cell>
          <cell r="C717" t="str">
            <v>Alat Produksi, Pengolahan, dan Pemurnian</v>
          </cell>
          <cell r="D717">
            <v>10000000</v>
          </cell>
          <cell r="E717">
            <v>10000000</v>
          </cell>
          <cell r="F717"/>
          <cell r="G717"/>
          <cell r="H717"/>
          <cell r="I717"/>
          <cell r="J717">
            <v>10000000</v>
          </cell>
        </row>
        <row r="718">
          <cell r="B718" t="str">
            <v>1.3.02.13.01</v>
          </cell>
          <cell r="C718" t="str">
            <v>Sumur</v>
          </cell>
          <cell r="D718">
            <v>10000000</v>
          </cell>
          <cell r="E718">
            <v>10000000</v>
          </cell>
          <cell r="F718">
            <v>0</v>
          </cell>
          <cell r="G718">
            <v>0</v>
          </cell>
          <cell r="H718">
            <v>0</v>
          </cell>
          <cell r="I718">
            <v>0</v>
          </cell>
          <cell r="J718">
            <v>10000000</v>
          </cell>
        </row>
        <row r="719">
          <cell r="B719" t="str">
            <v>1.3.02.13.02</v>
          </cell>
          <cell r="C719" t="str">
            <v>Produksi</v>
          </cell>
          <cell r="D719">
            <v>0</v>
          </cell>
          <cell r="E719">
            <v>0</v>
          </cell>
          <cell r="F719">
            <v>0</v>
          </cell>
          <cell r="G719">
            <v>0</v>
          </cell>
          <cell r="H719">
            <v>0</v>
          </cell>
          <cell r="I719">
            <v>0</v>
          </cell>
          <cell r="J719">
            <v>0</v>
          </cell>
        </row>
        <row r="720">
          <cell r="B720" t="str">
            <v>1.3.02.13.03</v>
          </cell>
          <cell r="C720" t="str">
            <v>Pengolahan dan Pemurnian</v>
          </cell>
          <cell r="D720">
            <v>0</v>
          </cell>
          <cell r="E720">
            <v>0</v>
          </cell>
          <cell r="F720">
            <v>0</v>
          </cell>
          <cell r="G720">
            <v>0</v>
          </cell>
          <cell r="H720">
            <v>0</v>
          </cell>
          <cell r="I720">
            <v>0</v>
          </cell>
          <cell r="J720">
            <v>0</v>
          </cell>
        </row>
        <row r="721">
          <cell r="B721" t="str">
            <v>1.3.02.14</v>
          </cell>
          <cell r="C721" t="str">
            <v>Alat Bantu Eksplorasi</v>
          </cell>
          <cell r="D721">
            <v>0</v>
          </cell>
          <cell r="E721">
            <v>990000</v>
          </cell>
          <cell r="F721"/>
          <cell r="G721"/>
          <cell r="H721"/>
          <cell r="I721"/>
          <cell r="J721">
            <v>990000</v>
          </cell>
        </row>
        <row r="722">
          <cell r="B722" t="str">
            <v>1.3.02.14.01</v>
          </cell>
          <cell r="C722" t="str">
            <v>Alat Bantu Eksplorasi</v>
          </cell>
          <cell r="D722">
            <v>0</v>
          </cell>
          <cell r="E722">
            <v>0</v>
          </cell>
          <cell r="F722">
            <v>0</v>
          </cell>
          <cell r="G722">
            <v>0</v>
          </cell>
          <cell r="H722">
            <v>0</v>
          </cell>
          <cell r="I722">
            <v>0</v>
          </cell>
          <cell r="J722">
            <v>0</v>
          </cell>
        </row>
        <row r="723">
          <cell r="B723" t="str">
            <v>1.3.02.14.02</v>
          </cell>
          <cell r="C723" t="str">
            <v>Alat Bantu Produksi</v>
          </cell>
          <cell r="D723">
            <v>0</v>
          </cell>
          <cell r="E723">
            <v>990000</v>
          </cell>
          <cell r="F723">
            <v>0</v>
          </cell>
          <cell r="G723">
            <v>0</v>
          </cell>
          <cell r="H723">
            <v>0</v>
          </cell>
          <cell r="I723">
            <v>0</v>
          </cell>
          <cell r="J723">
            <v>990000</v>
          </cell>
        </row>
        <row r="724">
          <cell r="B724" t="str">
            <v>1.3.02.15</v>
          </cell>
          <cell r="C724" t="str">
            <v>Alat Keselamatan Kerja</v>
          </cell>
          <cell r="D724">
            <v>1545143844</v>
          </cell>
          <cell r="E724">
            <v>1515203844</v>
          </cell>
          <cell r="F724"/>
          <cell r="G724"/>
          <cell r="H724"/>
          <cell r="I724"/>
          <cell r="J724">
            <v>1515203844</v>
          </cell>
        </row>
        <row r="725">
          <cell r="B725" t="str">
            <v>1.3.02.15.01</v>
          </cell>
          <cell r="C725" t="str">
            <v>Alat Deteksi</v>
          </cell>
          <cell r="D725">
            <v>2500000</v>
          </cell>
          <cell r="E725">
            <v>2500000</v>
          </cell>
          <cell r="F725">
            <v>0</v>
          </cell>
          <cell r="G725">
            <v>0</v>
          </cell>
          <cell r="H725">
            <v>0</v>
          </cell>
          <cell r="I725">
            <v>0</v>
          </cell>
          <cell r="J725">
            <v>2500000</v>
          </cell>
        </row>
        <row r="726">
          <cell r="B726" t="str">
            <v>1.3.02.15.02</v>
          </cell>
          <cell r="C726" t="str">
            <v>Alat Pelindung</v>
          </cell>
          <cell r="D726">
            <v>121275000</v>
          </cell>
          <cell r="E726">
            <v>151275000</v>
          </cell>
          <cell r="F726">
            <v>0</v>
          </cell>
          <cell r="G726">
            <v>0</v>
          </cell>
          <cell r="H726">
            <v>0</v>
          </cell>
          <cell r="I726">
            <v>0</v>
          </cell>
          <cell r="J726">
            <v>151275000</v>
          </cell>
        </row>
        <row r="727">
          <cell r="B727" t="str">
            <v>1.3.02.15.03</v>
          </cell>
          <cell r="C727" t="str">
            <v>Alat sar</v>
          </cell>
          <cell r="D727">
            <v>891438287</v>
          </cell>
          <cell r="E727">
            <v>831498287</v>
          </cell>
          <cell r="F727">
            <v>0</v>
          </cell>
          <cell r="G727">
            <v>0</v>
          </cell>
          <cell r="H727">
            <v>0</v>
          </cell>
          <cell r="I727">
            <v>0</v>
          </cell>
          <cell r="J727">
            <v>831498287</v>
          </cell>
        </row>
        <row r="728">
          <cell r="B728" t="str">
            <v>1.3.02.15.04</v>
          </cell>
          <cell r="C728" t="str">
            <v>Alat Kerja Penerbangan</v>
          </cell>
          <cell r="D728">
            <v>529930557</v>
          </cell>
          <cell r="E728">
            <v>529930557</v>
          </cell>
          <cell r="F728">
            <v>0</v>
          </cell>
          <cell r="G728">
            <v>0</v>
          </cell>
          <cell r="H728">
            <v>0</v>
          </cell>
          <cell r="I728">
            <v>0</v>
          </cell>
          <cell r="J728">
            <v>529930557</v>
          </cell>
        </row>
        <row r="729">
          <cell r="B729" t="str">
            <v>1.3.02.16</v>
          </cell>
          <cell r="C729" t="str">
            <v>Alat Peraga</v>
          </cell>
          <cell r="D729">
            <v>0</v>
          </cell>
          <cell r="E729">
            <v>0</v>
          </cell>
          <cell r="F729"/>
          <cell r="G729"/>
          <cell r="H729"/>
          <cell r="I729"/>
          <cell r="J729">
            <v>0</v>
          </cell>
        </row>
        <row r="730">
          <cell r="B730" t="str">
            <v>1.3.02.16.01</v>
          </cell>
          <cell r="C730" t="str">
            <v>Alat Peraga Pelatihan dan Percontohan</v>
          </cell>
          <cell r="D730">
            <v>0</v>
          </cell>
          <cell r="E730">
            <v>0</v>
          </cell>
          <cell r="F730">
            <v>0</v>
          </cell>
          <cell r="G730">
            <v>0</v>
          </cell>
          <cell r="H730">
            <v>0</v>
          </cell>
          <cell r="I730">
            <v>0</v>
          </cell>
          <cell r="J730">
            <v>0</v>
          </cell>
        </row>
        <row r="731">
          <cell r="B731" t="str">
            <v>1.3.02.17</v>
          </cell>
          <cell r="C731" t="str">
            <v>Peralatan Proses/Produksi</v>
          </cell>
          <cell r="D731">
            <v>96188800</v>
          </cell>
          <cell r="E731">
            <v>96188800</v>
          </cell>
          <cell r="F731"/>
          <cell r="G731"/>
          <cell r="H731"/>
          <cell r="I731"/>
          <cell r="J731">
            <v>96188800</v>
          </cell>
        </row>
        <row r="732">
          <cell r="B732" t="str">
            <v>1.3.02.17.01</v>
          </cell>
          <cell r="C732" t="str">
            <v>Unit Peralatan Proses/Produksi</v>
          </cell>
          <cell r="D732">
            <v>96188800</v>
          </cell>
          <cell r="E732">
            <v>96188800</v>
          </cell>
          <cell r="F732">
            <v>0</v>
          </cell>
          <cell r="G732">
            <v>0</v>
          </cell>
          <cell r="H732">
            <v>0</v>
          </cell>
          <cell r="I732">
            <v>0</v>
          </cell>
          <cell r="J732">
            <v>96188800</v>
          </cell>
        </row>
        <row r="733">
          <cell r="B733" t="str">
            <v>1.3.02.18</v>
          </cell>
          <cell r="C733" t="str">
            <v>Rambu-rambu</v>
          </cell>
          <cell r="D733">
            <v>2637022000</v>
          </cell>
          <cell r="E733">
            <v>3159468002</v>
          </cell>
          <cell r="F733"/>
          <cell r="G733"/>
          <cell r="H733"/>
          <cell r="I733"/>
          <cell r="J733">
            <v>3159468002</v>
          </cell>
        </row>
        <row r="734">
          <cell r="B734" t="str">
            <v>1.3.02.18.01</v>
          </cell>
          <cell r="C734" t="str">
            <v>Rambu-rambu Lalu Lintas Darat</v>
          </cell>
          <cell r="D734">
            <v>2622242000</v>
          </cell>
          <cell r="E734">
            <v>3144688002</v>
          </cell>
          <cell r="F734">
            <v>0</v>
          </cell>
          <cell r="G734">
            <v>0</v>
          </cell>
          <cell r="H734">
            <v>0</v>
          </cell>
          <cell r="I734">
            <v>0</v>
          </cell>
          <cell r="J734">
            <v>3144688002</v>
          </cell>
        </row>
        <row r="735">
          <cell r="B735" t="str">
            <v>1.3.02.18.02</v>
          </cell>
          <cell r="C735" t="str">
            <v>Rambu-rambu Lalu Lintas Udara</v>
          </cell>
          <cell r="D735">
            <v>14780000</v>
          </cell>
          <cell r="E735">
            <v>14780000</v>
          </cell>
          <cell r="F735">
            <v>0</v>
          </cell>
          <cell r="G735">
            <v>0</v>
          </cell>
          <cell r="H735">
            <v>0</v>
          </cell>
          <cell r="I735">
            <v>0</v>
          </cell>
          <cell r="J735">
            <v>14780000</v>
          </cell>
        </row>
        <row r="736">
          <cell r="B736" t="str">
            <v>1.3.02.18.03</v>
          </cell>
          <cell r="C736" t="str">
            <v>Rambu-rambu Lalu Lintas Laut</v>
          </cell>
          <cell r="D736">
            <v>0</v>
          </cell>
          <cell r="E736">
            <v>0</v>
          </cell>
          <cell r="F736">
            <v>0</v>
          </cell>
          <cell r="G736">
            <v>0</v>
          </cell>
          <cell r="H736">
            <v>0</v>
          </cell>
          <cell r="I736">
            <v>0</v>
          </cell>
          <cell r="J736">
            <v>0</v>
          </cell>
        </row>
        <row r="737">
          <cell r="B737" t="str">
            <v>1.3.02.19</v>
          </cell>
          <cell r="C737" t="str">
            <v>Peralatan Olahraga</v>
          </cell>
          <cell r="D737">
            <v>1342198051</v>
          </cell>
          <cell r="E737">
            <v>1569929051</v>
          </cell>
          <cell r="F737"/>
          <cell r="G737"/>
          <cell r="H737"/>
          <cell r="I737"/>
          <cell r="J737">
            <v>1569929051</v>
          </cell>
        </row>
        <row r="738">
          <cell r="B738" t="str">
            <v>1.3.02.19.01</v>
          </cell>
          <cell r="C738" t="str">
            <v>Peralatan Olahraga</v>
          </cell>
          <cell r="D738">
            <v>1342198051</v>
          </cell>
          <cell r="E738">
            <v>1569929051</v>
          </cell>
          <cell r="F738">
            <v>0</v>
          </cell>
          <cell r="G738">
            <v>0</v>
          </cell>
          <cell r="H738">
            <v>0</v>
          </cell>
          <cell r="I738">
            <v>0</v>
          </cell>
          <cell r="J738">
            <v>1569929051</v>
          </cell>
        </row>
        <row r="739">
          <cell r="B739"/>
          <cell r="C739"/>
          <cell r="D739"/>
          <cell r="E739"/>
          <cell r="F739"/>
          <cell r="G739"/>
          <cell r="H739"/>
          <cell r="I739"/>
          <cell r="J739"/>
        </row>
        <row r="740">
          <cell r="B740" t="str">
            <v>1.3.03</v>
          </cell>
          <cell r="C740" t="str">
            <v>Gedung dan Bangunan</v>
          </cell>
          <cell r="D740">
            <v>1172926443119.6299</v>
          </cell>
          <cell r="E740">
            <v>1303471538788.6299</v>
          </cell>
          <cell r="F740"/>
          <cell r="G740"/>
          <cell r="H740"/>
          <cell r="I740"/>
          <cell r="J740">
            <v>1327140518893.0298</v>
          </cell>
        </row>
        <row r="741">
          <cell r="B741" t="str">
            <v>1.3.03.01</v>
          </cell>
          <cell r="C741" t="str">
            <v>Bangunan Gedung</v>
          </cell>
          <cell r="D741">
            <v>1144130174861.4299</v>
          </cell>
          <cell r="E741">
            <v>1268286691513.4299</v>
          </cell>
          <cell r="F741"/>
          <cell r="G741"/>
          <cell r="H741"/>
          <cell r="I741"/>
          <cell r="J741">
            <v>1291985671617.8298</v>
          </cell>
        </row>
        <row r="742">
          <cell r="B742" t="str">
            <v>1.3.03.01.01</v>
          </cell>
          <cell r="C742" t="str">
            <v>Bangunan Gedung Tempat Kerja</v>
          </cell>
          <cell r="D742">
            <v>1069750125744.1899</v>
          </cell>
          <cell r="E742">
            <v>1190710497897.1899</v>
          </cell>
          <cell r="F742">
            <v>8778793518</v>
          </cell>
          <cell r="G742">
            <v>381684000</v>
          </cell>
          <cell r="H742">
            <v>15398549586.4</v>
          </cell>
          <cell r="I742">
            <v>0</v>
          </cell>
          <cell r="J742">
            <v>1214506157001.5898</v>
          </cell>
        </row>
        <row r="743">
          <cell r="B743" t="str">
            <v>1.3.03.01.02</v>
          </cell>
          <cell r="C743" t="str">
            <v>Bangunan Gedung Tempat Tinggal</v>
          </cell>
          <cell r="D743">
            <v>74380049117.240005</v>
          </cell>
          <cell r="E743">
            <v>77576193616.240005</v>
          </cell>
          <cell r="F743">
            <v>0</v>
          </cell>
          <cell r="G743">
            <v>96679000</v>
          </cell>
          <cell r="H743">
            <v>0</v>
          </cell>
          <cell r="I743">
            <v>0</v>
          </cell>
          <cell r="J743">
            <v>77479514616.240005</v>
          </cell>
        </row>
        <row r="744">
          <cell r="B744" t="str">
            <v>1.3.03.02</v>
          </cell>
          <cell r="C744" t="str">
            <v>Monumen</v>
          </cell>
          <cell r="D744">
            <v>3694474732.1999998</v>
          </cell>
          <cell r="E744">
            <v>3694474732.1999998</v>
          </cell>
          <cell r="F744"/>
          <cell r="G744"/>
          <cell r="H744"/>
          <cell r="I744"/>
          <cell r="J744">
            <v>3694474732.1999998</v>
          </cell>
        </row>
        <row r="745">
          <cell r="B745" t="str">
            <v>1.3.03.02.01</v>
          </cell>
          <cell r="C745" t="str">
            <v>Candi/Tugu Peringatan/Prasasti</v>
          </cell>
          <cell r="D745">
            <v>3694474732.1999998</v>
          </cell>
          <cell r="E745">
            <v>3694474732.1999998</v>
          </cell>
          <cell r="F745">
            <v>0</v>
          </cell>
          <cell r="G745">
            <v>0</v>
          </cell>
          <cell r="H745">
            <v>0</v>
          </cell>
          <cell r="I745">
            <v>0</v>
          </cell>
          <cell r="J745">
            <v>3694474732.1999998</v>
          </cell>
        </row>
        <row r="746">
          <cell r="B746" t="str">
            <v>1.3.03.03</v>
          </cell>
          <cell r="C746" t="str">
            <v>Bangunan Menara</v>
          </cell>
          <cell r="D746">
            <v>3538608000</v>
          </cell>
          <cell r="E746">
            <v>3538608000</v>
          </cell>
          <cell r="F746"/>
          <cell r="G746"/>
          <cell r="H746"/>
          <cell r="I746"/>
          <cell r="J746">
            <v>3538608000</v>
          </cell>
        </row>
        <row r="747">
          <cell r="B747" t="str">
            <v>1.3.03.03.01</v>
          </cell>
          <cell r="C747" t="str">
            <v>Bangunan Menara Perambuan</v>
          </cell>
          <cell r="D747">
            <v>3538608000</v>
          </cell>
          <cell r="E747">
            <v>3538608000</v>
          </cell>
          <cell r="F747">
            <v>0</v>
          </cell>
          <cell r="G747">
            <v>0</v>
          </cell>
          <cell r="H747">
            <v>0</v>
          </cell>
          <cell r="I747">
            <v>0</v>
          </cell>
          <cell r="J747">
            <v>3538608000</v>
          </cell>
        </row>
        <row r="748">
          <cell r="B748" t="str">
            <v>1.3.03.04</v>
          </cell>
          <cell r="C748" t="str">
            <v>Tugu Titik Kontrol/Pasti</v>
          </cell>
          <cell r="D748">
            <v>21563185526</v>
          </cell>
          <cell r="E748">
            <v>27951764543</v>
          </cell>
          <cell r="F748"/>
          <cell r="G748"/>
          <cell r="H748"/>
          <cell r="I748"/>
          <cell r="J748">
            <v>27921764543</v>
          </cell>
        </row>
        <row r="749">
          <cell r="B749" t="str">
            <v>1.3.03.04.01</v>
          </cell>
          <cell r="C749" t="str">
            <v>Tugu/Tanda Batas</v>
          </cell>
          <cell r="D749">
            <v>21563185526</v>
          </cell>
          <cell r="E749">
            <v>27951764543</v>
          </cell>
          <cell r="F749">
            <v>0</v>
          </cell>
          <cell r="G749">
            <v>30000000</v>
          </cell>
          <cell r="H749">
            <v>0</v>
          </cell>
          <cell r="I749">
            <v>0</v>
          </cell>
          <cell r="J749">
            <v>27921764543</v>
          </cell>
        </row>
        <row r="750">
          <cell r="B750"/>
          <cell r="C750"/>
          <cell r="D750"/>
          <cell r="E750"/>
          <cell r="F750"/>
          <cell r="G750"/>
          <cell r="H750"/>
          <cell r="I750"/>
          <cell r="J750"/>
        </row>
        <row r="751">
          <cell r="B751" t="str">
            <v>1.3.04</v>
          </cell>
          <cell r="C751" t="str">
            <v>Jalan, Jaringan, dan Irigasi</v>
          </cell>
          <cell r="D751">
            <v>2495456726950.2202</v>
          </cell>
          <cell r="E751">
            <v>2818246438110.2197</v>
          </cell>
          <cell r="F751"/>
          <cell r="G751"/>
          <cell r="H751"/>
          <cell r="I751"/>
          <cell r="J751">
            <v>2816518574660.2197</v>
          </cell>
        </row>
        <row r="752">
          <cell r="B752" t="str">
            <v>1.3.04.01</v>
          </cell>
          <cell r="C752" t="str">
            <v>Jalan dan Jembatan</v>
          </cell>
          <cell r="D752">
            <v>1562737162670.49</v>
          </cell>
          <cell r="E752">
            <v>1777261903432.49</v>
          </cell>
          <cell r="F752"/>
          <cell r="G752"/>
          <cell r="H752"/>
          <cell r="I752"/>
          <cell r="J752">
            <v>1775592995982.49</v>
          </cell>
        </row>
        <row r="753">
          <cell r="B753" t="str">
            <v>1.3.04.01.01</v>
          </cell>
          <cell r="C753" t="str">
            <v>Jalan</v>
          </cell>
          <cell r="D753">
            <v>1414516920622.8201</v>
          </cell>
          <cell r="E753">
            <v>1617576709334.8201</v>
          </cell>
          <cell r="F753">
            <v>255306350</v>
          </cell>
          <cell r="G753">
            <v>3036185000</v>
          </cell>
          <cell r="H753">
            <v>1111971200</v>
          </cell>
          <cell r="I753">
            <v>0</v>
          </cell>
          <cell r="J753">
            <v>1615907801884.8201</v>
          </cell>
        </row>
        <row r="754">
          <cell r="B754" t="str">
            <v>1.3.04.01.02</v>
          </cell>
          <cell r="C754" t="str">
            <v>Jembatan</v>
          </cell>
          <cell r="D754">
            <v>148220242047.67001</v>
          </cell>
          <cell r="E754">
            <v>159685194097.67001</v>
          </cell>
          <cell r="F754">
            <v>0</v>
          </cell>
          <cell r="G754">
            <v>0</v>
          </cell>
          <cell r="H754">
            <v>0</v>
          </cell>
          <cell r="I754">
            <v>0</v>
          </cell>
          <cell r="J754">
            <v>159685194097.67001</v>
          </cell>
        </row>
        <row r="755">
          <cell r="B755" t="str">
            <v>1.3.04.02</v>
          </cell>
          <cell r="C755" t="str">
            <v>Bangunan Air</v>
          </cell>
          <cell r="D755">
            <v>610731214715.97998</v>
          </cell>
          <cell r="E755">
            <v>699268361102.97998</v>
          </cell>
          <cell r="F755"/>
          <cell r="G755"/>
          <cell r="H755"/>
          <cell r="I755"/>
          <cell r="J755">
            <v>699209405102.97998</v>
          </cell>
        </row>
        <row r="756">
          <cell r="B756" t="str">
            <v>1.3.04.02.01</v>
          </cell>
          <cell r="C756" t="str">
            <v>Bangunan Air Irigasi</v>
          </cell>
          <cell r="D756">
            <v>291704482956.75</v>
          </cell>
          <cell r="E756">
            <v>312341794508.75</v>
          </cell>
          <cell r="F756">
            <v>0</v>
          </cell>
          <cell r="G756">
            <v>0</v>
          </cell>
          <cell r="H756">
            <v>0</v>
          </cell>
          <cell r="I756">
            <v>0</v>
          </cell>
          <cell r="J756">
            <v>312341794508.75</v>
          </cell>
        </row>
        <row r="757">
          <cell r="B757" t="str">
            <v>1.3.04.02.02</v>
          </cell>
          <cell r="C757" t="str">
            <v>Bangunan Pengairan Pasang Surut</v>
          </cell>
          <cell r="D757">
            <v>1370261470</v>
          </cell>
          <cell r="E757">
            <v>1370261470</v>
          </cell>
          <cell r="F757">
            <v>0</v>
          </cell>
          <cell r="G757">
            <v>0</v>
          </cell>
          <cell r="H757">
            <v>0</v>
          </cell>
          <cell r="I757">
            <v>0</v>
          </cell>
          <cell r="J757">
            <v>1370261470</v>
          </cell>
        </row>
        <row r="758">
          <cell r="B758" t="str">
            <v>1.3.04.02.03</v>
          </cell>
          <cell r="C758" t="str">
            <v>Bangunan Pengembangan Rawa dan Polder</v>
          </cell>
          <cell r="D758">
            <v>6752649700.1999998</v>
          </cell>
          <cell r="E758">
            <v>6752649700.1999998</v>
          </cell>
          <cell r="F758">
            <v>0</v>
          </cell>
          <cell r="G758">
            <v>0</v>
          </cell>
          <cell r="H758">
            <v>0</v>
          </cell>
          <cell r="I758">
            <v>0</v>
          </cell>
          <cell r="J758">
            <v>6752649700.1999998</v>
          </cell>
        </row>
        <row r="759">
          <cell r="B759" t="str">
            <v>1.3.04.02.04</v>
          </cell>
          <cell r="C759" t="str">
            <v>Bangunan Pengaman Sungai/Pantai dan Penanggulangan Bencana Alam</v>
          </cell>
          <cell r="D759">
            <v>118063631888.94</v>
          </cell>
          <cell r="E759">
            <v>171429833012.94</v>
          </cell>
          <cell r="F759">
            <v>0</v>
          </cell>
          <cell r="G759">
            <v>58956000</v>
          </cell>
          <cell r="H759">
            <v>0</v>
          </cell>
          <cell r="I759">
            <v>0</v>
          </cell>
          <cell r="J759">
            <v>171370877012.94</v>
          </cell>
        </row>
        <row r="760">
          <cell r="B760" t="str">
            <v>1.3.04.02.05</v>
          </cell>
          <cell r="C760" t="str">
            <v>Bangunan Pengembangan Sumber Air dan Air Tanah</v>
          </cell>
          <cell r="D760">
            <v>41979586435.129997</v>
          </cell>
          <cell r="E760">
            <v>42076556035.129997</v>
          </cell>
          <cell r="F760">
            <v>0</v>
          </cell>
          <cell r="G760">
            <v>0</v>
          </cell>
          <cell r="H760">
            <v>0</v>
          </cell>
          <cell r="I760">
            <v>0</v>
          </cell>
          <cell r="J760">
            <v>42076556035.129997</v>
          </cell>
        </row>
        <row r="761">
          <cell r="B761" t="str">
            <v>1.3.04.02.06</v>
          </cell>
          <cell r="C761" t="str">
            <v>Bangunan Air Bersih/Air Baku</v>
          </cell>
          <cell r="D761">
            <v>121389348230.96001</v>
          </cell>
          <cell r="E761">
            <v>125841797341.96001</v>
          </cell>
          <cell r="F761">
            <v>0</v>
          </cell>
          <cell r="G761">
            <v>0</v>
          </cell>
          <cell r="H761">
            <v>0</v>
          </cell>
          <cell r="I761">
            <v>0</v>
          </cell>
          <cell r="J761">
            <v>125841797341.96001</v>
          </cell>
        </row>
        <row r="762">
          <cell r="B762" t="str">
            <v>1.3.04.02.07</v>
          </cell>
          <cell r="C762" t="str">
            <v>Bangunan Air Kotor</v>
          </cell>
          <cell r="D762">
            <v>29471254034</v>
          </cell>
          <cell r="E762">
            <v>39455469034</v>
          </cell>
          <cell r="F762">
            <v>0</v>
          </cell>
          <cell r="G762">
            <v>0</v>
          </cell>
          <cell r="H762">
            <v>0</v>
          </cell>
          <cell r="I762">
            <v>0</v>
          </cell>
          <cell r="J762">
            <v>39455469034</v>
          </cell>
        </row>
        <row r="763">
          <cell r="B763" t="str">
            <v>1.3.04.03</v>
          </cell>
          <cell r="C763" t="str">
            <v>Instalasi</v>
          </cell>
          <cell r="D763">
            <v>114227769605.48001</v>
          </cell>
          <cell r="E763">
            <v>125796241616.48001</v>
          </cell>
          <cell r="F763"/>
          <cell r="G763"/>
          <cell r="H763"/>
          <cell r="I763"/>
          <cell r="J763">
            <v>125796241616.48001</v>
          </cell>
        </row>
        <row r="764">
          <cell r="B764" t="str">
            <v>1.3.04.03.01</v>
          </cell>
          <cell r="C764" t="str">
            <v>Instalasi Air Bersih/Air Baku</v>
          </cell>
          <cell r="D764">
            <v>48443721045</v>
          </cell>
          <cell r="E764">
            <v>55185060056</v>
          </cell>
          <cell r="F764">
            <v>0</v>
          </cell>
          <cell r="G764">
            <v>0</v>
          </cell>
          <cell r="H764">
            <v>0</v>
          </cell>
          <cell r="I764">
            <v>0</v>
          </cell>
          <cell r="J764">
            <v>55185060056</v>
          </cell>
        </row>
        <row r="765">
          <cell r="B765" t="str">
            <v>1.3.04.03.02</v>
          </cell>
          <cell r="C765" t="str">
            <v>Instalasi Air Kotor</v>
          </cell>
          <cell r="D765">
            <v>41266524616.480003</v>
          </cell>
          <cell r="E765">
            <v>45944209616.480003</v>
          </cell>
          <cell r="F765">
            <v>0</v>
          </cell>
          <cell r="G765">
            <v>0</v>
          </cell>
          <cell r="H765">
            <v>0</v>
          </cell>
          <cell r="I765">
            <v>0</v>
          </cell>
          <cell r="J765">
            <v>45944209616.480003</v>
          </cell>
        </row>
        <row r="766">
          <cell r="B766" t="str">
            <v>1.3.04.03.03</v>
          </cell>
          <cell r="C766" t="str">
            <v>Instalasi Pengolahan Sampah</v>
          </cell>
          <cell r="D766">
            <v>10435283125</v>
          </cell>
          <cell r="E766">
            <v>10435283125</v>
          </cell>
          <cell r="F766">
            <v>0</v>
          </cell>
          <cell r="G766">
            <v>0</v>
          </cell>
          <cell r="H766">
            <v>0</v>
          </cell>
          <cell r="I766">
            <v>0</v>
          </cell>
          <cell r="J766">
            <v>10435283125</v>
          </cell>
        </row>
        <row r="767">
          <cell r="B767" t="str">
            <v>1.3.04.03.04</v>
          </cell>
          <cell r="C767" t="str">
            <v>Instalasi Pengolahan Bahan Bangunan</v>
          </cell>
          <cell r="D767">
            <v>51948000</v>
          </cell>
          <cell r="E767">
            <v>51948000</v>
          </cell>
          <cell r="F767">
            <v>0</v>
          </cell>
          <cell r="G767">
            <v>0</v>
          </cell>
          <cell r="H767">
            <v>0</v>
          </cell>
          <cell r="I767">
            <v>0</v>
          </cell>
          <cell r="J767">
            <v>51948000</v>
          </cell>
        </row>
        <row r="768">
          <cell r="B768" t="str">
            <v>1.3.04.03.05</v>
          </cell>
          <cell r="C768" t="str">
            <v>Instalasi Pembangkit Listrik</v>
          </cell>
          <cell r="D768">
            <v>10278506555</v>
          </cell>
          <cell r="E768">
            <v>10278506555</v>
          </cell>
          <cell r="F768">
            <v>0</v>
          </cell>
          <cell r="G768">
            <v>0</v>
          </cell>
          <cell r="H768">
            <v>0</v>
          </cell>
          <cell r="I768">
            <v>0</v>
          </cell>
          <cell r="J768">
            <v>10278506555</v>
          </cell>
        </row>
        <row r="769">
          <cell r="B769" t="str">
            <v>1.3.04.03.06</v>
          </cell>
          <cell r="C769" t="str">
            <v>Instalasi Gardu Listrik</v>
          </cell>
          <cell r="D769">
            <v>3257386264</v>
          </cell>
          <cell r="E769">
            <v>3257386264</v>
          </cell>
          <cell r="F769">
            <v>0</v>
          </cell>
          <cell r="G769">
            <v>0</v>
          </cell>
          <cell r="H769">
            <v>0</v>
          </cell>
          <cell r="I769">
            <v>0</v>
          </cell>
          <cell r="J769">
            <v>3257386264</v>
          </cell>
        </row>
        <row r="770">
          <cell r="B770" t="str">
            <v>1.3.04.03.07</v>
          </cell>
          <cell r="C770" t="str">
            <v>Instalasi Pertahanan</v>
          </cell>
          <cell r="D770">
            <v>0</v>
          </cell>
          <cell r="E770">
            <v>0</v>
          </cell>
          <cell r="F770">
            <v>0</v>
          </cell>
          <cell r="G770">
            <v>0</v>
          </cell>
          <cell r="H770">
            <v>0</v>
          </cell>
          <cell r="I770">
            <v>0</v>
          </cell>
          <cell r="J770">
            <v>0</v>
          </cell>
        </row>
        <row r="771">
          <cell r="B771" t="str">
            <v>1.3.04.03.08</v>
          </cell>
          <cell r="C771" t="str">
            <v>Instalasi Gas</v>
          </cell>
          <cell r="D771">
            <v>441000000</v>
          </cell>
          <cell r="E771">
            <v>441000000</v>
          </cell>
          <cell r="F771">
            <v>0</v>
          </cell>
          <cell r="G771">
            <v>0</v>
          </cell>
          <cell r="H771">
            <v>0</v>
          </cell>
          <cell r="I771">
            <v>0</v>
          </cell>
          <cell r="J771">
            <v>441000000</v>
          </cell>
        </row>
        <row r="772">
          <cell r="B772" t="str">
            <v>1.3.04.03.09</v>
          </cell>
          <cell r="C772" t="str">
            <v>Instalasi Pengaman</v>
          </cell>
          <cell r="D772">
            <v>0</v>
          </cell>
          <cell r="E772">
            <v>0</v>
          </cell>
          <cell r="F772">
            <v>0</v>
          </cell>
          <cell r="G772">
            <v>0</v>
          </cell>
          <cell r="H772">
            <v>0</v>
          </cell>
          <cell r="I772">
            <v>0</v>
          </cell>
          <cell r="J772">
            <v>0</v>
          </cell>
        </row>
        <row r="773">
          <cell r="B773" t="str">
            <v>1.3.04.03.10</v>
          </cell>
          <cell r="C773" t="str">
            <v>Instalasi Lain</v>
          </cell>
          <cell r="D773">
            <v>53400000</v>
          </cell>
          <cell r="E773">
            <v>202848000</v>
          </cell>
          <cell r="F773">
            <v>0</v>
          </cell>
          <cell r="G773">
            <v>0</v>
          </cell>
          <cell r="H773">
            <v>0</v>
          </cell>
          <cell r="I773">
            <v>0</v>
          </cell>
          <cell r="J773">
            <v>202848000</v>
          </cell>
        </row>
        <row r="774">
          <cell r="B774" t="str">
            <v>1.3.04.04</v>
          </cell>
          <cell r="C774" t="str">
            <v>Jaringan</v>
          </cell>
          <cell r="D774">
            <v>207760579958.26999</v>
          </cell>
          <cell r="E774">
            <v>215919931958.26999</v>
          </cell>
          <cell r="F774"/>
          <cell r="G774"/>
          <cell r="H774"/>
          <cell r="I774"/>
          <cell r="J774">
            <v>215919931958.26999</v>
          </cell>
        </row>
        <row r="775">
          <cell r="B775" t="str">
            <v>1.3.04.04.01</v>
          </cell>
          <cell r="C775" t="str">
            <v>Jaringan Air Minum</v>
          </cell>
          <cell r="D775">
            <v>68389804041</v>
          </cell>
          <cell r="E775">
            <v>68389804041</v>
          </cell>
          <cell r="F775">
            <v>0</v>
          </cell>
          <cell r="G775">
            <v>0</v>
          </cell>
          <cell r="H775">
            <v>0</v>
          </cell>
          <cell r="I775">
            <v>0</v>
          </cell>
          <cell r="J775">
            <v>68389804041</v>
          </cell>
        </row>
        <row r="776">
          <cell r="B776" t="str">
            <v>1.3.04.04.02</v>
          </cell>
          <cell r="C776" t="str">
            <v>Jaringan Listrik</v>
          </cell>
          <cell r="D776">
            <v>138697324917.26999</v>
          </cell>
          <cell r="E776">
            <v>146856676917.26999</v>
          </cell>
          <cell r="F776">
            <v>0</v>
          </cell>
          <cell r="G776">
            <v>0</v>
          </cell>
          <cell r="H776">
            <v>0</v>
          </cell>
          <cell r="I776">
            <v>0</v>
          </cell>
          <cell r="J776">
            <v>146856676917.26999</v>
          </cell>
        </row>
        <row r="777">
          <cell r="B777" t="str">
            <v>1.3.04.04.03</v>
          </cell>
          <cell r="C777" t="str">
            <v>Jaringan Telepon</v>
          </cell>
          <cell r="D777">
            <v>555916000</v>
          </cell>
          <cell r="E777">
            <v>555916000</v>
          </cell>
          <cell r="F777">
            <v>0</v>
          </cell>
          <cell r="G777">
            <v>0</v>
          </cell>
          <cell r="H777">
            <v>0</v>
          </cell>
          <cell r="I777">
            <v>0</v>
          </cell>
          <cell r="J777">
            <v>555916000</v>
          </cell>
        </row>
        <row r="778">
          <cell r="B778" t="str">
            <v>1.3.04.04.04</v>
          </cell>
          <cell r="C778" t="str">
            <v>Jaringan Gas</v>
          </cell>
          <cell r="D778">
            <v>117535000</v>
          </cell>
          <cell r="E778">
            <v>117535000</v>
          </cell>
          <cell r="F778">
            <v>0</v>
          </cell>
          <cell r="G778">
            <v>0</v>
          </cell>
          <cell r="H778">
            <v>0</v>
          </cell>
          <cell r="I778">
            <v>0</v>
          </cell>
          <cell r="J778">
            <v>117535000</v>
          </cell>
        </row>
        <row r="779">
          <cell r="B779"/>
          <cell r="C779"/>
          <cell r="D779"/>
          <cell r="E779"/>
          <cell r="F779"/>
          <cell r="G779"/>
          <cell r="H779"/>
          <cell r="I779"/>
          <cell r="J779"/>
        </row>
        <row r="780">
          <cell r="B780" t="str">
            <v>1.3.05</v>
          </cell>
          <cell r="C780" t="str">
            <v>Aset Tetap Lainnya</v>
          </cell>
          <cell r="D780">
            <v>19328771176</v>
          </cell>
          <cell r="E780">
            <v>19952729437</v>
          </cell>
          <cell r="F780"/>
          <cell r="G780"/>
          <cell r="H780"/>
          <cell r="I780"/>
          <cell r="J780">
            <v>19904729437</v>
          </cell>
        </row>
        <row r="781">
          <cell r="B781" t="str">
            <v>1.3.05.01</v>
          </cell>
          <cell r="C781" t="str">
            <v>Bahan Perpustakaan</v>
          </cell>
          <cell r="D781">
            <v>10858497231</v>
          </cell>
          <cell r="E781">
            <v>11106577211</v>
          </cell>
          <cell r="F781"/>
          <cell r="G781"/>
          <cell r="H781"/>
          <cell r="I781"/>
          <cell r="J781">
            <v>11058577211</v>
          </cell>
        </row>
        <row r="782">
          <cell r="B782" t="str">
            <v>1.3.05.01.01</v>
          </cell>
          <cell r="C782" t="str">
            <v>Bahan Perpustakaan Tercetak</v>
          </cell>
          <cell r="D782">
            <v>10828362231</v>
          </cell>
          <cell r="E782">
            <v>11076442211</v>
          </cell>
          <cell r="F782">
            <v>0</v>
          </cell>
          <cell r="G782">
            <v>48000000</v>
          </cell>
          <cell r="H782">
            <v>0</v>
          </cell>
          <cell r="I782">
            <v>0</v>
          </cell>
          <cell r="J782">
            <v>11028442211</v>
          </cell>
        </row>
        <row r="783">
          <cell r="B783" t="str">
            <v>1.3.05.01.02</v>
          </cell>
          <cell r="C783" t="str">
            <v>Bahan Perpustakaan Terekam dan Bentuk Mikro</v>
          </cell>
          <cell r="D783">
            <v>3500000</v>
          </cell>
          <cell r="E783">
            <v>3500000</v>
          </cell>
          <cell r="F783">
            <v>0</v>
          </cell>
          <cell r="G783">
            <v>0</v>
          </cell>
          <cell r="H783">
            <v>0</v>
          </cell>
          <cell r="I783">
            <v>0</v>
          </cell>
          <cell r="J783">
            <v>3500000</v>
          </cell>
        </row>
        <row r="784">
          <cell r="B784" t="str">
            <v>1.3.05.01.03</v>
          </cell>
          <cell r="C784" t="str">
            <v>Kartografi, Naskah dan Lukisan</v>
          </cell>
          <cell r="D784">
            <v>21585000</v>
          </cell>
          <cell r="E784">
            <v>21585000</v>
          </cell>
          <cell r="F784">
            <v>0</v>
          </cell>
          <cell r="G784">
            <v>0</v>
          </cell>
          <cell r="H784">
            <v>0</v>
          </cell>
          <cell r="I784">
            <v>0</v>
          </cell>
          <cell r="J784">
            <v>21585000</v>
          </cell>
        </row>
        <row r="785">
          <cell r="B785" t="str">
            <v>1.3.05.01.04</v>
          </cell>
          <cell r="C785" t="str">
            <v>Musik</v>
          </cell>
          <cell r="D785">
            <v>5050000</v>
          </cell>
          <cell r="E785">
            <v>5050000</v>
          </cell>
          <cell r="F785">
            <v>0</v>
          </cell>
          <cell r="G785">
            <v>0</v>
          </cell>
          <cell r="H785">
            <v>0</v>
          </cell>
          <cell r="I785">
            <v>0</v>
          </cell>
          <cell r="J785">
            <v>5050000</v>
          </cell>
        </row>
        <row r="786">
          <cell r="B786" t="str">
            <v>1.3.05.01.05</v>
          </cell>
          <cell r="C786" t="str">
            <v>Karya Grafika (Graphic Material)</v>
          </cell>
          <cell r="D786">
            <v>0</v>
          </cell>
          <cell r="E786">
            <v>0</v>
          </cell>
          <cell r="F786">
            <v>0</v>
          </cell>
          <cell r="G786">
            <v>0</v>
          </cell>
          <cell r="H786">
            <v>0</v>
          </cell>
          <cell r="I786">
            <v>0</v>
          </cell>
          <cell r="J786">
            <v>0</v>
          </cell>
        </row>
        <row r="787">
          <cell r="B787" t="str">
            <v>1.3.05.01.06</v>
          </cell>
          <cell r="C787" t="str">
            <v>Three Dimensional Artifacts and Realita</v>
          </cell>
          <cell r="D787">
            <v>0</v>
          </cell>
          <cell r="E787">
            <v>0</v>
          </cell>
          <cell r="F787">
            <v>0</v>
          </cell>
          <cell r="G787">
            <v>0</v>
          </cell>
          <cell r="H787">
            <v>0</v>
          </cell>
          <cell r="I787">
            <v>0</v>
          </cell>
          <cell r="J787">
            <v>0</v>
          </cell>
        </row>
        <row r="788">
          <cell r="B788" t="str">
            <v>1.3.05.01.07</v>
          </cell>
          <cell r="C788" t="str">
            <v>Tarscalt</v>
          </cell>
          <cell r="D788">
            <v>0</v>
          </cell>
          <cell r="E788">
            <v>0</v>
          </cell>
          <cell r="F788">
            <v>0</v>
          </cell>
          <cell r="G788">
            <v>0</v>
          </cell>
          <cell r="H788">
            <v>0</v>
          </cell>
          <cell r="I788">
            <v>0</v>
          </cell>
          <cell r="J788">
            <v>0</v>
          </cell>
        </row>
        <row r="789">
          <cell r="B789" t="str">
            <v>1.3.05.02</v>
          </cell>
          <cell r="C789" t="str">
            <v>Barang Bercorak Kesenian/Kebudayaan/Olahraga</v>
          </cell>
          <cell r="D789">
            <v>4075242931</v>
          </cell>
          <cell r="E789">
            <v>4451121212</v>
          </cell>
          <cell r="F789"/>
          <cell r="G789"/>
          <cell r="H789"/>
          <cell r="I789"/>
          <cell r="J789">
            <v>4451121212</v>
          </cell>
        </row>
        <row r="790">
          <cell r="B790" t="str">
            <v>1.3.05.02.01</v>
          </cell>
          <cell r="C790" t="str">
            <v>Barang Bercorak Kesenian</v>
          </cell>
          <cell r="D790">
            <v>4050792931</v>
          </cell>
          <cell r="E790">
            <v>4328991212</v>
          </cell>
          <cell r="F790">
            <v>0</v>
          </cell>
          <cell r="G790">
            <v>0</v>
          </cell>
          <cell r="H790">
            <v>0</v>
          </cell>
          <cell r="I790">
            <v>0</v>
          </cell>
          <cell r="J790">
            <v>4328991212</v>
          </cell>
        </row>
        <row r="791">
          <cell r="B791" t="str">
            <v>1.3.05.02.02</v>
          </cell>
          <cell r="C791" t="str">
            <v>Alat Bercorak Kebudayaan</v>
          </cell>
          <cell r="D791">
            <v>24450000</v>
          </cell>
          <cell r="E791">
            <v>122130000</v>
          </cell>
          <cell r="F791">
            <v>0</v>
          </cell>
          <cell r="G791">
            <v>0</v>
          </cell>
          <cell r="H791">
            <v>0</v>
          </cell>
          <cell r="I791">
            <v>0</v>
          </cell>
          <cell r="J791">
            <v>122130000</v>
          </cell>
        </row>
        <row r="792">
          <cell r="B792" t="str">
            <v>1.3.05.02.03</v>
          </cell>
          <cell r="C792" t="str">
            <v>Tanda Penghargaan</v>
          </cell>
          <cell r="D792">
            <v>0</v>
          </cell>
          <cell r="E792">
            <v>0</v>
          </cell>
          <cell r="F792">
            <v>0</v>
          </cell>
          <cell r="G792">
            <v>0</v>
          </cell>
          <cell r="H792">
            <v>0</v>
          </cell>
          <cell r="I792">
            <v>0</v>
          </cell>
          <cell r="J792">
            <v>0</v>
          </cell>
        </row>
        <row r="793">
          <cell r="B793" t="str">
            <v>1.3.05.03</v>
          </cell>
          <cell r="C793" t="str">
            <v>Hewan</v>
          </cell>
          <cell r="D793">
            <v>0</v>
          </cell>
          <cell r="E793">
            <v>0</v>
          </cell>
          <cell r="F793"/>
          <cell r="G793"/>
          <cell r="H793"/>
          <cell r="I793"/>
          <cell r="J793">
            <v>0</v>
          </cell>
        </row>
        <row r="794">
          <cell r="B794" t="str">
            <v>1.3.05.03.01</v>
          </cell>
          <cell r="C794" t="str">
            <v>Hewan Piaraan</v>
          </cell>
          <cell r="D794">
            <v>0</v>
          </cell>
          <cell r="E794">
            <v>0</v>
          </cell>
          <cell r="F794">
            <v>0</v>
          </cell>
          <cell r="G794">
            <v>0</v>
          </cell>
          <cell r="H794">
            <v>0</v>
          </cell>
          <cell r="I794">
            <v>0</v>
          </cell>
          <cell r="J794">
            <v>0</v>
          </cell>
        </row>
        <row r="795">
          <cell r="B795" t="str">
            <v>1.3.05.03.02</v>
          </cell>
          <cell r="C795" t="str">
            <v>Ternak</v>
          </cell>
          <cell r="D795">
            <v>0</v>
          </cell>
          <cell r="E795">
            <v>0</v>
          </cell>
          <cell r="F795">
            <v>0</v>
          </cell>
          <cell r="G795">
            <v>0</v>
          </cell>
          <cell r="H795">
            <v>0</v>
          </cell>
          <cell r="I795">
            <v>0</v>
          </cell>
          <cell r="J795">
            <v>0</v>
          </cell>
        </row>
        <row r="796">
          <cell r="B796" t="str">
            <v>1.3.05.03.03</v>
          </cell>
          <cell r="C796" t="str">
            <v>Hewan Lainnya</v>
          </cell>
          <cell r="D796">
            <v>0</v>
          </cell>
          <cell r="E796">
            <v>0</v>
          </cell>
          <cell r="F796">
            <v>0</v>
          </cell>
          <cell r="G796">
            <v>0</v>
          </cell>
          <cell r="H796">
            <v>0</v>
          </cell>
          <cell r="I796">
            <v>0</v>
          </cell>
          <cell r="J796">
            <v>0</v>
          </cell>
        </row>
        <row r="797">
          <cell r="B797" t="str">
            <v>1.3.05.04</v>
          </cell>
          <cell r="C797" t="str">
            <v>Biota Perairan</v>
          </cell>
          <cell r="D797">
            <v>0</v>
          </cell>
          <cell r="E797">
            <v>0</v>
          </cell>
          <cell r="F797"/>
          <cell r="G797"/>
          <cell r="H797"/>
          <cell r="I797"/>
          <cell r="J797">
            <v>0</v>
          </cell>
        </row>
        <row r="798">
          <cell r="B798" t="str">
            <v>1.3.05.04.01</v>
          </cell>
          <cell r="C798" t="str">
            <v>Ikan Bersirip (Pisces/Ikan Bersirip)</v>
          </cell>
          <cell r="D798">
            <v>0</v>
          </cell>
          <cell r="E798">
            <v>0</v>
          </cell>
          <cell r="F798">
            <v>0</v>
          </cell>
          <cell r="G798">
            <v>0</v>
          </cell>
          <cell r="H798">
            <v>0</v>
          </cell>
          <cell r="I798">
            <v>0</v>
          </cell>
          <cell r="J798">
            <v>0</v>
          </cell>
        </row>
        <row r="799">
          <cell r="B799" t="str">
            <v>1.3.05.04.02</v>
          </cell>
          <cell r="C799" t="str">
            <v>Crustacea (Udang, Rajungan, Kepiting, dan Sebangsanya)</v>
          </cell>
          <cell r="D799">
            <v>0</v>
          </cell>
          <cell r="E799">
            <v>0</v>
          </cell>
          <cell r="F799">
            <v>0</v>
          </cell>
          <cell r="G799">
            <v>0</v>
          </cell>
          <cell r="H799">
            <v>0</v>
          </cell>
          <cell r="I799">
            <v>0</v>
          </cell>
          <cell r="J799">
            <v>0</v>
          </cell>
        </row>
        <row r="800">
          <cell r="B800" t="str">
            <v>1.3.05.04.03</v>
          </cell>
          <cell r="C800" t="str">
            <v>Mollusca (Kerang, Tiram, Cumi-Cumi, Gurita, Siput, dan Sebangsanya)</v>
          </cell>
          <cell r="D800">
            <v>0</v>
          </cell>
          <cell r="E800">
            <v>0</v>
          </cell>
          <cell r="F800">
            <v>0</v>
          </cell>
          <cell r="G800">
            <v>0</v>
          </cell>
          <cell r="H800">
            <v>0</v>
          </cell>
          <cell r="I800">
            <v>0</v>
          </cell>
          <cell r="J800">
            <v>0</v>
          </cell>
        </row>
        <row r="801">
          <cell r="B801" t="str">
            <v>1.3.05.04.04</v>
          </cell>
          <cell r="C801" t="str">
            <v>Coelenterata (Ubur-Ubur dan Sebangsanya)</v>
          </cell>
          <cell r="D801">
            <v>0</v>
          </cell>
          <cell r="E801">
            <v>0</v>
          </cell>
          <cell r="F801">
            <v>0</v>
          </cell>
          <cell r="G801">
            <v>0</v>
          </cell>
          <cell r="H801">
            <v>0</v>
          </cell>
          <cell r="I801">
            <v>0</v>
          </cell>
          <cell r="J801">
            <v>0</v>
          </cell>
        </row>
        <row r="802">
          <cell r="B802" t="str">
            <v>1.3.05.04.05</v>
          </cell>
          <cell r="C802" t="str">
            <v>Echinodermata (Tripang, Bulu Babi dan Sebangsanya)</v>
          </cell>
          <cell r="D802">
            <v>0</v>
          </cell>
          <cell r="E802">
            <v>0</v>
          </cell>
          <cell r="F802">
            <v>0</v>
          </cell>
          <cell r="G802">
            <v>0</v>
          </cell>
          <cell r="H802">
            <v>0</v>
          </cell>
          <cell r="I802">
            <v>0</v>
          </cell>
          <cell r="J802">
            <v>0</v>
          </cell>
        </row>
        <row r="803">
          <cell r="B803" t="str">
            <v>1.3.05.04.06</v>
          </cell>
          <cell r="C803" t="str">
            <v>Amphibia (Kodok dan Sebangsanya)</v>
          </cell>
          <cell r="D803">
            <v>0</v>
          </cell>
          <cell r="E803">
            <v>0</v>
          </cell>
          <cell r="F803">
            <v>0</v>
          </cell>
          <cell r="G803">
            <v>0</v>
          </cell>
          <cell r="H803">
            <v>0</v>
          </cell>
          <cell r="I803">
            <v>0</v>
          </cell>
          <cell r="J803">
            <v>0</v>
          </cell>
        </row>
        <row r="804">
          <cell r="B804" t="str">
            <v>1.3.05.04.07</v>
          </cell>
          <cell r="C804" t="str">
            <v>Reptilia (Buaya, Penyu, Kura-Kura, Biawak, Ular Air, dan Sebangsanya)</v>
          </cell>
          <cell r="D804">
            <v>0</v>
          </cell>
          <cell r="E804">
            <v>0</v>
          </cell>
          <cell r="F804">
            <v>0</v>
          </cell>
          <cell r="G804">
            <v>0</v>
          </cell>
          <cell r="H804">
            <v>0</v>
          </cell>
          <cell r="I804">
            <v>0</v>
          </cell>
          <cell r="J804">
            <v>0</v>
          </cell>
        </row>
        <row r="805">
          <cell r="B805" t="str">
            <v>1.3.05.04.08</v>
          </cell>
          <cell r="C805" t="str">
            <v>Mammalia (Paus, Lumba-Lumba, Pesut, Duyung, dan Sebangsanya)</v>
          </cell>
          <cell r="D805">
            <v>0</v>
          </cell>
          <cell r="E805">
            <v>0</v>
          </cell>
          <cell r="F805">
            <v>0</v>
          </cell>
          <cell r="G805">
            <v>0</v>
          </cell>
          <cell r="H805">
            <v>0</v>
          </cell>
          <cell r="I805">
            <v>0</v>
          </cell>
          <cell r="J805">
            <v>0</v>
          </cell>
        </row>
        <row r="806">
          <cell r="B806" t="str">
            <v>1.3.05.04.09</v>
          </cell>
          <cell r="C806" t="str">
            <v>Algae (Rumput Laut dan Tumbuh-Tumbuhan Lain yang Hidup di dalam Air)</v>
          </cell>
          <cell r="D806">
            <v>0</v>
          </cell>
          <cell r="E806">
            <v>0</v>
          </cell>
          <cell r="F806">
            <v>0</v>
          </cell>
          <cell r="G806">
            <v>0</v>
          </cell>
          <cell r="H806">
            <v>0</v>
          </cell>
          <cell r="I806">
            <v>0</v>
          </cell>
          <cell r="J806">
            <v>0</v>
          </cell>
        </row>
        <row r="807">
          <cell r="B807" t="str">
            <v>1.3.05.04.10</v>
          </cell>
          <cell r="C807" t="str">
            <v>Biota Perairan Lainnya</v>
          </cell>
          <cell r="D807">
            <v>0</v>
          </cell>
          <cell r="E807">
            <v>0</v>
          </cell>
          <cell r="F807">
            <v>0</v>
          </cell>
          <cell r="G807">
            <v>0</v>
          </cell>
          <cell r="H807">
            <v>0</v>
          </cell>
          <cell r="I807">
            <v>0</v>
          </cell>
          <cell r="J807">
            <v>0</v>
          </cell>
        </row>
        <row r="808">
          <cell r="B808" t="str">
            <v>1.3.05.05</v>
          </cell>
          <cell r="C808" t="str">
            <v>Tanaman</v>
          </cell>
          <cell r="D808">
            <v>2016907814</v>
          </cell>
          <cell r="E808">
            <v>2016907814</v>
          </cell>
          <cell r="F808"/>
          <cell r="G808"/>
          <cell r="H808"/>
          <cell r="I808"/>
          <cell r="J808">
            <v>2016907814</v>
          </cell>
        </row>
        <row r="809">
          <cell r="B809" t="str">
            <v>1.3.05.05.01</v>
          </cell>
          <cell r="C809" t="str">
            <v>Tanaman</v>
          </cell>
          <cell r="D809">
            <v>2016907814</v>
          </cell>
          <cell r="E809">
            <v>2016907814</v>
          </cell>
          <cell r="F809">
            <v>0</v>
          </cell>
          <cell r="G809">
            <v>0</v>
          </cell>
          <cell r="H809">
            <v>0</v>
          </cell>
          <cell r="I809">
            <v>0</v>
          </cell>
          <cell r="J809">
            <v>2016907814</v>
          </cell>
        </row>
        <row r="810">
          <cell r="B810" t="str">
            <v>1.3.05.06</v>
          </cell>
          <cell r="C810" t="str">
            <v>Barang Koleksi Non Budaya</v>
          </cell>
          <cell r="D810">
            <v>0</v>
          </cell>
          <cell r="E810">
            <v>0</v>
          </cell>
          <cell r="F810"/>
          <cell r="G810"/>
          <cell r="H810"/>
          <cell r="I810"/>
          <cell r="J810">
            <v>0</v>
          </cell>
        </row>
        <row r="811">
          <cell r="B811" t="str">
            <v>1.3.05.06.01</v>
          </cell>
          <cell r="C811" t="str">
            <v>Barang Koleksi Non Budaya</v>
          </cell>
          <cell r="D811">
            <v>0</v>
          </cell>
          <cell r="E811">
            <v>0</v>
          </cell>
          <cell r="F811">
            <v>0</v>
          </cell>
          <cell r="G811">
            <v>0</v>
          </cell>
          <cell r="H811">
            <v>0</v>
          </cell>
          <cell r="I811">
            <v>0</v>
          </cell>
          <cell r="J811">
            <v>0</v>
          </cell>
        </row>
        <row r="812">
          <cell r="B812" t="str">
            <v>1.3.05.07</v>
          </cell>
          <cell r="C812" t="str">
            <v>Aset Tetap Dalam Renovasi</v>
          </cell>
          <cell r="D812">
            <v>2378123200</v>
          </cell>
          <cell r="E812">
            <v>2378123200</v>
          </cell>
          <cell r="F812"/>
          <cell r="G812"/>
          <cell r="H812"/>
          <cell r="I812"/>
          <cell r="J812">
            <v>2378123200</v>
          </cell>
        </row>
        <row r="813">
          <cell r="B813" t="str">
            <v>1.3.05.07.01</v>
          </cell>
          <cell r="C813" t="str">
            <v>Aset Tetap Dalam Renovasi</v>
          </cell>
          <cell r="D813">
            <v>2378123200</v>
          </cell>
          <cell r="E813">
            <v>2378123200</v>
          </cell>
          <cell r="F813">
            <v>0</v>
          </cell>
          <cell r="G813">
            <v>0</v>
          </cell>
          <cell r="H813">
            <v>0</v>
          </cell>
          <cell r="I813">
            <v>0</v>
          </cell>
          <cell r="J813">
            <v>2378123200</v>
          </cell>
        </row>
        <row r="814">
          <cell r="B814"/>
          <cell r="C814"/>
          <cell r="D814"/>
          <cell r="E814"/>
          <cell r="F814"/>
          <cell r="G814"/>
          <cell r="H814"/>
          <cell r="I814"/>
          <cell r="J814"/>
        </row>
        <row r="815">
          <cell r="B815" t="str">
            <v>1.3.06</v>
          </cell>
          <cell r="C815" t="str">
            <v>Konstruksi Dalam Pengerjaan</v>
          </cell>
          <cell r="D815">
            <v>193622070272.29999</v>
          </cell>
          <cell r="E815">
            <v>168012666585.72998</v>
          </cell>
          <cell r="F815"/>
          <cell r="G815"/>
          <cell r="H815"/>
          <cell r="I815"/>
          <cell r="J815">
            <v>151725934799.32999</v>
          </cell>
        </row>
        <row r="816">
          <cell r="B816" t="str">
            <v>1.3.06.01</v>
          </cell>
          <cell r="C816" t="str">
            <v>Konstruksi Dalam Pengerjaan Tanah</v>
          </cell>
          <cell r="D816">
            <v>877620000</v>
          </cell>
          <cell r="E816">
            <v>877620000</v>
          </cell>
          <cell r="F816"/>
          <cell r="G816"/>
          <cell r="H816"/>
          <cell r="I816"/>
          <cell r="J816">
            <v>877620000</v>
          </cell>
        </row>
        <row r="817">
          <cell r="B817" t="str">
            <v>1.3.06.01.01</v>
          </cell>
          <cell r="C817" t="str">
            <v>Konstruksi Dalam Pengerjaan Tanah</v>
          </cell>
          <cell r="D817">
            <v>877620000</v>
          </cell>
          <cell r="E817">
            <v>877620000</v>
          </cell>
          <cell r="F817">
            <v>0</v>
          </cell>
          <cell r="G817">
            <v>0</v>
          </cell>
          <cell r="H817">
            <v>0</v>
          </cell>
          <cell r="I817">
            <v>0</v>
          </cell>
          <cell r="J817">
            <v>877620000</v>
          </cell>
        </row>
        <row r="818">
          <cell r="B818" t="str">
            <v>1.3.06.02</v>
          </cell>
          <cell r="C818" t="str">
            <v>Konstruksi Dalam Pengerjaan Peralatan dan Mesin</v>
          </cell>
          <cell r="D818">
            <v>0</v>
          </cell>
          <cell r="E818">
            <v>0</v>
          </cell>
          <cell r="F818"/>
          <cell r="G818"/>
          <cell r="H818"/>
          <cell r="I818"/>
          <cell r="J818">
            <v>0</v>
          </cell>
        </row>
        <row r="819">
          <cell r="B819" t="str">
            <v>1.3.06.02.01</v>
          </cell>
          <cell r="C819" t="str">
            <v>Konstruksi Dalam Pengerjaan Alat Besar</v>
          </cell>
          <cell r="D819">
            <v>0</v>
          </cell>
          <cell r="E819">
            <v>0</v>
          </cell>
          <cell r="F819">
            <v>0</v>
          </cell>
          <cell r="G819">
            <v>0</v>
          </cell>
          <cell r="H819">
            <v>0</v>
          </cell>
          <cell r="I819">
            <v>0</v>
          </cell>
          <cell r="J819">
            <v>0</v>
          </cell>
        </row>
        <row r="820">
          <cell r="B820" t="str">
            <v>1.3.06.02.02</v>
          </cell>
          <cell r="C820" t="str">
            <v>Konstruksi Dalam Pengerjaan Alat Angkutan</v>
          </cell>
          <cell r="D820">
            <v>0</v>
          </cell>
          <cell r="E820">
            <v>0</v>
          </cell>
          <cell r="F820">
            <v>0</v>
          </cell>
          <cell r="G820">
            <v>0</v>
          </cell>
          <cell r="H820">
            <v>0</v>
          </cell>
          <cell r="I820">
            <v>0</v>
          </cell>
          <cell r="J820">
            <v>0</v>
          </cell>
        </row>
        <row r="821">
          <cell r="B821" t="str">
            <v>1.3.06.02.03</v>
          </cell>
          <cell r="C821" t="str">
            <v>Konstruksi Dalam Pengerjaan Alat Bengkel dan Alat Ukur</v>
          </cell>
          <cell r="D821">
            <v>0</v>
          </cell>
          <cell r="E821">
            <v>0</v>
          </cell>
          <cell r="F821">
            <v>0</v>
          </cell>
          <cell r="G821">
            <v>0</v>
          </cell>
          <cell r="H821">
            <v>0</v>
          </cell>
          <cell r="I821">
            <v>0</v>
          </cell>
          <cell r="J821">
            <v>0</v>
          </cell>
        </row>
        <row r="822">
          <cell r="B822" t="str">
            <v>1.3.06.02.04</v>
          </cell>
          <cell r="C822" t="str">
            <v>Konstruksi Dalam Pengerjaan Alat Pertanian</v>
          </cell>
          <cell r="D822">
            <v>0</v>
          </cell>
          <cell r="E822">
            <v>0</v>
          </cell>
          <cell r="F822">
            <v>0</v>
          </cell>
          <cell r="G822">
            <v>0</v>
          </cell>
          <cell r="H822">
            <v>0</v>
          </cell>
          <cell r="I822">
            <v>0</v>
          </cell>
          <cell r="J822">
            <v>0</v>
          </cell>
        </row>
        <row r="823">
          <cell r="B823" t="str">
            <v>1.3.06.02.05</v>
          </cell>
          <cell r="C823" t="str">
            <v>Konstruksi Dalam Pengerjaan Alat Kantor dan Rumah Tangga</v>
          </cell>
          <cell r="D823">
            <v>0</v>
          </cell>
          <cell r="E823">
            <v>0</v>
          </cell>
          <cell r="F823">
            <v>0</v>
          </cell>
          <cell r="G823">
            <v>0</v>
          </cell>
          <cell r="H823">
            <v>0</v>
          </cell>
          <cell r="I823">
            <v>0</v>
          </cell>
          <cell r="J823">
            <v>0</v>
          </cell>
        </row>
        <row r="824">
          <cell r="B824" t="str">
            <v>1.3.06.02.06</v>
          </cell>
          <cell r="C824" t="str">
            <v>Konstruksi Dalam Pengerjaan Alat Studio, Komunikasi, dan Pemancar</v>
          </cell>
          <cell r="D824">
            <v>0</v>
          </cell>
          <cell r="E824">
            <v>0</v>
          </cell>
          <cell r="F824">
            <v>0</v>
          </cell>
          <cell r="G824">
            <v>0</v>
          </cell>
          <cell r="H824">
            <v>0</v>
          </cell>
          <cell r="I824">
            <v>0</v>
          </cell>
          <cell r="J824">
            <v>0</v>
          </cell>
        </row>
        <row r="825">
          <cell r="B825" t="str">
            <v>1.3.06.02.07</v>
          </cell>
          <cell r="C825" t="str">
            <v>Konstruksi Dalam Pengerjaan Alat Kedokteran dan Kesehatan</v>
          </cell>
          <cell r="D825">
            <v>0</v>
          </cell>
          <cell r="E825">
            <v>0</v>
          </cell>
          <cell r="F825">
            <v>0</v>
          </cell>
          <cell r="G825">
            <v>0</v>
          </cell>
          <cell r="H825">
            <v>0</v>
          </cell>
          <cell r="I825">
            <v>0</v>
          </cell>
          <cell r="J825">
            <v>0</v>
          </cell>
        </row>
        <row r="826">
          <cell r="B826" t="str">
            <v>1.3.06.02.08</v>
          </cell>
          <cell r="C826" t="str">
            <v>Konstruksi Dalam Pengerjaan Alat Laboratorium</v>
          </cell>
          <cell r="D826">
            <v>0</v>
          </cell>
          <cell r="E826">
            <v>0</v>
          </cell>
          <cell r="F826">
            <v>0</v>
          </cell>
          <cell r="G826">
            <v>0</v>
          </cell>
          <cell r="H826">
            <v>0</v>
          </cell>
          <cell r="I826">
            <v>0</v>
          </cell>
          <cell r="J826">
            <v>0</v>
          </cell>
        </row>
        <row r="827">
          <cell r="B827" t="str">
            <v>1.3.06.02.10</v>
          </cell>
          <cell r="C827" t="str">
            <v>Konstruksi Dalam Pengerjaan Komputer</v>
          </cell>
          <cell r="D827">
            <v>0</v>
          </cell>
          <cell r="E827">
            <v>0</v>
          </cell>
          <cell r="F827">
            <v>0</v>
          </cell>
          <cell r="G827">
            <v>0</v>
          </cell>
          <cell r="H827">
            <v>0</v>
          </cell>
          <cell r="I827">
            <v>0</v>
          </cell>
          <cell r="J827">
            <v>0</v>
          </cell>
        </row>
        <row r="828">
          <cell r="B828" t="str">
            <v>1.3.06.02.11</v>
          </cell>
          <cell r="C828" t="str">
            <v>Konstruksi Dalam Pengerjaan Alat Eksplorasi</v>
          </cell>
          <cell r="D828">
            <v>0</v>
          </cell>
          <cell r="E828">
            <v>0</v>
          </cell>
          <cell r="F828">
            <v>0</v>
          </cell>
          <cell r="G828">
            <v>0</v>
          </cell>
          <cell r="H828">
            <v>0</v>
          </cell>
          <cell r="I828">
            <v>0</v>
          </cell>
          <cell r="J828">
            <v>0</v>
          </cell>
        </row>
        <row r="829">
          <cell r="B829" t="str">
            <v>1.3.06.02.12</v>
          </cell>
          <cell r="C829" t="str">
            <v>Konstruksi Dalam Pengerjaan Alat Pengeboran</v>
          </cell>
          <cell r="D829">
            <v>0</v>
          </cell>
          <cell r="E829">
            <v>0</v>
          </cell>
          <cell r="F829">
            <v>0</v>
          </cell>
          <cell r="G829">
            <v>0</v>
          </cell>
          <cell r="H829">
            <v>0</v>
          </cell>
          <cell r="I829">
            <v>0</v>
          </cell>
          <cell r="J829">
            <v>0</v>
          </cell>
        </row>
        <row r="830">
          <cell r="B830" t="str">
            <v>1.3.06.02.13</v>
          </cell>
          <cell r="C830" t="str">
            <v>Konstruksi Dalam Pengerjaan Alat Produksi, Pengolahan, dan Pemurnian</v>
          </cell>
          <cell r="D830">
            <v>0</v>
          </cell>
          <cell r="E830">
            <v>0</v>
          </cell>
          <cell r="F830">
            <v>0</v>
          </cell>
          <cell r="G830">
            <v>0</v>
          </cell>
          <cell r="H830">
            <v>0</v>
          </cell>
          <cell r="I830">
            <v>0</v>
          </cell>
          <cell r="J830">
            <v>0</v>
          </cell>
        </row>
        <row r="831">
          <cell r="B831" t="str">
            <v>1.3.06.02.14</v>
          </cell>
          <cell r="C831" t="str">
            <v>Konstruksi Dalam Pengerjaan Alat Bantu Eksplorasi</v>
          </cell>
          <cell r="D831">
            <v>0</v>
          </cell>
          <cell r="E831">
            <v>0</v>
          </cell>
          <cell r="F831">
            <v>0</v>
          </cell>
          <cell r="G831">
            <v>0</v>
          </cell>
          <cell r="H831">
            <v>0</v>
          </cell>
          <cell r="I831">
            <v>0</v>
          </cell>
          <cell r="J831">
            <v>0</v>
          </cell>
        </row>
        <row r="832">
          <cell r="B832" t="str">
            <v>1.3.06.02.15</v>
          </cell>
          <cell r="C832" t="str">
            <v>Konstruksi Dalam Pengerjaan Alat Keselamatan Kerja</v>
          </cell>
          <cell r="D832">
            <v>0</v>
          </cell>
          <cell r="E832">
            <v>0</v>
          </cell>
          <cell r="F832">
            <v>0</v>
          </cell>
          <cell r="G832">
            <v>0</v>
          </cell>
          <cell r="H832">
            <v>0</v>
          </cell>
          <cell r="I832">
            <v>0</v>
          </cell>
          <cell r="J832">
            <v>0</v>
          </cell>
        </row>
        <row r="833">
          <cell r="B833" t="str">
            <v>1.3.06.02.16</v>
          </cell>
          <cell r="C833" t="str">
            <v>Konstruksi Dalam Pengerjaan Alat Peraga</v>
          </cell>
          <cell r="D833">
            <v>0</v>
          </cell>
          <cell r="E833">
            <v>0</v>
          </cell>
          <cell r="F833">
            <v>0</v>
          </cell>
          <cell r="G833">
            <v>0</v>
          </cell>
          <cell r="H833">
            <v>0</v>
          </cell>
          <cell r="I833">
            <v>0</v>
          </cell>
          <cell r="J833">
            <v>0</v>
          </cell>
        </row>
        <row r="834">
          <cell r="B834" t="str">
            <v>1.3.06.02.17</v>
          </cell>
          <cell r="C834" t="str">
            <v>Konstruksi Dalam Pengerjaan Peralatan Proses/Produksi</v>
          </cell>
          <cell r="D834">
            <v>0</v>
          </cell>
          <cell r="E834">
            <v>0</v>
          </cell>
          <cell r="F834">
            <v>0</v>
          </cell>
          <cell r="G834">
            <v>0</v>
          </cell>
          <cell r="H834">
            <v>0</v>
          </cell>
          <cell r="I834">
            <v>0</v>
          </cell>
          <cell r="J834">
            <v>0</v>
          </cell>
        </row>
        <row r="835">
          <cell r="B835" t="str">
            <v>1.3.06.02.18</v>
          </cell>
          <cell r="C835" t="str">
            <v>Konstruksi Dalam Pengerjaan Rambu-rambu</v>
          </cell>
          <cell r="D835">
            <v>0</v>
          </cell>
          <cell r="E835">
            <v>0</v>
          </cell>
          <cell r="F835">
            <v>0</v>
          </cell>
          <cell r="G835">
            <v>0</v>
          </cell>
          <cell r="H835">
            <v>0</v>
          </cell>
          <cell r="I835">
            <v>0</v>
          </cell>
          <cell r="J835">
            <v>0</v>
          </cell>
        </row>
        <row r="836">
          <cell r="B836" t="str">
            <v>1.3.06.02.19</v>
          </cell>
          <cell r="C836" t="str">
            <v>Konstruksi Dalam Pengerjaan Peralatan Olahraga</v>
          </cell>
          <cell r="D836">
            <v>0</v>
          </cell>
          <cell r="E836">
            <v>0</v>
          </cell>
          <cell r="F836">
            <v>0</v>
          </cell>
          <cell r="G836">
            <v>0</v>
          </cell>
          <cell r="H836">
            <v>0</v>
          </cell>
          <cell r="I836">
            <v>0</v>
          </cell>
          <cell r="J836">
            <v>0</v>
          </cell>
        </row>
        <row r="837">
          <cell r="B837" t="str">
            <v>1.3.06.03</v>
          </cell>
          <cell r="C837" t="str">
            <v>Konstruksi Dalam Pengerjaan Gedung dan Bangunan</v>
          </cell>
          <cell r="D837">
            <v>41622397475.5</v>
          </cell>
          <cell r="E837">
            <v>29523255766.139999</v>
          </cell>
          <cell r="F837"/>
          <cell r="G837"/>
          <cell r="H837"/>
          <cell r="I837"/>
          <cell r="J837">
            <v>14348495179.74</v>
          </cell>
        </row>
        <row r="838">
          <cell r="B838" t="str">
            <v>1.3.06.03.01</v>
          </cell>
          <cell r="C838" t="str">
            <v>Konstruksi Dalam Pengerjaan Bangunan Gedung</v>
          </cell>
          <cell r="D838">
            <v>41622397475.5</v>
          </cell>
          <cell r="E838">
            <v>29523255766.139999</v>
          </cell>
          <cell r="F838">
            <v>124000000</v>
          </cell>
          <cell r="G838">
            <v>0</v>
          </cell>
          <cell r="H838">
            <v>99789000</v>
          </cell>
          <cell r="I838">
            <v>15398549586.4</v>
          </cell>
          <cell r="J838">
            <v>14348495179.74</v>
          </cell>
        </row>
        <row r="839">
          <cell r="B839" t="str">
            <v>1.3.06.03.02</v>
          </cell>
          <cell r="C839" t="str">
            <v>Konstruksi Dalam Pengerjaan Monumen</v>
          </cell>
          <cell r="D839">
            <v>0</v>
          </cell>
          <cell r="E839">
            <v>0</v>
          </cell>
          <cell r="F839">
            <v>0</v>
          </cell>
          <cell r="G839">
            <v>0</v>
          </cell>
          <cell r="H839">
            <v>0</v>
          </cell>
          <cell r="I839">
            <v>0</v>
          </cell>
          <cell r="J839">
            <v>0</v>
          </cell>
        </row>
        <row r="840">
          <cell r="B840" t="str">
            <v>1.3.06.03.03</v>
          </cell>
          <cell r="C840" t="str">
            <v>Konstruksi Dalam Pengerjaan Bangunan Menara</v>
          </cell>
          <cell r="D840">
            <v>0</v>
          </cell>
          <cell r="E840">
            <v>0</v>
          </cell>
          <cell r="F840">
            <v>0</v>
          </cell>
          <cell r="G840">
            <v>0</v>
          </cell>
          <cell r="H840">
            <v>0</v>
          </cell>
          <cell r="I840">
            <v>0</v>
          </cell>
          <cell r="J840">
            <v>0</v>
          </cell>
        </row>
        <row r="841">
          <cell r="B841" t="str">
            <v>1.3.06.03.04</v>
          </cell>
          <cell r="C841" t="str">
            <v>Konstruksi Dalam Pengerjaan Tugu Titik Kontrol/Pasti</v>
          </cell>
          <cell r="D841">
            <v>0</v>
          </cell>
          <cell r="E841">
            <v>0</v>
          </cell>
          <cell r="F841">
            <v>0</v>
          </cell>
          <cell r="G841">
            <v>0</v>
          </cell>
          <cell r="H841">
            <v>0</v>
          </cell>
          <cell r="I841">
            <v>0</v>
          </cell>
          <cell r="J841">
            <v>0</v>
          </cell>
        </row>
        <row r="842">
          <cell r="B842" t="str">
            <v>1.3.06.04</v>
          </cell>
          <cell r="C842" t="str">
            <v>Konstruksi Dalam Pengerjaan Jalan, Jaringan, dan Irigasi</v>
          </cell>
          <cell r="D842">
            <v>150879252796.79999</v>
          </cell>
          <cell r="E842">
            <v>137611790819.59</v>
          </cell>
          <cell r="F842"/>
          <cell r="G842"/>
          <cell r="H842"/>
          <cell r="I842"/>
          <cell r="J842">
            <v>136499819619.59</v>
          </cell>
        </row>
        <row r="843">
          <cell r="B843" t="str">
            <v>1.3.06.04.01</v>
          </cell>
          <cell r="C843" t="str">
            <v>Konstruksi Dalam Pengerjaan Jalan dan Jembatan</v>
          </cell>
          <cell r="D843">
            <v>150735872796.79999</v>
          </cell>
          <cell r="E843">
            <v>133145690771.5</v>
          </cell>
          <cell r="F843">
            <v>0</v>
          </cell>
          <cell r="G843">
            <v>0</v>
          </cell>
          <cell r="H843">
            <v>0</v>
          </cell>
          <cell r="I843">
            <v>1111971200</v>
          </cell>
          <cell r="J843">
            <v>132033719571.5</v>
          </cell>
        </row>
        <row r="844">
          <cell r="B844" t="str">
            <v>1.3.06.04.02</v>
          </cell>
          <cell r="C844" t="str">
            <v>Konstruksi Dalam Pengerjaan Bangunan Air</v>
          </cell>
          <cell r="D844">
            <v>143380000</v>
          </cell>
          <cell r="E844">
            <v>570314494</v>
          </cell>
          <cell r="F844">
            <v>0</v>
          </cell>
          <cell r="G844">
            <v>0</v>
          </cell>
          <cell r="H844">
            <v>0</v>
          </cell>
          <cell r="I844">
            <v>0</v>
          </cell>
          <cell r="J844">
            <v>570314494</v>
          </cell>
        </row>
        <row r="845">
          <cell r="B845" t="str">
            <v>1.3.06.04.03</v>
          </cell>
          <cell r="C845" t="str">
            <v>Konstruksi Dalam Pengerjaan Instalasi</v>
          </cell>
          <cell r="D845">
            <v>0</v>
          </cell>
          <cell r="E845">
            <v>0</v>
          </cell>
          <cell r="F845">
            <v>0</v>
          </cell>
          <cell r="G845">
            <v>0</v>
          </cell>
          <cell r="H845">
            <v>0</v>
          </cell>
          <cell r="I845">
            <v>0</v>
          </cell>
          <cell r="J845">
            <v>0</v>
          </cell>
        </row>
        <row r="846">
          <cell r="B846" t="str">
            <v>1.3.06.04.04</v>
          </cell>
          <cell r="C846" t="str">
            <v>Konstruksi Dalam Pengerjaan Jaringan</v>
          </cell>
          <cell r="D846">
            <v>0</v>
          </cell>
          <cell r="E846">
            <v>3895785554.0900002</v>
          </cell>
          <cell r="F846">
            <v>0</v>
          </cell>
          <cell r="G846">
            <v>0</v>
          </cell>
          <cell r="H846">
            <v>0</v>
          </cell>
          <cell r="I846">
            <v>0</v>
          </cell>
          <cell r="J846">
            <v>3895785554.0900002</v>
          </cell>
        </row>
        <row r="847">
          <cell r="B847" t="str">
            <v>1.3.06.05</v>
          </cell>
          <cell r="C847" t="str">
            <v>Konstruksi Dalam Pengerjaan Aset Tetap Lainnya</v>
          </cell>
          <cell r="D847">
            <v>242800000</v>
          </cell>
          <cell r="E847">
            <v>0</v>
          </cell>
          <cell r="F847"/>
          <cell r="G847"/>
          <cell r="H847"/>
          <cell r="I847"/>
          <cell r="J847">
            <v>0</v>
          </cell>
        </row>
        <row r="848">
          <cell r="B848" t="str">
            <v>1.3.06.05.01</v>
          </cell>
          <cell r="C848" t="str">
            <v>Konstruksi Dalam Pengerjaan Bahan Perpustakaan</v>
          </cell>
          <cell r="D848">
            <v>0</v>
          </cell>
          <cell r="E848">
            <v>0</v>
          </cell>
          <cell r="F848">
            <v>0</v>
          </cell>
          <cell r="G848">
            <v>0</v>
          </cell>
          <cell r="H848">
            <v>0</v>
          </cell>
          <cell r="I848">
            <v>0</v>
          </cell>
          <cell r="J848">
            <v>0</v>
          </cell>
        </row>
        <row r="849">
          <cell r="B849" t="str">
            <v>1.3.06.05.02</v>
          </cell>
          <cell r="C849" t="str">
            <v>Konstruksi Dalam Pengerjaan Barang Bercorak Kesenian/Kebudayaan/Olahraga</v>
          </cell>
          <cell r="D849">
            <v>242800000</v>
          </cell>
          <cell r="E849">
            <v>0</v>
          </cell>
          <cell r="F849">
            <v>0</v>
          </cell>
          <cell r="G849">
            <v>0</v>
          </cell>
          <cell r="H849">
            <v>0</v>
          </cell>
          <cell r="I849">
            <v>0</v>
          </cell>
          <cell r="J849">
            <v>0</v>
          </cell>
        </row>
        <row r="850">
          <cell r="B850" t="str">
            <v>1.3.06.05.03</v>
          </cell>
          <cell r="C850" t="str">
            <v>Konstruksi Dalam Pengerjaan Hewan</v>
          </cell>
          <cell r="D850">
            <v>0</v>
          </cell>
          <cell r="E850">
            <v>0</v>
          </cell>
          <cell r="F850">
            <v>0</v>
          </cell>
          <cell r="G850">
            <v>0</v>
          </cell>
          <cell r="H850">
            <v>0</v>
          </cell>
          <cell r="I850">
            <v>0</v>
          </cell>
          <cell r="J850">
            <v>0</v>
          </cell>
        </row>
        <row r="851">
          <cell r="B851" t="str">
            <v>1.3.06.05.04</v>
          </cell>
          <cell r="C851" t="str">
            <v>Konstruksi Dalam Pengerjaan Biota Perairan</v>
          </cell>
          <cell r="D851">
            <v>0</v>
          </cell>
          <cell r="E851">
            <v>0</v>
          </cell>
          <cell r="F851">
            <v>0</v>
          </cell>
          <cell r="G851">
            <v>0</v>
          </cell>
          <cell r="H851">
            <v>0</v>
          </cell>
          <cell r="I851">
            <v>0</v>
          </cell>
          <cell r="J851">
            <v>0</v>
          </cell>
        </row>
        <row r="852">
          <cell r="B852" t="str">
            <v>1.3.06.05.05</v>
          </cell>
          <cell r="C852" t="str">
            <v>Konstruksi Dalam Pengerjaan Tanaman</v>
          </cell>
          <cell r="D852">
            <v>0</v>
          </cell>
          <cell r="E852">
            <v>0</v>
          </cell>
          <cell r="F852">
            <v>0</v>
          </cell>
          <cell r="G852">
            <v>0</v>
          </cell>
          <cell r="H852">
            <v>0</v>
          </cell>
          <cell r="I852">
            <v>0</v>
          </cell>
          <cell r="J852">
            <v>0</v>
          </cell>
        </row>
        <row r="853">
          <cell r="B853" t="str">
            <v>1.3.06.05.06</v>
          </cell>
          <cell r="C853" t="str">
            <v>Konstruksi Dalam Pengerjaan Barang Koleksi Non Budaya</v>
          </cell>
          <cell r="D853">
            <v>0</v>
          </cell>
          <cell r="E853">
            <v>0</v>
          </cell>
          <cell r="F853">
            <v>0</v>
          </cell>
          <cell r="G853">
            <v>0</v>
          </cell>
          <cell r="H853">
            <v>0</v>
          </cell>
          <cell r="I853">
            <v>0</v>
          </cell>
          <cell r="J853">
            <v>0</v>
          </cell>
        </row>
        <row r="854">
          <cell r="B854" t="str">
            <v>1.3.06.05.07</v>
          </cell>
          <cell r="C854" t="str">
            <v>Konstruksi Dalam Pengerjaan Aset Tetap Dalam Renovasi</v>
          </cell>
          <cell r="D854">
            <v>0</v>
          </cell>
          <cell r="E854">
            <v>0</v>
          </cell>
          <cell r="F854">
            <v>0</v>
          </cell>
          <cell r="G854">
            <v>0</v>
          </cell>
          <cell r="H854">
            <v>0</v>
          </cell>
          <cell r="I854">
            <v>0</v>
          </cell>
          <cell r="J854">
            <v>0</v>
          </cell>
        </row>
        <row r="855">
          <cell r="B855"/>
          <cell r="C855"/>
          <cell r="D855"/>
          <cell r="E855"/>
          <cell r="F855"/>
          <cell r="G855"/>
          <cell r="H855"/>
          <cell r="I855"/>
          <cell r="J855"/>
        </row>
        <row r="856">
          <cell r="B856" t="str">
            <v>1.3.07</v>
          </cell>
          <cell r="C856" t="str">
            <v>Akumulasi Penyusutan</v>
          </cell>
          <cell r="D856">
            <v>-1945698298637.2603</v>
          </cell>
          <cell r="E856">
            <v>-2189221000114.8601</v>
          </cell>
          <cell r="F856"/>
          <cell r="G856"/>
          <cell r="H856"/>
          <cell r="I856"/>
          <cell r="J856">
            <v>-2188698545525.8601</v>
          </cell>
        </row>
        <row r="857">
          <cell r="B857" t="str">
            <v>1.3.07.01</v>
          </cell>
          <cell r="C857" t="str">
            <v>Akumulasi Penyusutan Peralatan dan Mesin</v>
          </cell>
          <cell r="D857">
            <v>-420476424849.67004</v>
          </cell>
          <cell r="E857">
            <v>-470520457234.27002</v>
          </cell>
          <cell r="F857"/>
          <cell r="G857"/>
          <cell r="H857"/>
          <cell r="I857"/>
          <cell r="J857">
            <v>-470112807234.27002</v>
          </cell>
        </row>
        <row r="858">
          <cell r="B858" t="str">
            <v>1.3.07.01.01</v>
          </cell>
          <cell r="C858" t="str">
            <v>Akumulasi Penyusutan Alat Besar</v>
          </cell>
          <cell r="D858">
            <v>1142599</v>
          </cell>
          <cell r="E858">
            <v>1142599</v>
          </cell>
          <cell r="F858">
            <v>0</v>
          </cell>
          <cell r="G858">
            <v>0</v>
          </cell>
          <cell r="H858">
            <v>0</v>
          </cell>
          <cell r="I858">
            <v>0</v>
          </cell>
          <cell r="J858">
            <v>1142599</v>
          </cell>
        </row>
        <row r="859">
          <cell r="B859" t="str">
            <v>1.3.07.01.02</v>
          </cell>
          <cell r="C859" t="str">
            <v>Akumulasi Penyusutan Alat Angkutan</v>
          </cell>
          <cell r="D859">
            <v>0</v>
          </cell>
          <cell r="E859">
            <v>0</v>
          </cell>
          <cell r="F859">
            <v>407650000</v>
          </cell>
          <cell r="G859">
            <v>0</v>
          </cell>
          <cell r="H859">
            <v>0</v>
          </cell>
          <cell r="I859">
            <v>0</v>
          </cell>
          <cell r="J859">
            <v>407650000</v>
          </cell>
        </row>
        <row r="860">
          <cell r="B860" t="str">
            <v>1.3.07.01.03</v>
          </cell>
          <cell r="C860" t="str">
            <v>Akumulasi Penyusutan Alat Bengkel dan Alat Ukur</v>
          </cell>
          <cell r="D860">
            <v>0</v>
          </cell>
          <cell r="E860">
            <v>0</v>
          </cell>
          <cell r="F860">
            <v>0</v>
          </cell>
          <cell r="G860">
            <v>0</v>
          </cell>
          <cell r="H860">
            <v>0</v>
          </cell>
          <cell r="I860">
            <v>0</v>
          </cell>
          <cell r="J860">
            <v>0</v>
          </cell>
        </row>
        <row r="861">
          <cell r="B861" t="str">
            <v>1.3.07.01.04</v>
          </cell>
          <cell r="C861" t="str">
            <v>Akumulasi Penyusutan Alat Pertanian</v>
          </cell>
          <cell r="D861">
            <v>0</v>
          </cell>
          <cell r="E861">
            <v>0</v>
          </cell>
          <cell r="F861">
            <v>0</v>
          </cell>
          <cell r="G861">
            <v>0</v>
          </cell>
          <cell r="H861">
            <v>0</v>
          </cell>
          <cell r="I861">
            <v>0</v>
          </cell>
          <cell r="J861">
            <v>0</v>
          </cell>
        </row>
        <row r="862">
          <cell r="B862" t="str">
            <v>1.3.07.01.05</v>
          </cell>
          <cell r="C862" t="str">
            <v>Akumulasi Penyusutan Alat Kantor dan Rumah Tangga</v>
          </cell>
          <cell r="D862">
            <v>-271177672943</v>
          </cell>
          <cell r="E862">
            <v>-308504497224.09998</v>
          </cell>
          <cell r="F862">
            <v>0</v>
          </cell>
          <cell r="G862">
            <v>0</v>
          </cell>
          <cell r="H862">
            <v>0</v>
          </cell>
          <cell r="I862">
            <v>0</v>
          </cell>
          <cell r="J862">
            <v>-308504497224.09998</v>
          </cell>
        </row>
        <row r="863">
          <cell r="B863" t="str">
            <v>1.3.07.01.06</v>
          </cell>
          <cell r="C863" t="str">
            <v>Akumulasi Penyusutan Alat Studio, Komunikasi, dan Pemancar</v>
          </cell>
          <cell r="D863">
            <v>0</v>
          </cell>
          <cell r="E863">
            <v>0</v>
          </cell>
          <cell r="F863">
            <v>0</v>
          </cell>
          <cell r="G863">
            <v>0</v>
          </cell>
          <cell r="H863">
            <v>0</v>
          </cell>
          <cell r="I863">
            <v>0</v>
          </cell>
          <cell r="J863">
            <v>0</v>
          </cell>
        </row>
        <row r="864">
          <cell r="B864" t="str">
            <v>1.3.07.01.07</v>
          </cell>
          <cell r="C864" t="str">
            <v>Akumulasi Penyusutan Alat Kedokteran dan Kesehatan</v>
          </cell>
          <cell r="D864">
            <v>-149298681338.67001</v>
          </cell>
          <cell r="E864">
            <v>-162015889442.17001</v>
          </cell>
          <cell r="F864">
            <v>0</v>
          </cell>
          <cell r="G864">
            <v>0</v>
          </cell>
          <cell r="H864">
            <v>0</v>
          </cell>
          <cell r="I864">
            <v>0</v>
          </cell>
          <cell r="J864">
            <v>-162015889442.17001</v>
          </cell>
        </row>
        <row r="865">
          <cell r="B865" t="str">
            <v>1.3.07.01.08</v>
          </cell>
          <cell r="C865" t="str">
            <v>Akumulasi Penyusutan Alat Laboratorium</v>
          </cell>
          <cell r="D865">
            <v>0</v>
          </cell>
          <cell r="E865">
            <v>0</v>
          </cell>
          <cell r="F865">
            <v>0</v>
          </cell>
          <cell r="G865">
            <v>0</v>
          </cell>
          <cell r="H865">
            <v>0</v>
          </cell>
          <cell r="I865">
            <v>0</v>
          </cell>
          <cell r="J865">
            <v>0</v>
          </cell>
        </row>
        <row r="866">
          <cell r="B866" t="str">
            <v>1.3.07.01.09</v>
          </cell>
          <cell r="C866" t="str">
            <v>Akumulasi Penyusutan Alat Persenjataan</v>
          </cell>
          <cell r="D866">
            <v>0</v>
          </cell>
          <cell r="E866">
            <v>0</v>
          </cell>
          <cell r="F866">
            <v>0</v>
          </cell>
          <cell r="G866">
            <v>0</v>
          </cell>
          <cell r="H866">
            <v>0</v>
          </cell>
          <cell r="I866">
            <v>0</v>
          </cell>
          <cell r="J866">
            <v>0</v>
          </cell>
        </row>
        <row r="867">
          <cell r="B867" t="str">
            <v>1.3.07.01.10</v>
          </cell>
          <cell r="C867" t="str">
            <v>Akumulasi Penyusutan Komputer</v>
          </cell>
          <cell r="D867">
            <v>0</v>
          </cell>
          <cell r="E867">
            <v>0</v>
          </cell>
          <cell r="F867">
            <v>0</v>
          </cell>
          <cell r="G867">
            <v>0</v>
          </cell>
          <cell r="H867">
            <v>0</v>
          </cell>
          <cell r="I867">
            <v>0</v>
          </cell>
          <cell r="J867">
            <v>0</v>
          </cell>
        </row>
        <row r="868">
          <cell r="B868" t="str">
            <v>1.3.07.01.11</v>
          </cell>
          <cell r="C868" t="str">
            <v>Akumulasi Penyusutan Alat Eksplorasi</v>
          </cell>
          <cell r="D868">
            <v>0</v>
          </cell>
          <cell r="E868">
            <v>0</v>
          </cell>
          <cell r="F868">
            <v>0</v>
          </cell>
          <cell r="G868">
            <v>0</v>
          </cell>
          <cell r="H868">
            <v>0</v>
          </cell>
          <cell r="I868">
            <v>0</v>
          </cell>
          <cell r="J868">
            <v>0</v>
          </cell>
        </row>
        <row r="869">
          <cell r="B869" t="str">
            <v>1.3.07.01.12</v>
          </cell>
          <cell r="C869" t="str">
            <v>Akumulasi Penyusutan Alat Pengeboran</v>
          </cell>
          <cell r="D869">
            <v>0</v>
          </cell>
          <cell r="E869">
            <v>0</v>
          </cell>
          <cell r="F869">
            <v>0</v>
          </cell>
          <cell r="G869">
            <v>0</v>
          </cell>
          <cell r="H869">
            <v>0</v>
          </cell>
          <cell r="I869">
            <v>0</v>
          </cell>
          <cell r="J869">
            <v>0</v>
          </cell>
        </row>
        <row r="870">
          <cell r="B870" t="str">
            <v>1.3.07.01.13</v>
          </cell>
          <cell r="C870" t="str">
            <v>Akumulasi Penyusutan Alat Produksi, Pengolahan, dan Pemurnian</v>
          </cell>
          <cell r="D870">
            <v>0</v>
          </cell>
          <cell r="E870">
            <v>0</v>
          </cell>
          <cell r="F870">
            <v>0</v>
          </cell>
          <cell r="G870">
            <v>0</v>
          </cell>
          <cell r="H870">
            <v>0</v>
          </cell>
          <cell r="I870">
            <v>0</v>
          </cell>
          <cell r="J870">
            <v>0</v>
          </cell>
        </row>
        <row r="871">
          <cell r="B871" t="str">
            <v>1.3.07.01.14</v>
          </cell>
          <cell r="C871" t="str">
            <v>Akumulasi Penyusutan Alat Bantu Eksplorasi</v>
          </cell>
          <cell r="D871">
            <v>0</v>
          </cell>
          <cell r="E871">
            <v>0</v>
          </cell>
          <cell r="F871">
            <v>0</v>
          </cell>
          <cell r="G871">
            <v>0</v>
          </cell>
          <cell r="H871">
            <v>0</v>
          </cell>
          <cell r="I871">
            <v>0</v>
          </cell>
          <cell r="J871">
            <v>0</v>
          </cell>
        </row>
        <row r="872">
          <cell r="B872" t="str">
            <v>1.3.07.01.15</v>
          </cell>
          <cell r="C872" t="str">
            <v>Akumulasi Penyusutan Alat Keselamatan Kerja</v>
          </cell>
          <cell r="D872">
            <v>-1213167</v>
          </cell>
          <cell r="E872">
            <v>-1213167</v>
          </cell>
          <cell r="F872">
            <v>0</v>
          </cell>
          <cell r="G872">
            <v>0</v>
          </cell>
          <cell r="H872">
            <v>0</v>
          </cell>
          <cell r="I872">
            <v>0</v>
          </cell>
          <cell r="J872">
            <v>-1213167</v>
          </cell>
        </row>
        <row r="873">
          <cell r="B873" t="str">
            <v>1.3.07.01.16</v>
          </cell>
          <cell r="C873" t="str">
            <v>Akumulasi Penyusutan Alat Peraga</v>
          </cell>
          <cell r="D873">
            <v>0</v>
          </cell>
          <cell r="E873">
            <v>0</v>
          </cell>
          <cell r="F873">
            <v>0</v>
          </cell>
          <cell r="G873">
            <v>0</v>
          </cell>
          <cell r="H873">
            <v>0</v>
          </cell>
          <cell r="I873">
            <v>0</v>
          </cell>
          <cell r="J873">
            <v>0</v>
          </cell>
        </row>
        <row r="874">
          <cell r="B874" t="str">
            <v>1.3.07.01.17</v>
          </cell>
          <cell r="C874" t="str">
            <v>Akumulasi Penyusutan Peralatan Proses/Produksi</v>
          </cell>
          <cell r="D874">
            <v>0</v>
          </cell>
          <cell r="E874">
            <v>0</v>
          </cell>
          <cell r="F874">
            <v>0</v>
          </cell>
          <cell r="G874">
            <v>0</v>
          </cell>
          <cell r="H874">
            <v>0</v>
          </cell>
          <cell r="I874">
            <v>0</v>
          </cell>
          <cell r="J874">
            <v>0</v>
          </cell>
        </row>
        <row r="875">
          <cell r="B875" t="str">
            <v>1.3.07.01.18</v>
          </cell>
          <cell r="C875" t="str">
            <v>Akumulasi Penyusutan Rambu-Rambu</v>
          </cell>
          <cell r="D875">
            <v>0</v>
          </cell>
          <cell r="E875">
            <v>0</v>
          </cell>
          <cell r="F875">
            <v>0</v>
          </cell>
          <cell r="G875">
            <v>0</v>
          </cell>
          <cell r="H875">
            <v>0</v>
          </cell>
          <cell r="I875">
            <v>0</v>
          </cell>
          <cell r="J875">
            <v>0</v>
          </cell>
        </row>
        <row r="876">
          <cell r="B876" t="str">
            <v>1.3.07.01.19</v>
          </cell>
          <cell r="C876" t="str">
            <v>Akumulasi Penyusutan Peralatan Olahraga</v>
          </cell>
          <cell r="D876">
            <v>0</v>
          </cell>
          <cell r="E876">
            <v>0</v>
          </cell>
          <cell r="F876">
            <v>0</v>
          </cell>
          <cell r="G876">
            <v>0</v>
          </cell>
          <cell r="H876">
            <v>0</v>
          </cell>
          <cell r="I876">
            <v>0</v>
          </cell>
          <cell r="J876">
            <v>0</v>
          </cell>
        </row>
        <row r="877">
          <cell r="B877" t="str">
            <v>1.3.07.02</v>
          </cell>
          <cell r="C877" t="str">
            <v>Akumulasi Penyusutan Gedung dan Bangunan</v>
          </cell>
          <cell r="D877">
            <v>-324867540824</v>
          </cell>
          <cell r="E877">
            <v>-360159715681</v>
          </cell>
          <cell r="F877"/>
          <cell r="G877"/>
          <cell r="H877"/>
          <cell r="I877"/>
          <cell r="J877">
            <v>-360155552515</v>
          </cell>
        </row>
        <row r="878">
          <cell r="B878" t="str">
            <v>1.3.07.02.01</v>
          </cell>
          <cell r="C878" t="str">
            <v>Akumulasi Penyusutan Bangunan Gedung</v>
          </cell>
          <cell r="D878">
            <v>-324871144991</v>
          </cell>
          <cell r="E878">
            <v>-360163319848</v>
          </cell>
          <cell r="F878">
            <v>788166</v>
          </cell>
          <cell r="G878">
            <v>0</v>
          </cell>
          <cell r="H878">
            <v>0</v>
          </cell>
          <cell r="I878">
            <v>0</v>
          </cell>
          <cell r="J878">
            <v>-360162531682</v>
          </cell>
        </row>
        <row r="879">
          <cell r="B879" t="str">
            <v>1.3.07.02.02</v>
          </cell>
          <cell r="C879" t="str">
            <v>Akumulasi Penyusutan Monumen</v>
          </cell>
          <cell r="D879">
            <v>3604167</v>
          </cell>
          <cell r="E879">
            <v>3604167</v>
          </cell>
          <cell r="F879">
            <v>0</v>
          </cell>
          <cell r="G879">
            <v>0</v>
          </cell>
          <cell r="H879">
            <v>0</v>
          </cell>
          <cell r="I879">
            <v>0</v>
          </cell>
          <cell r="J879">
            <v>3604167</v>
          </cell>
        </row>
        <row r="880">
          <cell r="B880" t="str">
            <v>1.3.07.02.03</v>
          </cell>
          <cell r="C880" t="str">
            <v>Akumulasi Penyusutan Bangunan Menara</v>
          </cell>
          <cell r="D880">
            <v>0</v>
          </cell>
          <cell r="E880">
            <v>0</v>
          </cell>
          <cell r="F880">
            <v>0</v>
          </cell>
          <cell r="G880">
            <v>0</v>
          </cell>
          <cell r="H880">
            <v>0</v>
          </cell>
          <cell r="I880">
            <v>0</v>
          </cell>
          <cell r="J880">
            <v>0</v>
          </cell>
        </row>
        <row r="881">
          <cell r="B881" t="str">
            <v>1.3.07.02.04</v>
          </cell>
          <cell r="C881" t="str">
            <v>Akumulasi Penyusutan Tugu Tanda Batas</v>
          </cell>
          <cell r="D881">
            <v>0</v>
          </cell>
          <cell r="E881">
            <v>0</v>
          </cell>
          <cell r="F881">
            <v>3375000</v>
          </cell>
          <cell r="G881">
            <v>0</v>
          </cell>
          <cell r="H881">
            <v>0</v>
          </cell>
          <cell r="I881">
            <v>0</v>
          </cell>
          <cell r="J881">
            <v>3375000</v>
          </cell>
        </row>
        <row r="882">
          <cell r="B882" t="str">
            <v>1.3.07.03</v>
          </cell>
          <cell r="C882" t="str">
            <v>Akumulasi Penyusutan Jalan, Jaringan, dan Irigasi</v>
          </cell>
          <cell r="D882">
            <v>-1198259004389.5901</v>
          </cell>
          <cell r="E882">
            <v>-1356226153999.5901</v>
          </cell>
          <cell r="F882"/>
          <cell r="G882"/>
          <cell r="H882"/>
          <cell r="I882"/>
          <cell r="J882">
            <v>-1356115512576.5901</v>
          </cell>
        </row>
        <row r="883">
          <cell r="B883" t="str">
            <v>1.3.07.03.01</v>
          </cell>
          <cell r="C883" t="str">
            <v>Akumulasi Penyusutan Jalan dan Jembatan</v>
          </cell>
          <cell r="D883">
            <v>-1122827908833.5901</v>
          </cell>
          <cell r="E883">
            <v>-1271503187542.5901</v>
          </cell>
          <cell r="F883">
            <v>110641423</v>
          </cell>
          <cell r="G883">
            <v>0</v>
          </cell>
          <cell r="H883">
            <v>0</v>
          </cell>
          <cell r="I883">
            <v>0</v>
          </cell>
          <cell r="J883">
            <v>-1271392546119.5901</v>
          </cell>
        </row>
        <row r="884">
          <cell r="B884" t="str">
            <v>1.3.07.03.02</v>
          </cell>
          <cell r="C884" t="str">
            <v>Akumulasi Penyusutan Bangunan Air</v>
          </cell>
          <cell r="D884">
            <v>-13453079</v>
          </cell>
          <cell r="E884">
            <v>-20108745</v>
          </cell>
          <cell r="F884">
            <v>0</v>
          </cell>
          <cell r="G884">
            <v>0</v>
          </cell>
          <cell r="H884">
            <v>0</v>
          </cell>
          <cell r="I884">
            <v>0</v>
          </cell>
          <cell r="J884">
            <v>-20108745</v>
          </cell>
        </row>
        <row r="885">
          <cell r="B885" t="str">
            <v>1.3.07.03.03</v>
          </cell>
          <cell r="C885" t="str">
            <v>Akumulasi Penyusutan Instalasi</v>
          </cell>
          <cell r="D885">
            <v>-2634482141</v>
          </cell>
          <cell r="E885">
            <v>-3117380179</v>
          </cell>
          <cell r="F885">
            <v>0</v>
          </cell>
          <cell r="G885">
            <v>0</v>
          </cell>
          <cell r="H885">
            <v>0</v>
          </cell>
          <cell r="I885">
            <v>0</v>
          </cell>
          <cell r="J885">
            <v>-3117380179</v>
          </cell>
        </row>
        <row r="886">
          <cell r="B886" t="str">
            <v>1.3.07.03.04</v>
          </cell>
          <cell r="C886" t="str">
            <v>Akumulasi Penyusutan Jaringan</v>
          </cell>
          <cell r="D886">
            <v>-72783160336</v>
          </cell>
          <cell r="E886">
            <v>-81585477533</v>
          </cell>
          <cell r="F886">
            <v>0</v>
          </cell>
          <cell r="G886">
            <v>0</v>
          </cell>
          <cell r="H886">
            <v>0</v>
          </cell>
          <cell r="I886">
            <v>0</v>
          </cell>
          <cell r="J886">
            <v>-81585477533</v>
          </cell>
        </row>
        <row r="887">
          <cell r="B887" t="str">
            <v>1.3.07.04</v>
          </cell>
          <cell r="C887" t="str">
            <v>Akumulasi Penyusutan Aset Tetap Lainnya</v>
          </cell>
          <cell r="D887">
            <v>-2095328574</v>
          </cell>
          <cell r="E887">
            <v>-2314673200</v>
          </cell>
          <cell r="F887"/>
          <cell r="G887"/>
          <cell r="H887"/>
          <cell r="I887"/>
          <cell r="J887">
            <v>-2314673200</v>
          </cell>
        </row>
        <row r="888">
          <cell r="B888" t="str">
            <v>1.3.07.04.01</v>
          </cell>
          <cell r="C888" t="str">
            <v>Akumulasi Penyusutan Barang Bercorak Kesenian/Kebudayaan/Olahraga</v>
          </cell>
          <cell r="D888">
            <v>0</v>
          </cell>
          <cell r="E888">
            <v>0</v>
          </cell>
          <cell r="F888">
            <v>0</v>
          </cell>
          <cell r="G888">
            <v>0</v>
          </cell>
          <cell r="H888">
            <v>0</v>
          </cell>
          <cell r="I888">
            <v>0</v>
          </cell>
          <cell r="J888">
            <v>0</v>
          </cell>
        </row>
        <row r="889">
          <cell r="B889" t="str">
            <v>1.3.07.04.02</v>
          </cell>
          <cell r="C889" t="str">
            <v>Akumulasi Penyusutan Aset Tetap Dalam Renovasi</v>
          </cell>
          <cell r="D889">
            <v>-2095328574</v>
          </cell>
          <cell r="E889">
            <v>-2314673200</v>
          </cell>
          <cell r="F889">
            <v>0</v>
          </cell>
          <cell r="G889">
            <v>0</v>
          </cell>
          <cell r="H889">
            <v>0</v>
          </cell>
          <cell r="I889">
            <v>0</v>
          </cell>
          <cell r="J889">
            <v>-2314673200</v>
          </cell>
        </row>
        <row r="890">
          <cell r="B890"/>
          <cell r="C890"/>
          <cell r="D890"/>
          <cell r="E890"/>
          <cell r="F890"/>
          <cell r="G890"/>
          <cell r="H890"/>
          <cell r="I890"/>
          <cell r="J890"/>
        </row>
        <row r="891">
          <cell r="B891" t="str">
            <v>1.3.08</v>
          </cell>
          <cell r="C891" t="str">
            <v>Aset Konsesi Jasa</v>
          </cell>
          <cell r="D891">
            <v>0</v>
          </cell>
          <cell r="E891">
            <v>0</v>
          </cell>
          <cell r="F891"/>
          <cell r="G891"/>
          <cell r="H891"/>
          <cell r="I891"/>
          <cell r="J891">
            <v>0</v>
          </cell>
        </row>
        <row r="892">
          <cell r="B892" t="str">
            <v>1.3.08.01</v>
          </cell>
          <cell r="C892" t="str">
            <v>Aset Konsesi Jasa yang Disediakan Pemberi Konsesi</v>
          </cell>
          <cell r="D892">
            <v>0</v>
          </cell>
          <cell r="E892">
            <v>0</v>
          </cell>
          <cell r="F892"/>
          <cell r="G892"/>
          <cell r="H892"/>
          <cell r="I892"/>
          <cell r="J892">
            <v>0</v>
          </cell>
        </row>
        <row r="893">
          <cell r="B893" t="str">
            <v>1.3.08.01.01</v>
          </cell>
          <cell r="C893" t="str">
            <v>Aset Konsesi Jasa yang Disediakan Pemberi Konsesi-Aset Konsesi Jasa Tanah</v>
          </cell>
          <cell r="D893">
            <v>0</v>
          </cell>
          <cell r="E893">
            <v>0</v>
          </cell>
          <cell r="F893">
            <v>0</v>
          </cell>
          <cell r="G893">
            <v>0</v>
          </cell>
          <cell r="H893">
            <v>0</v>
          </cell>
          <cell r="I893">
            <v>0</v>
          </cell>
          <cell r="J893">
            <v>0</v>
          </cell>
        </row>
        <row r="894">
          <cell r="B894" t="str">
            <v>1.3.08.01.02</v>
          </cell>
          <cell r="C894" t="str">
            <v>Aset Konsesi Jasa yang Disediakan Pemberi Konsesi-Aset Konsesi Jasa Peralatan dan Mesin</v>
          </cell>
          <cell r="D894">
            <v>0</v>
          </cell>
          <cell r="E894">
            <v>0</v>
          </cell>
          <cell r="F894">
            <v>0</v>
          </cell>
          <cell r="G894">
            <v>0</v>
          </cell>
          <cell r="H894">
            <v>0</v>
          </cell>
          <cell r="I894">
            <v>0</v>
          </cell>
          <cell r="J894">
            <v>0</v>
          </cell>
        </row>
        <row r="895">
          <cell r="B895" t="str">
            <v>1.3.08.01.03</v>
          </cell>
          <cell r="C895" t="str">
            <v>Aset Konsesi Jasa yang Disediakan Pemberi Konsesi-Aset Konsesi Jasa Gedung dan Bangunan</v>
          </cell>
          <cell r="D895">
            <v>0</v>
          </cell>
          <cell r="E895">
            <v>0</v>
          </cell>
          <cell r="F895">
            <v>0</v>
          </cell>
          <cell r="G895">
            <v>0</v>
          </cell>
          <cell r="H895">
            <v>0</v>
          </cell>
          <cell r="I895">
            <v>0</v>
          </cell>
          <cell r="J895">
            <v>0</v>
          </cell>
        </row>
        <row r="896">
          <cell r="B896" t="str">
            <v>1.3.08.01.04</v>
          </cell>
          <cell r="C896" t="str">
            <v>Aset Konsesi Jasa yang Disediakan Pemberi Konsesi-Aset Konsesi Jasa Jalan, Jaringan, dan Irigasi</v>
          </cell>
          <cell r="D896">
            <v>0</v>
          </cell>
          <cell r="E896">
            <v>0</v>
          </cell>
          <cell r="F896">
            <v>0</v>
          </cell>
          <cell r="G896">
            <v>0</v>
          </cell>
          <cell r="H896">
            <v>0</v>
          </cell>
          <cell r="I896">
            <v>0</v>
          </cell>
          <cell r="J896">
            <v>0</v>
          </cell>
        </row>
        <row r="897">
          <cell r="B897" t="str">
            <v>1.3.08.01.05</v>
          </cell>
          <cell r="C897" t="str">
            <v>Aset Konsesi Jasa yang Disediakan Pemberi Konsesi-Aset Tetap Lainnya</v>
          </cell>
          <cell r="D897">
            <v>0</v>
          </cell>
          <cell r="E897">
            <v>0</v>
          </cell>
          <cell r="F897">
            <v>0</v>
          </cell>
          <cell r="G897">
            <v>0</v>
          </cell>
          <cell r="H897">
            <v>0</v>
          </cell>
          <cell r="I897">
            <v>0</v>
          </cell>
          <cell r="J897">
            <v>0</v>
          </cell>
        </row>
        <row r="898">
          <cell r="B898" t="str">
            <v>1.3.08.02</v>
          </cell>
          <cell r="C898" t="str">
            <v>Aset Konsesi Jasa yang Bersumber dari Milik Mitra</v>
          </cell>
          <cell r="D898">
            <v>0</v>
          </cell>
          <cell r="E898">
            <v>0</v>
          </cell>
          <cell r="F898"/>
          <cell r="G898"/>
          <cell r="H898"/>
          <cell r="I898"/>
          <cell r="J898">
            <v>0</v>
          </cell>
        </row>
        <row r="899">
          <cell r="B899" t="str">
            <v>1.3.08.02.01</v>
          </cell>
          <cell r="C899" t="str">
            <v>Aset Konsesi Jasa yang Bersumber dari Milik Mitra yang Tidak Dapat Disusutkan</v>
          </cell>
          <cell r="D899"/>
          <cell r="E899"/>
          <cell r="F899">
            <v>0</v>
          </cell>
          <cell r="G899">
            <v>0</v>
          </cell>
          <cell r="H899">
            <v>0</v>
          </cell>
          <cell r="I899">
            <v>0</v>
          </cell>
          <cell r="J899">
            <v>0</v>
          </cell>
        </row>
        <row r="900">
          <cell r="B900" t="str">
            <v>1.3.08.02.02</v>
          </cell>
          <cell r="C900" t="str">
            <v>Aset Konsesi Jasa yang Bersumber dari Milik Mitra yang Dapat Disusutkan</v>
          </cell>
          <cell r="D900"/>
          <cell r="E900"/>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F901"/>
          <cell r="G901"/>
          <cell r="H901"/>
          <cell r="I901"/>
          <cell r="J901">
            <v>0</v>
          </cell>
        </row>
        <row r="902">
          <cell r="B902" t="str">
            <v>1.3.08.03.01</v>
          </cell>
          <cell r="C902" t="str">
            <v>Konstruksi Dalam Pengerjaan Aset Konsesi Jasa yang Bersumber dari Milik Mitra-Aset Konsesi Jasa yang Bersumber dari Milik Mitra yang Tidak Dapat Disusutkan</v>
          </cell>
          <cell r="D902"/>
          <cell r="E902"/>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D903"/>
          <cell r="E903"/>
          <cell r="F903">
            <v>0</v>
          </cell>
          <cell r="G903">
            <v>0</v>
          </cell>
          <cell r="H903">
            <v>0</v>
          </cell>
          <cell r="I903">
            <v>0</v>
          </cell>
          <cell r="J903">
            <v>0</v>
          </cell>
        </row>
        <row r="904">
          <cell r="B904"/>
          <cell r="C904"/>
          <cell r="D904"/>
          <cell r="E904"/>
          <cell r="F904"/>
          <cell r="G904"/>
          <cell r="H904"/>
          <cell r="I904"/>
          <cell r="J904"/>
        </row>
        <row r="905">
          <cell r="B905" t="str">
            <v>1.3.09</v>
          </cell>
          <cell r="C905" t="str">
            <v>Akumulasi Penyusutan Aset Konsesi Jasa</v>
          </cell>
          <cell r="D905">
            <v>0</v>
          </cell>
          <cell r="E905">
            <v>0</v>
          </cell>
          <cell r="F905"/>
          <cell r="G905"/>
          <cell r="H905"/>
          <cell r="I905"/>
          <cell r="J905">
            <v>0</v>
          </cell>
        </row>
        <row r="906">
          <cell r="B906" t="str">
            <v>1.3.09.01</v>
          </cell>
          <cell r="C906" t="str">
            <v>Akumulasi Penyusutan Aset Konsesi Jasa yang Disediakan Pemberi Konsesi</v>
          </cell>
          <cell r="D906">
            <v>0</v>
          </cell>
          <cell r="E906">
            <v>0</v>
          </cell>
          <cell r="F906"/>
          <cell r="G906"/>
          <cell r="H906"/>
          <cell r="I906"/>
          <cell r="J906">
            <v>0</v>
          </cell>
        </row>
        <row r="907">
          <cell r="B907" t="str">
            <v>1.3.09.01.01</v>
          </cell>
          <cell r="C907" t="str">
            <v>Akumulasi Penyusutan Aset Konsesi Jasa yang Disediakan Pemberi Konsesi-Aset Konsesi Jasa Peralatan dan Mesin</v>
          </cell>
          <cell r="D907"/>
          <cell r="E907"/>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D908"/>
          <cell r="E908"/>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D909"/>
          <cell r="E909"/>
          <cell r="F909">
            <v>0</v>
          </cell>
          <cell r="G909">
            <v>0</v>
          </cell>
          <cell r="H909">
            <v>0</v>
          </cell>
          <cell r="I909">
            <v>0</v>
          </cell>
          <cell r="J909">
            <v>0</v>
          </cell>
        </row>
        <row r="910">
          <cell r="B910" t="str">
            <v>1.3.09.01.04</v>
          </cell>
          <cell r="C910" t="str">
            <v>Akumulasi Penyusutan Aset Konsesi Jasa yang Disediakan Pemberi Konsesi-Aset Tetap Lainnya</v>
          </cell>
          <cell r="D910"/>
          <cell r="E910"/>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F911"/>
          <cell r="G911"/>
          <cell r="H911"/>
          <cell r="I911"/>
          <cell r="J911">
            <v>0</v>
          </cell>
        </row>
        <row r="912">
          <cell r="B912" t="str">
            <v>1.3.09.02.01</v>
          </cell>
          <cell r="C912" t="str">
            <v>Akumulasi Penyusutan Aset Konsesi Jasa yang Bersumber dari Milik Mitra</v>
          </cell>
          <cell r="D912"/>
          <cell r="E912"/>
          <cell r="F912">
            <v>0</v>
          </cell>
          <cell r="G912">
            <v>0</v>
          </cell>
          <cell r="H912">
            <v>0</v>
          </cell>
          <cell r="I912">
            <v>0</v>
          </cell>
          <cell r="J912">
            <v>0</v>
          </cell>
        </row>
        <row r="913">
          <cell r="B913"/>
          <cell r="C913"/>
          <cell r="D913"/>
          <cell r="E913"/>
          <cell r="F913"/>
          <cell r="G913"/>
          <cell r="H913"/>
          <cell r="I913"/>
          <cell r="J913"/>
        </row>
        <row r="914">
          <cell r="B914" t="str">
            <v>1.4</v>
          </cell>
          <cell r="C914" t="str">
            <v>DANA CADANGAN</v>
          </cell>
          <cell r="D914">
            <v>0</v>
          </cell>
          <cell r="E914">
            <v>0</v>
          </cell>
          <cell r="F914"/>
          <cell r="G914"/>
          <cell r="H914"/>
          <cell r="I914"/>
          <cell r="J914">
            <v>0</v>
          </cell>
        </row>
        <row r="915">
          <cell r="B915" t="str">
            <v>1.4.01</v>
          </cell>
          <cell r="C915" t="str">
            <v>Dana Cadangan</v>
          </cell>
          <cell r="D915">
            <v>0</v>
          </cell>
          <cell r="E915">
            <v>0</v>
          </cell>
          <cell r="F915"/>
          <cell r="G915"/>
          <cell r="H915"/>
          <cell r="I915"/>
          <cell r="J915">
            <v>0</v>
          </cell>
        </row>
        <row r="916">
          <cell r="B916" t="str">
            <v>1.4.01.01</v>
          </cell>
          <cell r="C916" t="str">
            <v>Dana Cadangan</v>
          </cell>
          <cell r="D916">
            <v>0</v>
          </cell>
          <cell r="E916">
            <v>0</v>
          </cell>
          <cell r="F916"/>
          <cell r="G916"/>
          <cell r="H916"/>
          <cell r="I916"/>
          <cell r="J916">
            <v>0</v>
          </cell>
        </row>
        <row r="917">
          <cell r="B917" t="str">
            <v>1.4.01.01.01</v>
          </cell>
          <cell r="C917" t="str">
            <v>Dana Cadangan</v>
          </cell>
          <cell r="D917"/>
          <cell r="E917"/>
          <cell r="F917">
            <v>0</v>
          </cell>
          <cell r="G917">
            <v>0</v>
          </cell>
          <cell r="H917">
            <v>0</v>
          </cell>
          <cell r="I917">
            <v>0</v>
          </cell>
          <cell r="J917">
            <v>0</v>
          </cell>
        </row>
        <row r="918">
          <cell r="B918"/>
          <cell r="C918"/>
          <cell r="D918"/>
          <cell r="E918"/>
          <cell r="F918"/>
          <cell r="G918"/>
          <cell r="H918"/>
          <cell r="I918"/>
          <cell r="J918"/>
        </row>
        <row r="919">
          <cell r="B919" t="str">
            <v>1.4.02</v>
          </cell>
          <cell r="C919" t="str">
            <v>Dana Cadangan untuk Pembayaran Pokok Obligasi</v>
          </cell>
          <cell r="D919">
            <v>0</v>
          </cell>
          <cell r="E919">
            <v>0</v>
          </cell>
          <cell r="F919"/>
          <cell r="G919"/>
          <cell r="H919"/>
          <cell r="I919"/>
          <cell r="J919">
            <v>0</v>
          </cell>
        </row>
        <row r="920">
          <cell r="B920" t="str">
            <v>1.4.02.01</v>
          </cell>
          <cell r="C920" t="str">
            <v>Dana Cadangan untuk Pembayaran Pokok Obligasi</v>
          </cell>
          <cell r="D920">
            <v>0</v>
          </cell>
          <cell r="E920">
            <v>0</v>
          </cell>
          <cell r="F920"/>
          <cell r="G920"/>
          <cell r="H920"/>
          <cell r="I920"/>
          <cell r="J920">
            <v>0</v>
          </cell>
        </row>
        <row r="921">
          <cell r="B921" t="str">
            <v>1.4.02.01.01</v>
          </cell>
          <cell r="C921" t="str">
            <v>Dana Cadangan untuk Pembayaran Pokok Obligasi</v>
          </cell>
          <cell r="D921"/>
          <cell r="E921"/>
          <cell r="F921">
            <v>0</v>
          </cell>
          <cell r="G921">
            <v>0</v>
          </cell>
          <cell r="H921">
            <v>0</v>
          </cell>
          <cell r="I921">
            <v>0</v>
          </cell>
          <cell r="J921">
            <v>0</v>
          </cell>
        </row>
        <row r="922">
          <cell r="B922"/>
          <cell r="C922"/>
          <cell r="D922"/>
          <cell r="E922"/>
          <cell r="F922"/>
          <cell r="G922"/>
          <cell r="H922"/>
          <cell r="I922"/>
          <cell r="J922"/>
        </row>
        <row r="923">
          <cell r="B923" t="str">
            <v>1.4.03</v>
          </cell>
          <cell r="C923" t="str">
            <v>Dana Cadangan untuk Pembayaran Pokok Sukuk</v>
          </cell>
          <cell r="D923">
            <v>0</v>
          </cell>
          <cell r="E923">
            <v>0</v>
          </cell>
          <cell r="F923"/>
          <cell r="G923"/>
          <cell r="H923"/>
          <cell r="I923"/>
          <cell r="J923">
            <v>0</v>
          </cell>
        </row>
        <row r="924">
          <cell r="B924" t="str">
            <v>1.4.03.01</v>
          </cell>
          <cell r="C924" t="str">
            <v>Dana Cadangan untuk Pembayaran Pokok Sukuk</v>
          </cell>
          <cell r="D924">
            <v>0</v>
          </cell>
          <cell r="E924">
            <v>0</v>
          </cell>
          <cell r="F924"/>
          <cell r="G924"/>
          <cell r="H924"/>
          <cell r="I924"/>
          <cell r="J924">
            <v>0</v>
          </cell>
        </row>
        <row r="925">
          <cell r="B925" t="str">
            <v>1.4.03.01.01</v>
          </cell>
          <cell r="C925" t="str">
            <v>Dana Cadangan untuk Pembayaran Pokok Sukuk</v>
          </cell>
          <cell r="D925"/>
          <cell r="E925"/>
          <cell r="F925">
            <v>0</v>
          </cell>
          <cell r="G925">
            <v>0</v>
          </cell>
          <cell r="H925">
            <v>0</v>
          </cell>
          <cell r="I925">
            <v>0</v>
          </cell>
          <cell r="J925">
            <v>0</v>
          </cell>
        </row>
        <row r="926">
          <cell r="B926"/>
          <cell r="C926"/>
          <cell r="D926"/>
          <cell r="E926"/>
          <cell r="F926"/>
          <cell r="G926"/>
          <cell r="H926"/>
          <cell r="I926"/>
          <cell r="J926"/>
        </row>
        <row r="927">
          <cell r="B927" t="str">
            <v>1.5</v>
          </cell>
          <cell r="C927" t="str">
            <v>ASET LAINNYA</v>
          </cell>
          <cell r="D927">
            <v>420263558310.90997</v>
          </cell>
          <cell r="E927">
            <v>52870551157.910004</v>
          </cell>
          <cell r="F927"/>
          <cell r="G927"/>
          <cell r="H927"/>
          <cell r="I927"/>
          <cell r="J927">
            <v>56420773101.410004</v>
          </cell>
        </row>
        <row r="928">
          <cell r="B928" t="str">
            <v>1.5.01</v>
          </cell>
          <cell r="C928" t="str">
            <v>Tagihan Jangka Panjang</v>
          </cell>
          <cell r="D928">
            <v>1834556376.5</v>
          </cell>
          <cell r="E928">
            <v>1179450523.5</v>
          </cell>
          <cell r="F928"/>
          <cell r="G928"/>
          <cell r="H928"/>
          <cell r="I928"/>
          <cell r="J928">
            <v>4588362303</v>
          </cell>
        </row>
        <row r="929">
          <cell r="B929" t="str">
            <v>1.5.01.01</v>
          </cell>
          <cell r="C929" t="str">
            <v>Tagihan Penjualan Angsuran</v>
          </cell>
          <cell r="D929">
            <v>0</v>
          </cell>
          <cell r="E929">
            <v>0</v>
          </cell>
          <cell r="F929"/>
          <cell r="G929"/>
          <cell r="H929"/>
          <cell r="I929"/>
          <cell r="J929">
            <v>0</v>
          </cell>
        </row>
        <row r="930">
          <cell r="B930" t="str">
            <v>1.5.01.01.01</v>
          </cell>
          <cell r="C930" t="str">
            <v>Tagihan Angsuran Penjualan Rumah Negara Golongan III</v>
          </cell>
          <cell r="D930">
            <v>0</v>
          </cell>
          <cell r="E930">
            <v>0</v>
          </cell>
          <cell r="F930">
            <v>0</v>
          </cell>
          <cell r="G930">
            <v>0</v>
          </cell>
          <cell r="H930">
            <v>0</v>
          </cell>
          <cell r="I930">
            <v>0</v>
          </cell>
          <cell r="J930">
            <v>0</v>
          </cell>
        </row>
        <row r="931">
          <cell r="B931" t="str">
            <v>1.5.01.01.02</v>
          </cell>
          <cell r="C931" t="str">
            <v>Tagihan Angsuran Penjualan Kendaraan Perorangan Dinas</v>
          </cell>
          <cell r="D931">
            <v>0</v>
          </cell>
          <cell r="E931">
            <v>0</v>
          </cell>
          <cell r="F931">
            <v>0</v>
          </cell>
          <cell r="G931">
            <v>0</v>
          </cell>
          <cell r="H931">
            <v>0</v>
          </cell>
          <cell r="I931">
            <v>0</v>
          </cell>
          <cell r="J931">
            <v>0</v>
          </cell>
        </row>
        <row r="932">
          <cell r="B932" t="str">
            <v>1.5.01.02</v>
          </cell>
          <cell r="C932" t="str">
            <v>Tuntutan Ganti Kerugian Daerah</v>
          </cell>
          <cell r="D932">
            <v>1834556376.5</v>
          </cell>
          <cell r="E932">
            <v>1179450523.5</v>
          </cell>
          <cell r="F932"/>
          <cell r="G932"/>
          <cell r="H932"/>
          <cell r="I932"/>
          <cell r="J932">
            <v>4588362303</v>
          </cell>
        </row>
        <row r="933">
          <cell r="B933" t="str">
            <v>1.5.01.02.01</v>
          </cell>
          <cell r="C933" t="str">
            <v>Tuntutan Ganti Kerugian Daerah Terhadap Bendahara</v>
          </cell>
          <cell r="D933">
            <v>736674662</v>
          </cell>
          <cell r="E933">
            <v>696710337</v>
          </cell>
          <cell r="F933">
            <v>0</v>
          </cell>
          <cell r="G933">
            <v>0</v>
          </cell>
          <cell r="H933">
            <v>0</v>
          </cell>
          <cell r="I933">
            <v>0</v>
          </cell>
          <cell r="J933">
            <v>696710337</v>
          </cell>
        </row>
        <row r="934">
          <cell r="B934" t="str">
            <v>1.5.01.02.02</v>
          </cell>
          <cell r="C934" t="str">
            <v>Tuntutan Ganti Kerugian Daerah Terhadap Pegawai Negeri Bukan Bendahara atau Pejabat Lain</v>
          </cell>
          <cell r="D934">
            <v>1097881714.5</v>
          </cell>
          <cell r="E934">
            <v>482740186.5</v>
          </cell>
          <cell r="F934">
            <v>3471651966</v>
          </cell>
          <cell r="G934">
            <v>62740186.5</v>
          </cell>
          <cell r="H934">
            <v>0</v>
          </cell>
          <cell r="I934">
            <v>0</v>
          </cell>
          <cell r="J934">
            <v>3891651966</v>
          </cell>
        </row>
        <row r="935">
          <cell r="B935"/>
          <cell r="C935"/>
          <cell r="D935"/>
          <cell r="E935"/>
          <cell r="F935"/>
          <cell r="G935"/>
          <cell r="H935"/>
          <cell r="I935"/>
          <cell r="J935"/>
        </row>
        <row r="936">
          <cell r="B936" t="str">
            <v>1.5.02</v>
          </cell>
          <cell r="C936" t="str">
            <v>Kemitraan dengan Pihak Ketiga</v>
          </cell>
          <cell r="D936">
            <v>386636200</v>
          </cell>
          <cell r="E936">
            <v>386636200</v>
          </cell>
          <cell r="F936"/>
          <cell r="G936"/>
          <cell r="H936"/>
          <cell r="I936"/>
          <cell r="J936">
            <v>386636200</v>
          </cell>
        </row>
        <row r="937">
          <cell r="B937" t="str">
            <v>1.5.02.01</v>
          </cell>
          <cell r="C937" t="str">
            <v>Kemitraan dengan Pihak Ketiga</v>
          </cell>
          <cell r="D937">
            <v>386636200</v>
          </cell>
          <cell r="E937">
            <v>386636200</v>
          </cell>
          <cell r="F937"/>
          <cell r="G937"/>
          <cell r="H937"/>
          <cell r="I937"/>
          <cell r="J937">
            <v>386636200</v>
          </cell>
        </row>
        <row r="938">
          <cell r="B938" t="str">
            <v>1.5.02.01.01</v>
          </cell>
          <cell r="C938" t="str">
            <v>Kemitraan dengan Pihak Ketiga</v>
          </cell>
          <cell r="D938">
            <v>386636200</v>
          </cell>
          <cell r="E938">
            <v>386636200</v>
          </cell>
          <cell r="F938">
            <v>0</v>
          </cell>
          <cell r="G938">
            <v>0</v>
          </cell>
          <cell r="H938">
            <v>0</v>
          </cell>
          <cell r="I938">
            <v>0</v>
          </cell>
          <cell r="J938">
            <v>386636200</v>
          </cell>
        </row>
        <row r="939">
          <cell r="B939"/>
          <cell r="C939"/>
          <cell r="D939"/>
          <cell r="E939"/>
          <cell r="F939"/>
          <cell r="G939"/>
          <cell r="H939"/>
          <cell r="I939"/>
          <cell r="J939"/>
        </row>
        <row r="940">
          <cell r="B940" t="str">
            <v>1.5.03</v>
          </cell>
          <cell r="C940" t="str">
            <v>Aset Tidak Berwujud</v>
          </cell>
          <cell r="D940">
            <v>7365697150</v>
          </cell>
          <cell r="E940">
            <v>9666868150</v>
          </cell>
          <cell r="F940"/>
          <cell r="G940"/>
          <cell r="H940"/>
          <cell r="I940"/>
          <cell r="J940">
            <v>7740897620</v>
          </cell>
        </row>
        <row r="941">
          <cell r="B941" t="str">
            <v>1.5.03.01</v>
          </cell>
          <cell r="C941" t="str">
            <v>Aset Tidak Berwujud</v>
          </cell>
          <cell r="D941">
            <v>7365697150</v>
          </cell>
          <cell r="E941">
            <v>9666868150</v>
          </cell>
          <cell r="F941"/>
          <cell r="G941"/>
          <cell r="H941"/>
          <cell r="I941"/>
          <cell r="J941">
            <v>7740897620</v>
          </cell>
        </row>
        <row r="942">
          <cell r="B942" t="str">
            <v>1.5.03.01.01</v>
          </cell>
          <cell r="C942" t="str">
            <v>Aset Tidak Berwujud</v>
          </cell>
          <cell r="D942">
            <v>7365697150</v>
          </cell>
          <cell r="E942">
            <v>9666868150</v>
          </cell>
          <cell r="F942">
            <v>0</v>
          </cell>
          <cell r="G942">
            <v>299800000</v>
          </cell>
          <cell r="H942">
            <v>493319470</v>
          </cell>
          <cell r="I942">
            <v>2119490000</v>
          </cell>
          <cell r="J942">
            <v>7740897620</v>
          </cell>
        </row>
        <row r="943">
          <cell r="B943" t="str">
            <v>1.5.03.02</v>
          </cell>
          <cell r="C943" t="str">
            <v>Aset Konsesi Jasa Aset Tidak Berwujud</v>
          </cell>
          <cell r="D943">
            <v>0</v>
          </cell>
          <cell r="E943">
            <v>0</v>
          </cell>
          <cell r="F943"/>
          <cell r="G943"/>
          <cell r="H943"/>
          <cell r="I943"/>
          <cell r="J943">
            <v>0</v>
          </cell>
        </row>
        <row r="944">
          <cell r="B944" t="str">
            <v>1.5.03.02.01</v>
          </cell>
          <cell r="C944" t="str">
            <v>Aset Konsesi Jasa Aset Tidak Berwujud yang Disediakan Pemberi Konsesi</v>
          </cell>
          <cell r="D944">
            <v>0</v>
          </cell>
          <cell r="E944">
            <v>0</v>
          </cell>
          <cell r="F944">
            <v>0</v>
          </cell>
          <cell r="G944">
            <v>0</v>
          </cell>
          <cell r="H944">
            <v>0</v>
          </cell>
          <cell r="I944">
            <v>0</v>
          </cell>
          <cell r="J944">
            <v>0</v>
          </cell>
        </row>
        <row r="945">
          <cell r="B945" t="str">
            <v>1.5.03.02.02</v>
          </cell>
          <cell r="C945" t="str">
            <v>Aset Konsesi Jasa Aset Tidak Berwujud yang Disediakan Mitra</v>
          </cell>
          <cell r="D945">
            <v>0</v>
          </cell>
          <cell r="E945">
            <v>0</v>
          </cell>
          <cell r="F945">
            <v>0</v>
          </cell>
          <cell r="G945">
            <v>0</v>
          </cell>
          <cell r="H945">
            <v>0</v>
          </cell>
          <cell r="I945">
            <v>0</v>
          </cell>
          <cell r="J945">
            <v>0</v>
          </cell>
        </row>
        <row r="946">
          <cell r="B946"/>
          <cell r="C946"/>
          <cell r="D946"/>
          <cell r="E946"/>
          <cell r="F946"/>
          <cell r="G946"/>
          <cell r="H946"/>
          <cell r="I946"/>
          <cell r="J946"/>
        </row>
        <row r="947">
          <cell r="B947" t="str">
            <v>1.5.04</v>
          </cell>
          <cell r="C947" t="str">
            <v>Aset Lain-lain</v>
          </cell>
          <cell r="D947">
            <v>25181252921.860001</v>
          </cell>
          <cell r="E947">
            <v>23835039721.860001</v>
          </cell>
          <cell r="F947"/>
          <cell r="G947"/>
          <cell r="H947"/>
          <cell r="I947"/>
          <cell r="J947">
            <v>26225102587.860001</v>
          </cell>
        </row>
        <row r="948">
          <cell r="B948" t="str">
            <v>1.5.04.01</v>
          </cell>
          <cell r="C948" t="str">
            <v>Aset Lain-lain</v>
          </cell>
          <cell r="D948">
            <v>25181252921.860001</v>
          </cell>
          <cell r="E948">
            <v>23835039721.860001</v>
          </cell>
          <cell r="F948"/>
          <cell r="G948"/>
          <cell r="H948"/>
          <cell r="I948"/>
          <cell r="J948">
            <v>26225102587.860001</v>
          </cell>
        </row>
        <row r="949">
          <cell r="B949" t="str">
            <v>1.5.04.01.01</v>
          </cell>
          <cell r="C949" t="str">
            <v>Aset Lain-lain</v>
          </cell>
          <cell r="D949">
            <v>25181252921.860001</v>
          </cell>
          <cell r="E949">
            <v>23835039721.860001</v>
          </cell>
          <cell r="F949">
            <v>4605132288</v>
          </cell>
          <cell r="G949">
            <v>4234770422</v>
          </cell>
          <cell r="H949">
            <v>2019701000</v>
          </cell>
          <cell r="I949">
            <v>0</v>
          </cell>
          <cell r="J949">
            <v>26225102587.860001</v>
          </cell>
        </row>
        <row r="950">
          <cell r="B950"/>
          <cell r="C950"/>
          <cell r="D950"/>
          <cell r="E950"/>
          <cell r="F950"/>
          <cell r="G950"/>
          <cell r="H950"/>
          <cell r="I950"/>
          <cell r="J950"/>
        </row>
        <row r="951">
          <cell r="B951" t="str">
            <v>1.5.05</v>
          </cell>
          <cell r="C951" t="str">
            <v>Akumulasi Amortisasi Aset Tidak Berwujud</v>
          </cell>
          <cell r="D951">
            <v>-6636860602</v>
          </cell>
          <cell r="E951">
            <v>-7204691639</v>
          </cell>
          <cell r="F951"/>
          <cell r="G951"/>
          <cell r="H951"/>
          <cell r="I951"/>
          <cell r="J951">
            <v>-5217070847</v>
          </cell>
        </row>
        <row r="952">
          <cell r="B952" t="str">
            <v>1.5.05.01</v>
          </cell>
          <cell r="C952" t="str">
            <v>Akumulasi Amortisasi Aset Tidak Berwujud</v>
          </cell>
          <cell r="D952">
            <v>-6636860602</v>
          </cell>
          <cell r="E952">
            <v>-7204691639</v>
          </cell>
          <cell r="F952"/>
          <cell r="G952"/>
          <cell r="H952"/>
          <cell r="I952"/>
          <cell r="J952">
            <v>-5217070847</v>
          </cell>
        </row>
        <row r="953">
          <cell r="B953" t="str">
            <v>1.5.05.01.01</v>
          </cell>
          <cell r="C953" t="str">
            <v>Akumulasi Amortisasi Aset Tidak Berwujud</v>
          </cell>
          <cell r="D953">
            <v>-6636860602</v>
          </cell>
          <cell r="E953">
            <v>-7204691639</v>
          </cell>
          <cell r="F953">
            <v>0</v>
          </cell>
          <cell r="G953">
            <v>0</v>
          </cell>
          <cell r="H953">
            <v>1987620792</v>
          </cell>
          <cell r="I953">
            <v>0</v>
          </cell>
          <cell r="J953">
            <v>-5217070847</v>
          </cell>
        </row>
        <row r="954">
          <cell r="B954"/>
          <cell r="C954"/>
          <cell r="D954"/>
          <cell r="E954"/>
          <cell r="F954"/>
          <cell r="G954"/>
          <cell r="H954"/>
          <cell r="I954"/>
          <cell r="J954"/>
        </row>
        <row r="955">
          <cell r="B955" t="str">
            <v>1.5.06</v>
          </cell>
          <cell r="C955" t="str">
            <v>Akumulasi Penyusutan Aset Lainnya</v>
          </cell>
          <cell r="D955">
            <v>-5753062243.4499998</v>
          </cell>
          <cell r="E955">
            <v>-4563791299.4499998</v>
          </cell>
          <cell r="F955"/>
          <cell r="G955"/>
          <cell r="H955"/>
          <cell r="I955"/>
          <cell r="J955">
            <v>-6874194263.4499998</v>
          </cell>
        </row>
        <row r="956">
          <cell r="B956" t="str">
            <v>1.5.06.01</v>
          </cell>
          <cell r="C956" t="str">
            <v>Akumulasi Penyusutan Aset Lainnya</v>
          </cell>
          <cell r="D956">
            <v>-5753062243.4499998</v>
          </cell>
          <cell r="E956">
            <v>-4563791299.4499998</v>
          </cell>
          <cell r="F956"/>
          <cell r="G956"/>
          <cell r="H956"/>
          <cell r="I956"/>
          <cell r="J956">
            <v>-6874194263.4499998</v>
          </cell>
        </row>
        <row r="957">
          <cell r="B957" t="str">
            <v>1.5.06.01.01</v>
          </cell>
          <cell r="C957" t="str">
            <v>Akumulasi Penyusutan Kemitraan dengan Pihak Ketiga</v>
          </cell>
          <cell r="D957">
            <v>0</v>
          </cell>
          <cell r="E957">
            <v>0</v>
          </cell>
          <cell r="F957">
            <v>0</v>
          </cell>
          <cell r="G957">
            <v>0</v>
          </cell>
          <cell r="H957">
            <v>0</v>
          </cell>
          <cell r="I957">
            <v>0</v>
          </cell>
          <cell r="J957">
            <v>0</v>
          </cell>
        </row>
        <row r="958">
          <cell r="B958" t="str">
            <v>1.5.06.01.02</v>
          </cell>
          <cell r="C958" t="str">
            <v>Akumulasi Penyusutan Aset Lain-Lain</v>
          </cell>
          <cell r="D958">
            <v>-5753062243.4499998</v>
          </cell>
          <cell r="E958">
            <v>-4563791299.4499998</v>
          </cell>
          <cell r="F958">
            <v>4167242333</v>
          </cell>
          <cell r="G958">
            <v>4490024505</v>
          </cell>
          <cell r="H958">
            <v>0</v>
          </cell>
          <cell r="I958">
            <v>1987620792</v>
          </cell>
          <cell r="J958">
            <v>-6874194263.4499998</v>
          </cell>
        </row>
        <row r="959">
          <cell r="B959"/>
          <cell r="C959"/>
          <cell r="D959"/>
          <cell r="E959"/>
          <cell r="F959"/>
          <cell r="G959"/>
          <cell r="H959"/>
          <cell r="I959"/>
          <cell r="J959"/>
        </row>
        <row r="960">
          <cell r="B960" t="str">
            <v>1.5.07</v>
          </cell>
          <cell r="C960" t="str">
            <v>Kas yang Dibatasi Penggunaannya</v>
          </cell>
          <cell r="D960">
            <v>397885338508</v>
          </cell>
          <cell r="E960">
            <v>29571039501</v>
          </cell>
          <cell r="F960"/>
          <cell r="G960"/>
          <cell r="H960"/>
          <cell r="I960"/>
          <cell r="J960">
            <v>0</v>
          </cell>
        </row>
        <row r="961">
          <cell r="B961" t="str">
            <v>1.5.07.01</v>
          </cell>
          <cell r="C961" t="str">
            <v>Uang Jaminan dan/atau Titipan Uang Muka</v>
          </cell>
          <cell r="D961">
            <v>397885338508</v>
          </cell>
          <cell r="E961">
            <v>29571039501</v>
          </cell>
          <cell r="F961"/>
          <cell r="G961"/>
          <cell r="H961"/>
          <cell r="I961"/>
          <cell r="J961">
            <v>0</v>
          </cell>
        </row>
        <row r="962">
          <cell r="B962" t="str">
            <v>1.5.07.01.01</v>
          </cell>
          <cell r="C962" t="str">
            <v>Uang Jaminan Pekerjaan</v>
          </cell>
          <cell r="D962">
            <v>397885338508</v>
          </cell>
          <cell r="E962">
            <v>29571039501</v>
          </cell>
          <cell r="F962">
            <v>0</v>
          </cell>
          <cell r="G962">
            <v>0</v>
          </cell>
          <cell r="H962">
            <v>0</v>
          </cell>
          <cell r="I962">
            <v>29571039501</v>
          </cell>
          <cell r="J962">
            <v>0</v>
          </cell>
        </row>
        <row r="963">
          <cell r="B963" t="str">
            <v>1.5.07.01.02</v>
          </cell>
          <cell r="C963" t="str">
            <v>Uang Jaminan Pemeliharaan</v>
          </cell>
          <cell r="D963">
            <v>0</v>
          </cell>
          <cell r="E963">
            <v>0</v>
          </cell>
          <cell r="F963">
            <v>0</v>
          </cell>
          <cell r="G963">
            <v>0</v>
          </cell>
          <cell r="H963">
            <v>0</v>
          </cell>
          <cell r="I963">
            <v>0</v>
          </cell>
          <cell r="J963">
            <v>0</v>
          </cell>
        </row>
        <row r="964">
          <cell r="B964" t="str">
            <v>1.5.07.01.03</v>
          </cell>
          <cell r="C964" t="str">
            <v>Uang Jaminan Bongkar Reklame</v>
          </cell>
          <cell r="D964">
            <v>0</v>
          </cell>
          <cell r="E964">
            <v>0</v>
          </cell>
          <cell r="F964">
            <v>0</v>
          </cell>
          <cell r="G964">
            <v>0</v>
          </cell>
          <cell r="H964">
            <v>0</v>
          </cell>
          <cell r="I964">
            <v>0</v>
          </cell>
          <cell r="J964">
            <v>0</v>
          </cell>
        </row>
        <row r="965">
          <cell r="B965" t="str">
            <v>1.5.07.01.04</v>
          </cell>
          <cell r="C965" t="str">
            <v>Uang Penjaminan Pemulihan Fungsi Lingkungan Hidup</v>
          </cell>
          <cell r="D965">
            <v>0</v>
          </cell>
          <cell r="E965">
            <v>0</v>
          </cell>
          <cell r="F965">
            <v>0</v>
          </cell>
          <cell r="G965">
            <v>0</v>
          </cell>
          <cell r="H965">
            <v>0</v>
          </cell>
          <cell r="I965">
            <v>0</v>
          </cell>
          <cell r="J965">
            <v>0</v>
          </cell>
        </row>
        <row r="966">
          <cell r="B966"/>
          <cell r="C966"/>
          <cell r="D966"/>
          <cell r="E966"/>
          <cell r="F966"/>
          <cell r="G966"/>
          <cell r="H966"/>
          <cell r="I966"/>
          <cell r="J966"/>
        </row>
        <row r="967">
          <cell r="B967" t="str">
            <v>1.5.08</v>
          </cell>
          <cell r="C967" t="str">
            <v>Dana Transfer Treasury Deposit Facility (TDF)</v>
          </cell>
          <cell r="D967">
            <v>0</v>
          </cell>
          <cell r="E967">
            <v>0</v>
          </cell>
          <cell r="F967"/>
          <cell r="G967"/>
          <cell r="H967"/>
          <cell r="I967"/>
          <cell r="J967">
            <v>29571039501</v>
          </cell>
        </row>
        <row r="968">
          <cell r="B968" t="str">
            <v>1.5.08.01</v>
          </cell>
          <cell r="C968" t="str">
            <v>Dana Transfer Treasury Deposit Facility (TDF)</v>
          </cell>
          <cell r="D968">
            <v>0</v>
          </cell>
          <cell r="E968">
            <v>0</v>
          </cell>
          <cell r="F968"/>
          <cell r="G968"/>
          <cell r="H968"/>
          <cell r="I968"/>
          <cell r="J968">
            <v>29571039501</v>
          </cell>
        </row>
        <row r="969">
          <cell r="B969" t="str">
            <v>1.5.08.01.01</v>
          </cell>
          <cell r="C969" t="str">
            <v>Dana Bagi Hasil Treasury Deposit Facility (TDF)</v>
          </cell>
          <cell r="D969">
            <v>0</v>
          </cell>
          <cell r="E969">
            <v>0</v>
          </cell>
          <cell r="F969">
            <v>0</v>
          </cell>
          <cell r="G969">
            <v>0</v>
          </cell>
          <cell r="H969">
            <v>29571039501</v>
          </cell>
          <cell r="I969">
            <v>0</v>
          </cell>
          <cell r="J969">
            <v>29571039501</v>
          </cell>
        </row>
        <row r="970">
          <cell r="B970" t="str">
            <v>1.5.08.01.02</v>
          </cell>
          <cell r="C970" t="str">
            <v>Dana Alokasi Umum Treasury Deposit Facility (TDF)</v>
          </cell>
          <cell r="D970">
            <v>0</v>
          </cell>
          <cell r="E970">
            <v>0</v>
          </cell>
          <cell r="F970">
            <v>0</v>
          </cell>
          <cell r="G970">
            <v>0</v>
          </cell>
          <cell r="H970">
            <v>0</v>
          </cell>
          <cell r="I970">
            <v>0</v>
          </cell>
          <cell r="J970">
            <v>0</v>
          </cell>
        </row>
        <row r="971">
          <cell r="B971"/>
          <cell r="C971"/>
          <cell r="D971"/>
          <cell r="E971"/>
          <cell r="F971"/>
          <cell r="G971"/>
          <cell r="H971"/>
          <cell r="I971"/>
          <cell r="J971"/>
        </row>
        <row r="972">
          <cell r="B972" t="str">
            <v>1.6</v>
          </cell>
          <cell r="C972" t="str">
            <v>PROPERTI INVESTASI</v>
          </cell>
          <cell r="D972">
            <v>11601974174</v>
          </cell>
          <cell r="E972">
            <v>11474872064</v>
          </cell>
          <cell r="F972"/>
          <cell r="G972"/>
          <cell r="H972"/>
          <cell r="I972"/>
          <cell r="J972">
            <v>11474872064</v>
          </cell>
        </row>
        <row r="973">
          <cell r="B973" t="str">
            <v>1.6.01</v>
          </cell>
          <cell r="C973" t="str">
            <v>Properti Investasi Tanah</v>
          </cell>
          <cell r="D973">
            <v>8744896890</v>
          </cell>
          <cell r="E973">
            <v>8744896890</v>
          </cell>
          <cell r="F973"/>
          <cell r="G973"/>
          <cell r="H973"/>
          <cell r="I973"/>
          <cell r="J973">
            <v>8744896890</v>
          </cell>
        </row>
        <row r="974">
          <cell r="B974" t="str">
            <v>1.6.01.01</v>
          </cell>
          <cell r="C974" t="str">
            <v>Properti Investasi Tanah</v>
          </cell>
          <cell r="D974">
            <v>8744896890</v>
          </cell>
          <cell r="E974">
            <v>8744896890</v>
          </cell>
          <cell r="F974"/>
          <cell r="G974"/>
          <cell r="H974"/>
          <cell r="I974"/>
          <cell r="J974">
            <v>8744896890</v>
          </cell>
        </row>
        <row r="975">
          <cell r="B975" t="str">
            <v>1.6.01.01.01</v>
          </cell>
          <cell r="C975" t="str">
            <v>Properti Investasi Tanah</v>
          </cell>
          <cell r="D975">
            <v>8744896890</v>
          </cell>
          <cell r="E975">
            <v>8744896890</v>
          </cell>
          <cell r="F975">
            <v>0</v>
          </cell>
          <cell r="G975">
            <v>0</v>
          </cell>
          <cell r="H975">
            <v>0</v>
          </cell>
          <cell r="I975">
            <v>0</v>
          </cell>
          <cell r="J975">
            <v>8744896890</v>
          </cell>
        </row>
        <row r="976">
          <cell r="B976"/>
          <cell r="C976"/>
          <cell r="D976"/>
          <cell r="E976"/>
          <cell r="F976"/>
          <cell r="G976"/>
          <cell r="H976"/>
          <cell r="I976"/>
          <cell r="J976"/>
        </row>
        <row r="977">
          <cell r="B977" t="str">
            <v>1.6.02</v>
          </cell>
          <cell r="C977" t="str">
            <v>Properti Investasi Gedung dan Bangunan</v>
          </cell>
          <cell r="D977">
            <v>9356973400</v>
          </cell>
          <cell r="E977">
            <v>9356973400</v>
          </cell>
          <cell r="F977"/>
          <cell r="G977"/>
          <cell r="H977"/>
          <cell r="I977"/>
          <cell r="J977">
            <v>9356973400</v>
          </cell>
        </row>
        <row r="978">
          <cell r="B978" t="str">
            <v>1.6.02.01</v>
          </cell>
          <cell r="C978" t="str">
            <v>Properti Investasi Gedung dan Bangunan</v>
          </cell>
          <cell r="D978">
            <v>9356973400</v>
          </cell>
          <cell r="E978">
            <v>9356973400</v>
          </cell>
          <cell r="F978"/>
          <cell r="G978"/>
          <cell r="H978"/>
          <cell r="I978"/>
          <cell r="J978">
            <v>9356973400</v>
          </cell>
        </row>
        <row r="979">
          <cell r="B979" t="str">
            <v>1.6.02.01.01</v>
          </cell>
          <cell r="C979" t="str">
            <v>Properti Investasi Bangunan Gedung</v>
          </cell>
          <cell r="D979">
            <v>9356973400</v>
          </cell>
          <cell r="E979">
            <v>9356973400</v>
          </cell>
          <cell r="F979">
            <v>0</v>
          </cell>
          <cell r="G979">
            <v>0</v>
          </cell>
          <cell r="H979">
            <v>0</v>
          </cell>
          <cell r="I979">
            <v>0</v>
          </cell>
          <cell r="J979">
            <v>9356973400</v>
          </cell>
        </row>
        <row r="980">
          <cell r="B980" t="str">
            <v>1.6.02.01.02</v>
          </cell>
          <cell r="C980" t="str">
            <v>Properti Investasi Monumen</v>
          </cell>
          <cell r="D980">
            <v>0</v>
          </cell>
          <cell r="E980">
            <v>0</v>
          </cell>
          <cell r="F980">
            <v>0</v>
          </cell>
          <cell r="G980">
            <v>0</v>
          </cell>
          <cell r="H980">
            <v>0</v>
          </cell>
          <cell r="I980">
            <v>0</v>
          </cell>
          <cell r="J980">
            <v>0</v>
          </cell>
        </row>
        <row r="981">
          <cell r="B981" t="str">
            <v>1.6.02.01.03</v>
          </cell>
          <cell r="C981" t="str">
            <v>Properti Investasi Bangunan Menara</v>
          </cell>
          <cell r="D981">
            <v>0</v>
          </cell>
          <cell r="E981">
            <v>0</v>
          </cell>
          <cell r="F981">
            <v>0</v>
          </cell>
          <cell r="G981">
            <v>0</v>
          </cell>
          <cell r="H981">
            <v>0</v>
          </cell>
          <cell r="I981">
            <v>0</v>
          </cell>
          <cell r="J981">
            <v>0</v>
          </cell>
        </row>
        <row r="982">
          <cell r="B982" t="str">
            <v>1.6.02.01.04</v>
          </cell>
          <cell r="C982" t="str">
            <v>Properti Investasi Tugu Titik Kontrol/Pasti</v>
          </cell>
          <cell r="D982">
            <v>0</v>
          </cell>
          <cell r="E982">
            <v>0</v>
          </cell>
          <cell r="F982">
            <v>0</v>
          </cell>
          <cell r="G982">
            <v>0</v>
          </cell>
          <cell r="H982">
            <v>0</v>
          </cell>
          <cell r="I982">
            <v>0</v>
          </cell>
          <cell r="J982">
            <v>0</v>
          </cell>
        </row>
        <row r="983">
          <cell r="B983"/>
          <cell r="C983"/>
          <cell r="D983"/>
          <cell r="E983"/>
          <cell r="F983"/>
          <cell r="G983"/>
          <cell r="H983"/>
          <cell r="I983"/>
          <cell r="J983"/>
        </row>
        <row r="984">
          <cell r="B984" t="str">
            <v>1.6.03</v>
          </cell>
          <cell r="C984" t="str">
            <v>Konstruksi Dalam Pengerjaan Properti Investasi</v>
          </cell>
          <cell r="D984">
            <v>0</v>
          </cell>
          <cell r="E984">
            <v>0</v>
          </cell>
          <cell r="F984"/>
          <cell r="G984"/>
          <cell r="H984"/>
          <cell r="I984"/>
          <cell r="J984">
            <v>0</v>
          </cell>
        </row>
        <row r="985">
          <cell r="B985" t="str">
            <v>1.6.03.01</v>
          </cell>
          <cell r="C985" t="str">
            <v>Konstruksi Dalam Pengerjaan Properti Investasi Gedung dan Bangunan</v>
          </cell>
          <cell r="D985">
            <v>0</v>
          </cell>
          <cell r="E985">
            <v>0</v>
          </cell>
          <cell r="F985"/>
          <cell r="G985"/>
          <cell r="H985"/>
          <cell r="I985"/>
          <cell r="J985">
            <v>0</v>
          </cell>
        </row>
        <row r="986">
          <cell r="B986" t="str">
            <v>1.6.03.01.01</v>
          </cell>
          <cell r="C986" t="str">
            <v>Konstruksi Dalam Pengerjaan Properti Investasi Gedung dan Bangunan</v>
          </cell>
          <cell r="D986">
            <v>0</v>
          </cell>
          <cell r="E986">
            <v>0</v>
          </cell>
          <cell r="F986">
            <v>0</v>
          </cell>
          <cell r="G986">
            <v>0</v>
          </cell>
          <cell r="H986">
            <v>0</v>
          </cell>
          <cell r="I986">
            <v>0</v>
          </cell>
          <cell r="J986">
            <v>0</v>
          </cell>
        </row>
        <row r="987">
          <cell r="B987"/>
          <cell r="C987"/>
          <cell r="D987"/>
          <cell r="E987"/>
          <cell r="F987"/>
          <cell r="G987"/>
          <cell r="H987"/>
          <cell r="I987"/>
          <cell r="J987"/>
        </row>
        <row r="988">
          <cell r="B988" t="str">
            <v>1.6.04</v>
          </cell>
          <cell r="C988" t="str">
            <v>Akumulasi Penyusutan Properti Investasi</v>
          </cell>
          <cell r="D988">
            <v>-6499896116</v>
          </cell>
          <cell r="E988">
            <v>-6626998226</v>
          </cell>
          <cell r="F988"/>
          <cell r="G988"/>
          <cell r="H988"/>
          <cell r="I988"/>
          <cell r="J988">
            <v>-6626998226</v>
          </cell>
        </row>
        <row r="989">
          <cell r="B989" t="str">
            <v>1.6.04.01</v>
          </cell>
          <cell r="C989" t="str">
            <v>Akumulasi Penyusutan Properti Investasi Gedung dan Bangunan</v>
          </cell>
          <cell r="D989">
            <v>-6499896116</v>
          </cell>
          <cell r="E989">
            <v>-6626998226</v>
          </cell>
          <cell r="F989"/>
          <cell r="G989"/>
          <cell r="H989"/>
          <cell r="I989"/>
          <cell r="J989">
            <v>-6626998226</v>
          </cell>
        </row>
        <row r="990">
          <cell r="B990" t="str">
            <v>1.6.04.01.01</v>
          </cell>
          <cell r="C990" t="str">
            <v>Akumulasi Penyusutan Properti Investasi Bangunan Gedung</v>
          </cell>
          <cell r="D990">
            <v>-6499896116</v>
          </cell>
          <cell r="E990">
            <v>-6626998226</v>
          </cell>
          <cell r="F990">
            <v>0</v>
          </cell>
          <cell r="G990">
            <v>0</v>
          </cell>
          <cell r="H990">
            <v>0</v>
          </cell>
          <cell r="I990">
            <v>0</v>
          </cell>
          <cell r="J990">
            <v>-6626998226</v>
          </cell>
        </row>
        <row r="991">
          <cell r="B991" t="str">
            <v>1.6.04.01.02</v>
          </cell>
          <cell r="C991" t="str">
            <v>Akumulasi Penyusutan Properti Investasi Monumen</v>
          </cell>
          <cell r="D991">
            <v>0</v>
          </cell>
          <cell r="E991">
            <v>0</v>
          </cell>
          <cell r="F991">
            <v>0</v>
          </cell>
          <cell r="G991">
            <v>0</v>
          </cell>
          <cell r="H991">
            <v>0</v>
          </cell>
          <cell r="I991">
            <v>0</v>
          </cell>
          <cell r="J991">
            <v>0</v>
          </cell>
        </row>
        <row r="992">
          <cell r="B992" t="str">
            <v>1.6.04.01.03</v>
          </cell>
          <cell r="C992" t="str">
            <v>Akumulasi Penyusutan Properti Investasi Bangunan Menara</v>
          </cell>
          <cell r="D992">
            <v>0</v>
          </cell>
          <cell r="E992">
            <v>0</v>
          </cell>
          <cell r="F992">
            <v>0</v>
          </cell>
          <cell r="G992">
            <v>0</v>
          </cell>
          <cell r="H992">
            <v>0</v>
          </cell>
          <cell r="I992">
            <v>0</v>
          </cell>
          <cell r="J992">
            <v>0</v>
          </cell>
        </row>
        <row r="993">
          <cell r="B993" t="str">
            <v>1.6.04.01.04</v>
          </cell>
          <cell r="C993" t="str">
            <v>Akumulasi Penyusutan Properti Investasi Tugu Titik Kontrol/Pasti</v>
          </cell>
          <cell r="D993">
            <v>0</v>
          </cell>
          <cell r="E993">
            <v>0</v>
          </cell>
          <cell r="F993">
            <v>0</v>
          </cell>
          <cell r="G993">
            <v>0</v>
          </cell>
          <cell r="H993">
            <v>0</v>
          </cell>
          <cell r="I993">
            <v>0</v>
          </cell>
          <cell r="J993">
            <v>0</v>
          </cell>
        </row>
        <row r="994">
          <cell r="B994" t="str">
            <v>NERACA</v>
          </cell>
          <cell r="C994" t="str">
            <v>JUMLAH ASET</v>
          </cell>
          <cell r="D994" t="str">
            <v>3.885.138.522.578,63</v>
          </cell>
          <cell r="E994" t="str">
            <v>4.606.378.534.965,56</v>
          </cell>
          <cell r="F994"/>
          <cell r="G994"/>
          <cell r="H994"/>
          <cell r="I994"/>
          <cell r="J994" t="str">
            <v>4.620.786.094.575,63</v>
          </cell>
        </row>
        <row r="995">
          <cell r="B995"/>
          <cell r="C995"/>
          <cell r="D995"/>
          <cell r="E995"/>
          <cell r="F995"/>
          <cell r="G995"/>
          <cell r="H995"/>
          <cell r="I995"/>
          <cell r="J995"/>
        </row>
        <row r="996">
          <cell r="B996" t="str">
            <v>2</v>
          </cell>
          <cell r="C996" t="str">
            <v>KEWAJIBAN</v>
          </cell>
          <cell r="D996">
            <v>43663578854.300003</v>
          </cell>
          <cell r="E996">
            <v>14622451328.030001</v>
          </cell>
          <cell r="F996"/>
          <cell r="G996"/>
          <cell r="H996"/>
          <cell r="I996"/>
          <cell r="J996">
            <v>14617941328.030001</v>
          </cell>
        </row>
        <row r="997">
          <cell r="B997" t="str">
            <v>2.1</v>
          </cell>
          <cell r="C997" t="str">
            <v>KEWAJIBAN JANGKA PENDEK</v>
          </cell>
          <cell r="D997">
            <v>43663578854.300003</v>
          </cell>
          <cell r="E997">
            <v>14622451328.030001</v>
          </cell>
          <cell r="F997"/>
          <cell r="G997"/>
          <cell r="H997"/>
          <cell r="I997"/>
          <cell r="J997">
            <v>14617941328.030001</v>
          </cell>
        </row>
        <row r="998">
          <cell r="B998" t="str">
            <v>2.1.01</v>
          </cell>
          <cell r="C998" t="str">
            <v>Utang Perhitungan Pihak Ketiga (PFK)</v>
          </cell>
          <cell r="D998">
            <v>65000</v>
          </cell>
          <cell r="E998">
            <v>0</v>
          </cell>
          <cell r="F998"/>
          <cell r="G998"/>
          <cell r="H998"/>
          <cell r="I998"/>
          <cell r="J998">
            <v>0</v>
          </cell>
        </row>
        <row r="999">
          <cell r="B999" t="str">
            <v>2.1.01.01</v>
          </cell>
          <cell r="C999" t="str">
            <v>Utang Taspen</v>
          </cell>
          <cell r="D999">
            <v>0</v>
          </cell>
          <cell r="E999">
            <v>0</v>
          </cell>
          <cell r="F999"/>
          <cell r="G999"/>
          <cell r="H999"/>
          <cell r="I999"/>
          <cell r="J999">
            <v>0</v>
          </cell>
        </row>
        <row r="1000">
          <cell r="B1000" t="str">
            <v>2.1.01.01.01</v>
          </cell>
          <cell r="C1000" t="str">
            <v>Utang Taspen</v>
          </cell>
          <cell r="D1000"/>
          <cell r="E1000"/>
          <cell r="F1000">
            <v>0</v>
          </cell>
          <cell r="G1000">
            <v>0</v>
          </cell>
          <cell r="H1000">
            <v>0</v>
          </cell>
          <cell r="I1000">
            <v>0</v>
          </cell>
          <cell r="J1000">
            <v>0</v>
          </cell>
        </row>
        <row r="1001">
          <cell r="B1001" t="str">
            <v>2.1.01.02</v>
          </cell>
          <cell r="C1001" t="str">
            <v>Utang Iuran Jaminan Kesehatan</v>
          </cell>
          <cell r="D1001">
            <v>0</v>
          </cell>
          <cell r="E1001">
            <v>0</v>
          </cell>
          <cell r="F1001"/>
          <cell r="G1001"/>
          <cell r="H1001"/>
          <cell r="I1001"/>
          <cell r="J1001">
            <v>0</v>
          </cell>
        </row>
        <row r="1002">
          <cell r="B1002" t="str">
            <v>2.1.01.02.01</v>
          </cell>
          <cell r="C1002" t="str">
            <v>Utang Iuran Jaminan Kesehatan</v>
          </cell>
          <cell r="D1002"/>
          <cell r="E1002"/>
          <cell r="F1002">
            <v>0</v>
          </cell>
          <cell r="G1002">
            <v>0</v>
          </cell>
          <cell r="H1002">
            <v>0</v>
          </cell>
          <cell r="I1002">
            <v>0</v>
          </cell>
          <cell r="J1002">
            <v>0</v>
          </cell>
        </row>
        <row r="1003">
          <cell r="B1003" t="str">
            <v>2.1.01.03</v>
          </cell>
          <cell r="C1003" t="str">
            <v>Utang Iuran Jaminan Kecelakaan Kerja</v>
          </cell>
          <cell r="D1003">
            <v>0</v>
          </cell>
          <cell r="E1003">
            <v>0</v>
          </cell>
          <cell r="F1003"/>
          <cell r="G1003"/>
          <cell r="H1003"/>
          <cell r="I1003"/>
          <cell r="J1003">
            <v>0</v>
          </cell>
        </row>
        <row r="1004">
          <cell r="B1004" t="str">
            <v>2.1.01.03.01</v>
          </cell>
          <cell r="C1004" t="str">
            <v>Utang Iuran Jaminan Kecelakaan Kerja</v>
          </cell>
          <cell r="D1004"/>
          <cell r="E1004"/>
          <cell r="F1004">
            <v>0</v>
          </cell>
          <cell r="G1004">
            <v>0</v>
          </cell>
          <cell r="H1004">
            <v>0</v>
          </cell>
          <cell r="I1004">
            <v>0</v>
          </cell>
          <cell r="J1004">
            <v>0</v>
          </cell>
        </row>
        <row r="1005">
          <cell r="B1005" t="str">
            <v>2.1.01.04</v>
          </cell>
          <cell r="C1005" t="str">
            <v>Utang Iuran Jaminan Kematian</v>
          </cell>
          <cell r="D1005">
            <v>0</v>
          </cell>
          <cell r="E1005">
            <v>0</v>
          </cell>
          <cell r="F1005"/>
          <cell r="G1005"/>
          <cell r="H1005"/>
          <cell r="I1005"/>
          <cell r="J1005">
            <v>0</v>
          </cell>
        </row>
        <row r="1006">
          <cell r="B1006" t="str">
            <v>2.1.01.04.01</v>
          </cell>
          <cell r="C1006" t="str">
            <v>Utang Iuran Jaminan Kematian</v>
          </cell>
          <cell r="D1006"/>
          <cell r="E1006"/>
          <cell r="F1006">
            <v>0</v>
          </cell>
          <cell r="G1006">
            <v>0</v>
          </cell>
          <cell r="H1006">
            <v>0</v>
          </cell>
          <cell r="I1006">
            <v>0</v>
          </cell>
          <cell r="J1006">
            <v>0</v>
          </cell>
        </row>
        <row r="1007">
          <cell r="B1007" t="str">
            <v>2.1.01.05</v>
          </cell>
          <cell r="C1007" t="str">
            <v>Utang PPh Pusat</v>
          </cell>
          <cell r="D1007">
            <v>10000</v>
          </cell>
          <cell r="E1007">
            <v>0</v>
          </cell>
          <cell r="F1007"/>
          <cell r="G1007"/>
          <cell r="H1007"/>
          <cell r="I1007"/>
          <cell r="J1007">
            <v>0</v>
          </cell>
        </row>
        <row r="1008">
          <cell r="B1008" t="str">
            <v>2.1.01.05.01</v>
          </cell>
          <cell r="C1008" t="str">
            <v>Utang PPh 21</v>
          </cell>
          <cell r="D1008"/>
          <cell r="E1008"/>
          <cell r="F1008">
            <v>0</v>
          </cell>
          <cell r="G1008">
            <v>0</v>
          </cell>
          <cell r="H1008">
            <v>0</v>
          </cell>
          <cell r="I1008">
            <v>0</v>
          </cell>
          <cell r="J1008">
            <v>0</v>
          </cell>
        </row>
        <row r="1009">
          <cell r="B1009" t="str">
            <v>2.1.01.05.02</v>
          </cell>
          <cell r="C1009" t="str">
            <v>Utang PPh 22</v>
          </cell>
          <cell r="D1009"/>
          <cell r="E1009"/>
          <cell r="F1009">
            <v>0</v>
          </cell>
          <cell r="G1009">
            <v>0</v>
          </cell>
          <cell r="H1009">
            <v>0</v>
          </cell>
          <cell r="I1009">
            <v>0</v>
          </cell>
          <cell r="J1009">
            <v>0</v>
          </cell>
        </row>
        <row r="1010">
          <cell r="B1010" t="str">
            <v>2.1.01.05.03</v>
          </cell>
          <cell r="C1010" t="str">
            <v>Utang PPh 23</v>
          </cell>
          <cell r="D1010">
            <v>10000</v>
          </cell>
          <cell r="E1010"/>
          <cell r="F1010">
            <v>0</v>
          </cell>
          <cell r="G1010">
            <v>0</v>
          </cell>
          <cell r="H1010">
            <v>0</v>
          </cell>
          <cell r="I1010">
            <v>0</v>
          </cell>
          <cell r="J1010">
            <v>0</v>
          </cell>
        </row>
        <row r="1011">
          <cell r="B1011" t="str">
            <v>2.1.01.05.04</v>
          </cell>
          <cell r="C1011" t="str">
            <v>Utang PPh 25</v>
          </cell>
          <cell r="D1011"/>
          <cell r="E1011"/>
          <cell r="F1011">
            <v>0</v>
          </cell>
          <cell r="G1011">
            <v>0</v>
          </cell>
          <cell r="H1011">
            <v>0</v>
          </cell>
          <cell r="I1011">
            <v>0</v>
          </cell>
          <cell r="J1011">
            <v>0</v>
          </cell>
        </row>
        <row r="1012">
          <cell r="B1012" t="str">
            <v>2.1.01.05.05</v>
          </cell>
          <cell r="C1012" t="str">
            <v>Utang PPh Pasal 4 ayat (2)</v>
          </cell>
          <cell r="D1012"/>
          <cell r="E1012"/>
          <cell r="F1012">
            <v>0</v>
          </cell>
          <cell r="G1012">
            <v>0</v>
          </cell>
          <cell r="H1012">
            <v>0</v>
          </cell>
          <cell r="I1012">
            <v>0</v>
          </cell>
          <cell r="J1012">
            <v>0</v>
          </cell>
        </row>
        <row r="1013">
          <cell r="B1013" t="str">
            <v>2.1.01.05.06</v>
          </cell>
          <cell r="C1013" t="str">
            <v>Utang PPh Pasal 15</v>
          </cell>
          <cell r="D1013"/>
          <cell r="E1013"/>
          <cell r="F1013">
            <v>0</v>
          </cell>
          <cell r="G1013">
            <v>0</v>
          </cell>
          <cell r="H1013">
            <v>0</v>
          </cell>
          <cell r="I1013">
            <v>0</v>
          </cell>
          <cell r="J1013">
            <v>0</v>
          </cell>
        </row>
        <row r="1014">
          <cell r="B1014" t="str">
            <v>2.1.01.05.07</v>
          </cell>
          <cell r="C1014" t="str">
            <v>Utang PPh Pasal 26</v>
          </cell>
          <cell r="D1014"/>
          <cell r="E1014"/>
          <cell r="F1014">
            <v>0</v>
          </cell>
          <cell r="G1014">
            <v>0</v>
          </cell>
          <cell r="H1014">
            <v>0</v>
          </cell>
          <cell r="I1014">
            <v>0</v>
          </cell>
          <cell r="J1014">
            <v>0</v>
          </cell>
        </row>
        <row r="1015">
          <cell r="B1015" t="str">
            <v>2.1.01.06</v>
          </cell>
          <cell r="C1015" t="str">
            <v>Utang PPN Pusat</v>
          </cell>
          <cell r="D1015">
            <v>55000</v>
          </cell>
          <cell r="E1015">
            <v>0</v>
          </cell>
          <cell r="F1015"/>
          <cell r="G1015"/>
          <cell r="H1015"/>
          <cell r="I1015"/>
          <cell r="J1015">
            <v>0</v>
          </cell>
        </row>
        <row r="1016">
          <cell r="B1016" t="str">
            <v>2.1.01.06.01</v>
          </cell>
          <cell r="C1016" t="str">
            <v>Utang PPN Pusat</v>
          </cell>
          <cell r="D1016">
            <v>55000</v>
          </cell>
          <cell r="E1016"/>
          <cell r="F1016">
            <v>0</v>
          </cell>
          <cell r="G1016">
            <v>0</v>
          </cell>
          <cell r="H1016">
            <v>0</v>
          </cell>
          <cell r="I1016">
            <v>0</v>
          </cell>
          <cell r="J1016">
            <v>0</v>
          </cell>
        </row>
        <row r="1017">
          <cell r="B1017" t="str">
            <v>2.1.01.07</v>
          </cell>
          <cell r="C1017" t="str">
            <v>Utang Taperum</v>
          </cell>
          <cell r="D1017">
            <v>0</v>
          </cell>
          <cell r="E1017">
            <v>0</v>
          </cell>
          <cell r="F1017"/>
          <cell r="G1017"/>
          <cell r="H1017"/>
          <cell r="I1017"/>
          <cell r="J1017">
            <v>0</v>
          </cell>
        </row>
        <row r="1018">
          <cell r="B1018" t="str">
            <v>2.1.01.07.01</v>
          </cell>
          <cell r="C1018" t="str">
            <v>Utang Taperum</v>
          </cell>
          <cell r="D1018"/>
          <cell r="E1018"/>
          <cell r="F1018">
            <v>0</v>
          </cell>
          <cell r="G1018">
            <v>0</v>
          </cell>
          <cell r="H1018">
            <v>0</v>
          </cell>
          <cell r="I1018">
            <v>0</v>
          </cell>
          <cell r="J1018">
            <v>0</v>
          </cell>
        </row>
        <row r="1019">
          <cell r="B1019" t="str">
            <v>2.1.01.08</v>
          </cell>
          <cell r="C1019" t="str">
            <v>Utang Iuran Wajib Pegawai</v>
          </cell>
          <cell r="D1019">
            <v>0</v>
          </cell>
          <cell r="E1019">
            <v>0</v>
          </cell>
          <cell r="F1019"/>
          <cell r="G1019"/>
          <cell r="H1019"/>
          <cell r="I1019"/>
          <cell r="J1019">
            <v>0</v>
          </cell>
        </row>
        <row r="1020">
          <cell r="B1020" t="str">
            <v>2.1.01.08.01</v>
          </cell>
          <cell r="C1020" t="str">
            <v>Utang Iuran Wajib Pegawai</v>
          </cell>
          <cell r="D1020"/>
          <cell r="E1020"/>
          <cell r="F1020">
            <v>0</v>
          </cell>
          <cell r="G1020">
            <v>0</v>
          </cell>
          <cell r="H1020">
            <v>0</v>
          </cell>
          <cell r="I1020">
            <v>0</v>
          </cell>
          <cell r="J1020">
            <v>0</v>
          </cell>
        </row>
        <row r="1021">
          <cell r="B1021"/>
          <cell r="C1021"/>
          <cell r="D1021"/>
          <cell r="E1021"/>
          <cell r="F1021"/>
          <cell r="G1021"/>
          <cell r="H1021"/>
          <cell r="I1021"/>
          <cell r="J1021"/>
        </row>
        <row r="1022">
          <cell r="B1022" t="str">
            <v>2.1.02</v>
          </cell>
          <cell r="C1022" t="str">
            <v>Utang Bunga</v>
          </cell>
          <cell r="D1022">
            <v>0</v>
          </cell>
          <cell r="E1022">
            <v>0</v>
          </cell>
          <cell r="F1022"/>
          <cell r="G1022"/>
          <cell r="H1022"/>
          <cell r="I1022"/>
          <cell r="J1022">
            <v>0</v>
          </cell>
        </row>
        <row r="1023">
          <cell r="B1023" t="str">
            <v>2.1.02.01</v>
          </cell>
          <cell r="C1023" t="str">
            <v>Utang Bunga kepada Pemerintah Pusat</v>
          </cell>
          <cell r="D1023">
            <v>0</v>
          </cell>
          <cell r="E1023">
            <v>0</v>
          </cell>
          <cell r="F1023"/>
          <cell r="G1023"/>
          <cell r="H1023"/>
          <cell r="I1023"/>
          <cell r="J1023">
            <v>0</v>
          </cell>
        </row>
        <row r="1024">
          <cell r="B1024" t="str">
            <v>2.1.02.01.01</v>
          </cell>
          <cell r="C1024" t="str">
            <v>Utang Bunga Penerusan Pinjaman Dalam Negeri-Jangka Menengah</v>
          </cell>
          <cell r="D1024"/>
          <cell r="E1024"/>
          <cell r="F1024">
            <v>0</v>
          </cell>
          <cell r="G1024">
            <v>0</v>
          </cell>
          <cell r="H1024">
            <v>0</v>
          </cell>
          <cell r="I1024">
            <v>0</v>
          </cell>
          <cell r="J1024">
            <v>0</v>
          </cell>
        </row>
        <row r="1025">
          <cell r="B1025" t="str">
            <v>2.1.02.01.02</v>
          </cell>
          <cell r="C1025" t="str">
            <v>Utang Bunga Penerusan Pinjaman Dalam Negeri-Jangka Panjang</v>
          </cell>
          <cell r="D1025"/>
          <cell r="E1025"/>
          <cell r="F1025">
            <v>0</v>
          </cell>
          <cell r="G1025">
            <v>0</v>
          </cell>
          <cell r="H1025">
            <v>0</v>
          </cell>
          <cell r="I1025">
            <v>0</v>
          </cell>
          <cell r="J1025">
            <v>0</v>
          </cell>
        </row>
        <row r="1026">
          <cell r="B1026" t="str">
            <v>2.1.02.01.03</v>
          </cell>
          <cell r="C1026" t="str">
            <v>Utang Bunga Penerusan Pinjaman Luar Negeri Negeri-Jangka Menengah</v>
          </cell>
          <cell r="D1026"/>
          <cell r="E1026"/>
          <cell r="F1026">
            <v>0</v>
          </cell>
          <cell r="G1026">
            <v>0</v>
          </cell>
          <cell r="H1026">
            <v>0</v>
          </cell>
          <cell r="I1026">
            <v>0</v>
          </cell>
          <cell r="J1026">
            <v>0</v>
          </cell>
        </row>
        <row r="1027">
          <cell r="B1027" t="str">
            <v>2.1.02.01.04</v>
          </cell>
          <cell r="C1027" t="str">
            <v>Utang Bunga Penerusan Pinjaman Luar Negeri Negeri-Jangka Panjang</v>
          </cell>
          <cell r="D1027"/>
          <cell r="E1027"/>
          <cell r="F1027">
            <v>0</v>
          </cell>
          <cell r="G1027">
            <v>0</v>
          </cell>
          <cell r="H1027">
            <v>0</v>
          </cell>
          <cell r="I1027">
            <v>0</v>
          </cell>
          <cell r="J1027">
            <v>0</v>
          </cell>
        </row>
        <row r="1028">
          <cell r="B1028" t="str">
            <v>2.1.02.01.05</v>
          </cell>
          <cell r="C1028" t="str">
            <v>Utang Bunga Sumber Lainnya sesuai Ketentuan Peraturan Perundang-Undangan-Jangka Menengah</v>
          </cell>
          <cell r="D1028"/>
          <cell r="E1028"/>
          <cell r="F1028">
            <v>0</v>
          </cell>
          <cell r="G1028">
            <v>0</v>
          </cell>
          <cell r="H1028">
            <v>0</v>
          </cell>
          <cell r="I1028">
            <v>0</v>
          </cell>
          <cell r="J1028">
            <v>0</v>
          </cell>
        </row>
        <row r="1029">
          <cell r="B1029" t="str">
            <v>2.1.02.01.06</v>
          </cell>
          <cell r="C1029" t="str">
            <v>Utang Bunga Sumber Lainnya sesuai Ketentuan Peraturan Perundang-Undangan-Jangka Panjang</v>
          </cell>
          <cell r="D1029"/>
          <cell r="E1029"/>
          <cell r="F1029">
            <v>0</v>
          </cell>
          <cell r="G1029">
            <v>0</v>
          </cell>
          <cell r="H1029">
            <v>0</v>
          </cell>
          <cell r="I1029">
            <v>0</v>
          </cell>
          <cell r="J1029">
            <v>0</v>
          </cell>
        </row>
        <row r="1030">
          <cell r="B1030" t="str">
            <v>2.1.02.02</v>
          </cell>
          <cell r="C1030" t="str">
            <v>Utang Bunga kepada Pemerintah Daerah Lain</v>
          </cell>
          <cell r="D1030">
            <v>0</v>
          </cell>
          <cell r="E1030">
            <v>0</v>
          </cell>
          <cell r="F1030"/>
          <cell r="G1030"/>
          <cell r="H1030"/>
          <cell r="I1030"/>
          <cell r="J1030">
            <v>0</v>
          </cell>
        </row>
        <row r="1031">
          <cell r="B1031" t="str">
            <v>2.1.02.02.01</v>
          </cell>
          <cell r="C1031" t="str">
            <v>Utang Bunga kepada Pemerintah Daerah Lain-Jangka Pendek</v>
          </cell>
          <cell r="D1031"/>
          <cell r="E1031"/>
          <cell r="F1031">
            <v>0</v>
          </cell>
          <cell r="G1031">
            <v>0</v>
          </cell>
          <cell r="H1031">
            <v>0</v>
          </cell>
          <cell r="I1031">
            <v>0</v>
          </cell>
          <cell r="J1031">
            <v>0</v>
          </cell>
        </row>
        <row r="1032">
          <cell r="B1032" t="str">
            <v>2.1.02.03</v>
          </cell>
          <cell r="C1032" t="str">
            <v>Utang Bunga kepada Lembaga Keuangan Bank (LKB)</v>
          </cell>
          <cell r="D1032">
            <v>0</v>
          </cell>
          <cell r="E1032">
            <v>0</v>
          </cell>
          <cell r="F1032"/>
          <cell r="G1032"/>
          <cell r="H1032"/>
          <cell r="I1032"/>
          <cell r="J1032">
            <v>0</v>
          </cell>
        </row>
        <row r="1033">
          <cell r="B1033" t="str">
            <v>2.1.02.03.01</v>
          </cell>
          <cell r="C1033" t="str">
            <v>Utang Bunga kepada Lembaga Keuangan Bank (LKB)-BUMN-Jangka Pendek</v>
          </cell>
          <cell r="D1033"/>
          <cell r="E1033"/>
          <cell r="F1033">
            <v>0</v>
          </cell>
          <cell r="G1033">
            <v>0</v>
          </cell>
          <cell r="H1033">
            <v>0</v>
          </cell>
          <cell r="I1033">
            <v>0</v>
          </cell>
          <cell r="J1033">
            <v>0</v>
          </cell>
        </row>
        <row r="1034">
          <cell r="B1034" t="str">
            <v>2.1.02.03.02</v>
          </cell>
          <cell r="C1034" t="str">
            <v>Utang Bunga kepada Lembaga Keuangan Bank (LKB)-BUMN-Jangka Menengah</v>
          </cell>
          <cell r="D1034"/>
          <cell r="E1034"/>
          <cell r="F1034">
            <v>0</v>
          </cell>
          <cell r="G1034">
            <v>0</v>
          </cell>
          <cell r="H1034">
            <v>0</v>
          </cell>
          <cell r="I1034">
            <v>0</v>
          </cell>
          <cell r="J1034">
            <v>0</v>
          </cell>
        </row>
        <row r="1035">
          <cell r="B1035" t="str">
            <v>2.1.02.03.03</v>
          </cell>
          <cell r="C1035" t="str">
            <v>Utang Bunga kepada Lembaga Keuangan Bank (LKB)-BUMN-Jangka Panjang</v>
          </cell>
          <cell r="D1035"/>
          <cell r="E1035"/>
          <cell r="F1035">
            <v>0</v>
          </cell>
          <cell r="G1035">
            <v>0</v>
          </cell>
          <cell r="H1035">
            <v>0</v>
          </cell>
          <cell r="I1035">
            <v>0</v>
          </cell>
          <cell r="J1035">
            <v>0</v>
          </cell>
        </row>
        <row r="1036">
          <cell r="B1036" t="str">
            <v>2.1.02.03.04</v>
          </cell>
          <cell r="C1036" t="str">
            <v>Utang Bunga kepada Lembaga Keuangan Bank (LKB)-BUMD-Jangka Pendek</v>
          </cell>
          <cell r="D1036"/>
          <cell r="E1036"/>
          <cell r="F1036">
            <v>0</v>
          </cell>
          <cell r="G1036">
            <v>0</v>
          </cell>
          <cell r="H1036">
            <v>0</v>
          </cell>
          <cell r="I1036">
            <v>0</v>
          </cell>
          <cell r="J1036">
            <v>0</v>
          </cell>
        </row>
        <row r="1037">
          <cell r="B1037" t="str">
            <v>2.1.02.03.05</v>
          </cell>
          <cell r="C1037" t="str">
            <v>Utang Bunga kepada Lembaga Keuangan Bank (LKB)-BUMD-Jangka Menengah</v>
          </cell>
          <cell r="D1037"/>
          <cell r="E1037"/>
          <cell r="F1037">
            <v>0</v>
          </cell>
          <cell r="G1037">
            <v>0</v>
          </cell>
          <cell r="H1037">
            <v>0</v>
          </cell>
          <cell r="I1037">
            <v>0</v>
          </cell>
          <cell r="J1037">
            <v>0</v>
          </cell>
        </row>
        <row r="1038">
          <cell r="B1038" t="str">
            <v>2.1.02.03.06</v>
          </cell>
          <cell r="C1038" t="str">
            <v>Utang Bunga kepada Lembaga Keuangan Bank (LKB)-BUMD-Jangka Panjang</v>
          </cell>
          <cell r="D1038"/>
          <cell r="E1038"/>
          <cell r="F1038">
            <v>0</v>
          </cell>
          <cell r="G1038">
            <v>0</v>
          </cell>
          <cell r="H1038">
            <v>0</v>
          </cell>
          <cell r="I1038">
            <v>0</v>
          </cell>
          <cell r="J1038">
            <v>0</v>
          </cell>
        </row>
        <row r="1039">
          <cell r="B1039" t="str">
            <v>2.1.02.03.07</v>
          </cell>
          <cell r="C1039" t="str">
            <v>Utang Bunga kepada Lembaga Keuangan Bank-Swasta-Jangka Pendek</v>
          </cell>
          <cell r="D1039"/>
          <cell r="E1039"/>
          <cell r="F1039">
            <v>0</v>
          </cell>
          <cell r="G1039">
            <v>0</v>
          </cell>
          <cell r="H1039">
            <v>0</v>
          </cell>
          <cell r="I1039">
            <v>0</v>
          </cell>
          <cell r="J1039">
            <v>0</v>
          </cell>
        </row>
        <row r="1040">
          <cell r="B1040" t="str">
            <v>2.1.02.03.08</v>
          </cell>
          <cell r="C1040" t="str">
            <v>Utang Bunga kepada Lembaga Keuangan Bank-Swasta-Jangka Menengah</v>
          </cell>
          <cell r="D1040"/>
          <cell r="E1040"/>
          <cell r="F1040">
            <v>0</v>
          </cell>
          <cell r="G1040">
            <v>0</v>
          </cell>
          <cell r="H1040">
            <v>0</v>
          </cell>
          <cell r="I1040">
            <v>0</v>
          </cell>
          <cell r="J1040">
            <v>0</v>
          </cell>
        </row>
        <row r="1041">
          <cell r="B1041" t="str">
            <v>2.1.02.03.09</v>
          </cell>
          <cell r="C1041" t="str">
            <v>Utang Bunga kepada Lembaga Keuangan Bank (LKB)-Swasta-Jangka Panjang</v>
          </cell>
          <cell r="D1041"/>
          <cell r="E1041"/>
          <cell r="F1041">
            <v>0</v>
          </cell>
          <cell r="G1041">
            <v>0</v>
          </cell>
          <cell r="H1041">
            <v>0</v>
          </cell>
          <cell r="I1041">
            <v>0</v>
          </cell>
          <cell r="J1041">
            <v>0</v>
          </cell>
        </row>
        <row r="1042">
          <cell r="B1042" t="str">
            <v>2.1.02.04</v>
          </cell>
          <cell r="C1042" t="str">
            <v>Utang Bunga kepada Lembaga Keuangan Bukan Bank</v>
          </cell>
          <cell r="D1042">
            <v>0</v>
          </cell>
          <cell r="E1042">
            <v>0</v>
          </cell>
          <cell r="F1042"/>
          <cell r="G1042"/>
          <cell r="H1042"/>
          <cell r="I1042"/>
          <cell r="J1042">
            <v>0</v>
          </cell>
        </row>
        <row r="1043">
          <cell r="B1043" t="str">
            <v>2.1.02.04.01</v>
          </cell>
          <cell r="C1043" t="str">
            <v>Utang Bunga kepada Lembaga Keuangan Bukan Bank (LKBB)-BUMN-Jangka Pendek</v>
          </cell>
          <cell r="D1043"/>
          <cell r="E1043"/>
          <cell r="F1043">
            <v>0</v>
          </cell>
          <cell r="G1043">
            <v>0</v>
          </cell>
          <cell r="H1043">
            <v>0</v>
          </cell>
          <cell r="I1043">
            <v>0</v>
          </cell>
          <cell r="J1043">
            <v>0</v>
          </cell>
        </row>
        <row r="1044">
          <cell r="B1044" t="str">
            <v>2.1.02.04.02</v>
          </cell>
          <cell r="C1044" t="str">
            <v>Utang Bunga kepada Lembaga Keuangan Bukan Bank-BUMN-Jangka Menengah</v>
          </cell>
          <cell r="D1044"/>
          <cell r="E1044"/>
          <cell r="F1044">
            <v>0</v>
          </cell>
          <cell r="G1044">
            <v>0</v>
          </cell>
          <cell r="H1044">
            <v>0</v>
          </cell>
          <cell r="I1044">
            <v>0</v>
          </cell>
          <cell r="J1044">
            <v>0</v>
          </cell>
        </row>
        <row r="1045">
          <cell r="B1045" t="str">
            <v>2.1.02.04.03</v>
          </cell>
          <cell r="C1045" t="str">
            <v>Utang Bunga kepada Lembaga Keuangan Bukan Bank (LKBB)-BUMN-Jangka Panjang</v>
          </cell>
          <cell r="D1045"/>
          <cell r="E1045"/>
          <cell r="F1045">
            <v>0</v>
          </cell>
          <cell r="G1045">
            <v>0</v>
          </cell>
          <cell r="H1045">
            <v>0</v>
          </cell>
          <cell r="I1045">
            <v>0</v>
          </cell>
          <cell r="J1045">
            <v>0</v>
          </cell>
        </row>
        <row r="1046">
          <cell r="B1046" t="str">
            <v>2.1.02.04.04</v>
          </cell>
          <cell r="C1046" t="str">
            <v>Utang Bunga kepada Lembaga Keuangan Bukan Bank (LKBB)-BUMD-Jangka Pendek</v>
          </cell>
          <cell r="D1046"/>
          <cell r="E1046"/>
          <cell r="F1046">
            <v>0</v>
          </cell>
          <cell r="G1046">
            <v>0</v>
          </cell>
          <cell r="H1046">
            <v>0</v>
          </cell>
          <cell r="I1046">
            <v>0</v>
          </cell>
          <cell r="J1046">
            <v>0</v>
          </cell>
        </row>
        <row r="1047">
          <cell r="B1047" t="str">
            <v>2.1.02.04.05</v>
          </cell>
          <cell r="C1047" t="str">
            <v>Utang Bunga kepada Lembaga Keuangan Bukan Bank (LKBB)-BUMD-Jangka Menengah</v>
          </cell>
          <cell r="D1047"/>
          <cell r="E1047"/>
          <cell r="F1047">
            <v>0</v>
          </cell>
          <cell r="G1047">
            <v>0</v>
          </cell>
          <cell r="H1047">
            <v>0</v>
          </cell>
          <cell r="I1047">
            <v>0</v>
          </cell>
          <cell r="J1047">
            <v>0</v>
          </cell>
        </row>
        <row r="1048">
          <cell r="B1048" t="str">
            <v>2.1.02.04.06</v>
          </cell>
          <cell r="C1048" t="str">
            <v>Utang Bunga kepada Lembaga Keuangan Bukan Bank (LKBB)-BUMD-Jangka Panjang</v>
          </cell>
          <cell r="D1048"/>
          <cell r="E1048"/>
          <cell r="F1048">
            <v>0</v>
          </cell>
          <cell r="G1048">
            <v>0</v>
          </cell>
          <cell r="H1048">
            <v>0</v>
          </cell>
          <cell r="I1048">
            <v>0</v>
          </cell>
          <cell r="J1048">
            <v>0</v>
          </cell>
        </row>
        <row r="1049">
          <cell r="B1049" t="str">
            <v>2.1.02.04.07</v>
          </cell>
          <cell r="C1049" t="str">
            <v>Utang Bunga kepada Lembaga Keuangan Bukan Bank (LKBB)-Swasta-Jangka Pendek</v>
          </cell>
          <cell r="D1049"/>
          <cell r="E1049"/>
          <cell r="F1049">
            <v>0</v>
          </cell>
          <cell r="G1049">
            <v>0</v>
          </cell>
          <cell r="H1049">
            <v>0</v>
          </cell>
          <cell r="I1049">
            <v>0</v>
          </cell>
          <cell r="J1049">
            <v>0</v>
          </cell>
        </row>
        <row r="1050">
          <cell r="B1050" t="str">
            <v>2.1.02.04.08</v>
          </cell>
          <cell r="C1050" t="str">
            <v>Utang Bunga kepada Lembaga Keuangan Bukan Bank (LKBB)-Swasta-Jangka Menengah</v>
          </cell>
          <cell r="D1050"/>
          <cell r="E1050"/>
          <cell r="F1050">
            <v>0</v>
          </cell>
          <cell r="G1050">
            <v>0</v>
          </cell>
          <cell r="H1050">
            <v>0</v>
          </cell>
          <cell r="I1050">
            <v>0</v>
          </cell>
          <cell r="J1050">
            <v>0</v>
          </cell>
        </row>
        <row r="1051">
          <cell r="B1051" t="str">
            <v>2.1.02.04.09</v>
          </cell>
          <cell r="C1051" t="str">
            <v>Utang Bunga kepada Lembaga Keuangan Bukan Bank (LKBB)-Swasta-Jangka Panjang</v>
          </cell>
          <cell r="D1051"/>
          <cell r="E1051"/>
          <cell r="F1051">
            <v>0</v>
          </cell>
          <cell r="G1051">
            <v>0</v>
          </cell>
          <cell r="H1051">
            <v>0</v>
          </cell>
          <cell r="I1051">
            <v>0</v>
          </cell>
          <cell r="J1051">
            <v>0</v>
          </cell>
        </row>
        <row r="1052">
          <cell r="B1052" t="str">
            <v>2.1.02.05</v>
          </cell>
          <cell r="C1052" t="str">
            <v>Utang Bunga kepada Masyarakat</v>
          </cell>
          <cell r="D1052">
            <v>0</v>
          </cell>
          <cell r="E1052">
            <v>0</v>
          </cell>
          <cell r="F1052"/>
          <cell r="G1052"/>
          <cell r="H1052"/>
          <cell r="I1052"/>
          <cell r="J1052">
            <v>0</v>
          </cell>
        </row>
        <row r="1053">
          <cell r="B1053" t="str">
            <v>2.1.02.05.01</v>
          </cell>
          <cell r="C1053" t="str">
            <v>Utang Bunga Obligasi Daerah</v>
          </cell>
          <cell r="D1053"/>
          <cell r="E1053"/>
          <cell r="F1053">
            <v>0</v>
          </cell>
          <cell r="G1053">
            <v>0</v>
          </cell>
          <cell r="H1053">
            <v>0</v>
          </cell>
          <cell r="I1053">
            <v>0</v>
          </cell>
          <cell r="J1053">
            <v>0</v>
          </cell>
        </row>
        <row r="1054">
          <cell r="B1054" t="str">
            <v>2.1.02.06</v>
          </cell>
          <cell r="C1054" t="str">
            <v>Utang Bunga melalui BLUD</v>
          </cell>
          <cell r="D1054">
            <v>0</v>
          </cell>
          <cell r="E1054">
            <v>0</v>
          </cell>
          <cell r="F1054"/>
          <cell r="G1054"/>
          <cell r="H1054"/>
          <cell r="I1054"/>
          <cell r="J1054">
            <v>0</v>
          </cell>
        </row>
        <row r="1055">
          <cell r="B1055" t="str">
            <v>2.1.02.06.01</v>
          </cell>
          <cell r="C1055" t="str">
            <v>Utang Bunga melalui BLUD-Jangka Pendek</v>
          </cell>
          <cell r="D1055"/>
          <cell r="E1055"/>
          <cell r="F1055">
            <v>0</v>
          </cell>
          <cell r="G1055">
            <v>0</v>
          </cell>
          <cell r="H1055">
            <v>0</v>
          </cell>
          <cell r="I1055">
            <v>0</v>
          </cell>
          <cell r="J1055">
            <v>0</v>
          </cell>
        </row>
        <row r="1056">
          <cell r="B1056" t="str">
            <v>2.1.02.06.02</v>
          </cell>
          <cell r="C1056" t="str">
            <v>Utang Bunga melalui BLUD-Jangka Menengah</v>
          </cell>
          <cell r="D1056"/>
          <cell r="E1056"/>
          <cell r="F1056">
            <v>0</v>
          </cell>
          <cell r="G1056">
            <v>0</v>
          </cell>
          <cell r="H1056">
            <v>0</v>
          </cell>
          <cell r="I1056">
            <v>0</v>
          </cell>
          <cell r="J1056">
            <v>0</v>
          </cell>
        </row>
        <row r="1057">
          <cell r="B1057" t="str">
            <v>2.1.02.06.03</v>
          </cell>
          <cell r="C1057" t="str">
            <v>Utang Bunga melalui BLUD-Jangka Panjang</v>
          </cell>
          <cell r="D1057"/>
          <cell r="E1057"/>
          <cell r="F1057">
            <v>0</v>
          </cell>
          <cell r="G1057">
            <v>0</v>
          </cell>
          <cell r="H1057">
            <v>0</v>
          </cell>
          <cell r="I1057">
            <v>0</v>
          </cell>
          <cell r="J1057">
            <v>0</v>
          </cell>
        </row>
        <row r="1058">
          <cell r="B1058" t="str">
            <v>2.1.02.07</v>
          </cell>
          <cell r="C1058" t="str">
            <v>Utang Bunga Pembiayaan Utang Daerah-Pinjaman Daerah</v>
          </cell>
          <cell r="D1058">
            <v>0</v>
          </cell>
          <cell r="E1058">
            <v>0</v>
          </cell>
          <cell r="F1058"/>
          <cell r="G1058"/>
          <cell r="H1058"/>
          <cell r="I1058"/>
          <cell r="J1058">
            <v>0</v>
          </cell>
        </row>
        <row r="1059">
          <cell r="B1059" t="str">
            <v>2.1.02.07.01</v>
          </cell>
          <cell r="C1059" t="str">
            <v>Utang Bunga Pinjaman Daerah dari Pemerintah</v>
          </cell>
          <cell r="D1059"/>
          <cell r="E1059"/>
          <cell r="F1059">
            <v>0</v>
          </cell>
          <cell r="G1059">
            <v>0</v>
          </cell>
          <cell r="H1059">
            <v>0</v>
          </cell>
          <cell r="I1059">
            <v>0</v>
          </cell>
          <cell r="J1059">
            <v>0</v>
          </cell>
        </row>
        <row r="1060">
          <cell r="B1060" t="str">
            <v>2.1.02.07.02</v>
          </cell>
          <cell r="C1060" t="str">
            <v>Utang Bunga Pinjaman Daerah dari Pemerintah Daerah Lain</v>
          </cell>
          <cell r="D1060"/>
          <cell r="E1060"/>
          <cell r="F1060">
            <v>0</v>
          </cell>
          <cell r="G1060">
            <v>0</v>
          </cell>
          <cell r="H1060">
            <v>0</v>
          </cell>
          <cell r="I1060">
            <v>0</v>
          </cell>
          <cell r="J1060">
            <v>0</v>
          </cell>
        </row>
        <row r="1061">
          <cell r="B1061" t="str">
            <v>2.1.02.07.03</v>
          </cell>
          <cell r="C1061" t="str">
            <v>Utang Bunga Pinjaman Daerah dari Lembaga Keuangan Bank (LKB)</v>
          </cell>
          <cell r="D1061"/>
          <cell r="E1061"/>
          <cell r="F1061">
            <v>0</v>
          </cell>
          <cell r="G1061">
            <v>0</v>
          </cell>
          <cell r="H1061">
            <v>0</v>
          </cell>
          <cell r="I1061">
            <v>0</v>
          </cell>
          <cell r="J1061">
            <v>0</v>
          </cell>
        </row>
        <row r="1062">
          <cell r="B1062" t="str">
            <v>2.1.02.07.04</v>
          </cell>
          <cell r="C1062" t="str">
            <v>Utang Bunga Pinjaman Daerah dari Lembaga Keuangan Bukan Bank (LKBB)</v>
          </cell>
          <cell r="D1062"/>
          <cell r="E1062"/>
          <cell r="F1062">
            <v>0</v>
          </cell>
          <cell r="G1062">
            <v>0</v>
          </cell>
          <cell r="H1062">
            <v>0</v>
          </cell>
          <cell r="I1062">
            <v>0</v>
          </cell>
          <cell r="J1062">
            <v>0</v>
          </cell>
        </row>
        <row r="1063">
          <cell r="B1063" t="str">
            <v>2.1.02.08</v>
          </cell>
          <cell r="C1063" t="str">
            <v>Utang Bunga Pembiayaan Utang Daerah-Obligasi Daerah</v>
          </cell>
          <cell r="D1063">
            <v>0</v>
          </cell>
          <cell r="E1063">
            <v>0</v>
          </cell>
          <cell r="F1063"/>
          <cell r="G1063"/>
          <cell r="H1063"/>
          <cell r="I1063"/>
          <cell r="J1063">
            <v>0</v>
          </cell>
        </row>
        <row r="1064">
          <cell r="B1064" t="str">
            <v>2.1.02.08.01</v>
          </cell>
          <cell r="C1064" t="str">
            <v>Utang Bunga Obligasi Daerah</v>
          </cell>
          <cell r="D1064"/>
          <cell r="E1064"/>
          <cell r="F1064">
            <v>0</v>
          </cell>
          <cell r="G1064">
            <v>0</v>
          </cell>
          <cell r="H1064">
            <v>0</v>
          </cell>
          <cell r="I1064">
            <v>0</v>
          </cell>
          <cell r="J1064">
            <v>0</v>
          </cell>
        </row>
        <row r="1065">
          <cell r="B1065" t="str">
            <v>2.1.02.09</v>
          </cell>
          <cell r="C1065" t="str">
            <v>Utang Imbalan Pembiayaan Utang Daerah-Sukuk Daerah</v>
          </cell>
          <cell r="D1065">
            <v>0</v>
          </cell>
          <cell r="E1065">
            <v>0</v>
          </cell>
          <cell r="F1065"/>
          <cell r="G1065"/>
          <cell r="H1065"/>
          <cell r="I1065"/>
          <cell r="J1065">
            <v>0</v>
          </cell>
        </row>
        <row r="1066">
          <cell r="B1066" t="str">
            <v>2.1.02.09.01</v>
          </cell>
          <cell r="C1066" t="str">
            <v>Utang Imbalan Sukuk Daerah</v>
          </cell>
          <cell r="D1066"/>
          <cell r="E1066"/>
          <cell r="F1066">
            <v>0</v>
          </cell>
          <cell r="G1066">
            <v>0</v>
          </cell>
          <cell r="H1066">
            <v>0</v>
          </cell>
          <cell r="I1066">
            <v>0</v>
          </cell>
          <cell r="J1066">
            <v>0</v>
          </cell>
        </row>
        <row r="1067">
          <cell r="B1067"/>
          <cell r="C1067"/>
          <cell r="D1067"/>
          <cell r="E1067"/>
          <cell r="F1067"/>
          <cell r="G1067"/>
          <cell r="H1067"/>
          <cell r="I1067"/>
          <cell r="J1067"/>
        </row>
        <row r="1068">
          <cell r="B1068" t="str">
            <v>2.1.03</v>
          </cell>
          <cell r="C1068" t="str">
            <v>Utang Pinjaman Jangka Pendek</v>
          </cell>
          <cell r="D1068">
            <v>0</v>
          </cell>
          <cell r="E1068">
            <v>0</v>
          </cell>
          <cell r="F1068"/>
          <cell r="G1068"/>
          <cell r="H1068"/>
          <cell r="I1068"/>
          <cell r="J1068">
            <v>0</v>
          </cell>
        </row>
        <row r="1069">
          <cell r="B1069" t="str">
            <v>2.1.03.01</v>
          </cell>
          <cell r="C1069" t="str">
            <v>Utang Pinjaman dari Pemerintah Daerah</v>
          </cell>
          <cell r="D1069">
            <v>0</v>
          </cell>
          <cell r="E1069">
            <v>0</v>
          </cell>
          <cell r="F1069"/>
          <cell r="G1069"/>
          <cell r="H1069"/>
          <cell r="I1069"/>
          <cell r="J1069">
            <v>0</v>
          </cell>
        </row>
        <row r="1070">
          <cell r="B1070" t="str">
            <v>2.1.03.01.01</v>
          </cell>
          <cell r="C1070" t="str">
            <v>Utang Pinjaman dari Pemerintah Daerah-Jangka Pendek</v>
          </cell>
          <cell r="D1070"/>
          <cell r="E1070"/>
          <cell r="F1070">
            <v>0</v>
          </cell>
          <cell r="G1070">
            <v>0</v>
          </cell>
          <cell r="H1070">
            <v>0</v>
          </cell>
          <cell r="I1070">
            <v>0</v>
          </cell>
          <cell r="J1070">
            <v>0</v>
          </cell>
        </row>
        <row r="1071">
          <cell r="B1071" t="str">
            <v>2.1.03.02</v>
          </cell>
          <cell r="C1071" t="str">
            <v>Utang Pinjaman dari Lembaga Keuangan Bank (LKB)</v>
          </cell>
          <cell r="D1071">
            <v>0</v>
          </cell>
          <cell r="E1071">
            <v>0</v>
          </cell>
          <cell r="F1071"/>
          <cell r="G1071"/>
          <cell r="H1071"/>
          <cell r="I1071"/>
          <cell r="J1071">
            <v>0</v>
          </cell>
        </row>
        <row r="1072">
          <cell r="B1072" t="str">
            <v>2.1.03.02.01</v>
          </cell>
          <cell r="C1072" t="str">
            <v>Utang Pinjaman dari LKB-BUMN-Jangka Pendek</v>
          </cell>
          <cell r="D1072"/>
          <cell r="E1072"/>
          <cell r="F1072">
            <v>0</v>
          </cell>
          <cell r="G1072">
            <v>0</v>
          </cell>
          <cell r="H1072">
            <v>0</v>
          </cell>
          <cell r="I1072">
            <v>0</v>
          </cell>
          <cell r="J1072">
            <v>0</v>
          </cell>
        </row>
        <row r="1073">
          <cell r="B1073" t="str">
            <v>2.1.03.02.02</v>
          </cell>
          <cell r="C1073" t="str">
            <v>Utang Pinjaman dari Lembaga Keuangan Bank (LKB)-BUMD-Jangka Pendek</v>
          </cell>
          <cell r="D1073"/>
          <cell r="E1073"/>
          <cell r="F1073">
            <v>0</v>
          </cell>
          <cell r="G1073">
            <v>0</v>
          </cell>
          <cell r="H1073">
            <v>0</v>
          </cell>
          <cell r="I1073">
            <v>0</v>
          </cell>
          <cell r="J1073">
            <v>0</v>
          </cell>
        </row>
        <row r="1074">
          <cell r="B1074" t="str">
            <v>2.1.03.02.03</v>
          </cell>
          <cell r="C1074" t="str">
            <v>Utang Pinjaman dari Lembaga Keuangan Bank (LKB)-Swasta-Jangka Pendek</v>
          </cell>
          <cell r="D1074"/>
          <cell r="E1074"/>
          <cell r="F1074">
            <v>0</v>
          </cell>
          <cell r="G1074">
            <v>0</v>
          </cell>
          <cell r="H1074">
            <v>0</v>
          </cell>
          <cell r="I1074">
            <v>0</v>
          </cell>
          <cell r="J1074">
            <v>0</v>
          </cell>
        </row>
        <row r="1075">
          <cell r="B1075" t="str">
            <v>2.1.03.03</v>
          </cell>
          <cell r="C1075" t="str">
            <v>Utang Pinjaman dari Lembaga Keuangan Bukan Bank (LKBB)</v>
          </cell>
          <cell r="D1075">
            <v>0</v>
          </cell>
          <cell r="E1075">
            <v>0</v>
          </cell>
          <cell r="F1075"/>
          <cell r="G1075"/>
          <cell r="H1075"/>
          <cell r="I1075"/>
          <cell r="J1075">
            <v>0</v>
          </cell>
        </row>
        <row r="1076">
          <cell r="B1076" t="str">
            <v>2.1.03.03.01</v>
          </cell>
          <cell r="C1076" t="str">
            <v>Utang Pinjaman dari Lembaga Keuangan Bukan Bank (LKBB)-BUMN-Jangka Pendek</v>
          </cell>
          <cell r="D1076"/>
          <cell r="E1076"/>
          <cell r="F1076">
            <v>0</v>
          </cell>
          <cell r="G1076">
            <v>0</v>
          </cell>
          <cell r="H1076">
            <v>0</v>
          </cell>
          <cell r="I1076">
            <v>0</v>
          </cell>
          <cell r="J1076">
            <v>0</v>
          </cell>
        </row>
        <row r="1077">
          <cell r="B1077" t="str">
            <v>2.1.03.03.02</v>
          </cell>
          <cell r="C1077" t="str">
            <v>Utang Pinjaman dari Lembaga Keuangan Bukan Bank (LKBB)-BUMD-Jangka Pendek</v>
          </cell>
          <cell r="D1077"/>
          <cell r="E1077"/>
          <cell r="F1077">
            <v>0</v>
          </cell>
          <cell r="G1077">
            <v>0</v>
          </cell>
          <cell r="H1077">
            <v>0</v>
          </cell>
          <cell r="I1077">
            <v>0</v>
          </cell>
          <cell r="J1077">
            <v>0</v>
          </cell>
        </row>
        <row r="1078">
          <cell r="B1078" t="str">
            <v>2.1.03.03.03</v>
          </cell>
          <cell r="C1078" t="str">
            <v>Utang Pinjaman dari Lembaga Keuangan Bukan Bank (LKBB)-Swasta-Jangka Pendek</v>
          </cell>
          <cell r="D1078"/>
          <cell r="E1078"/>
          <cell r="F1078">
            <v>0</v>
          </cell>
          <cell r="G1078">
            <v>0</v>
          </cell>
          <cell r="H1078">
            <v>0</v>
          </cell>
          <cell r="I1078">
            <v>0</v>
          </cell>
          <cell r="J1078">
            <v>0</v>
          </cell>
        </row>
        <row r="1079">
          <cell r="B1079" t="str">
            <v>2.1.03.04</v>
          </cell>
          <cell r="C1079" t="str">
            <v>Utang Pinjaman melalui BLUD</v>
          </cell>
          <cell r="D1079">
            <v>0</v>
          </cell>
          <cell r="E1079">
            <v>0</v>
          </cell>
          <cell r="F1079"/>
          <cell r="G1079"/>
          <cell r="H1079"/>
          <cell r="I1079"/>
          <cell r="J1079">
            <v>0</v>
          </cell>
        </row>
        <row r="1080">
          <cell r="B1080" t="str">
            <v>2.1.03.04.01</v>
          </cell>
          <cell r="C1080" t="str">
            <v>Utang Pinjaman melalui BLUD</v>
          </cell>
          <cell r="D1080"/>
          <cell r="E1080"/>
          <cell r="F1080">
            <v>0</v>
          </cell>
          <cell r="G1080">
            <v>0</v>
          </cell>
          <cell r="H1080">
            <v>0</v>
          </cell>
          <cell r="I1080">
            <v>0</v>
          </cell>
          <cell r="J1080">
            <v>0</v>
          </cell>
        </row>
        <row r="1081">
          <cell r="B1081" t="str">
            <v>2.1.03.05</v>
          </cell>
          <cell r="C1081" t="str">
            <v>Utang Pembiayaan Utang Daerah-Pinjaman Daerah</v>
          </cell>
          <cell r="D1081">
            <v>0</v>
          </cell>
          <cell r="E1081">
            <v>0</v>
          </cell>
          <cell r="F1081"/>
          <cell r="G1081"/>
          <cell r="H1081"/>
          <cell r="I1081"/>
          <cell r="J1081">
            <v>0</v>
          </cell>
        </row>
        <row r="1082">
          <cell r="B1082" t="str">
            <v>2.1.03.05.01</v>
          </cell>
          <cell r="C1082" t="str">
            <v>Utang Pinjaman Daerah dari Pemerintah</v>
          </cell>
          <cell r="D1082"/>
          <cell r="E1082"/>
          <cell r="F1082">
            <v>0</v>
          </cell>
          <cell r="G1082">
            <v>0</v>
          </cell>
          <cell r="H1082">
            <v>0</v>
          </cell>
          <cell r="I1082">
            <v>0</v>
          </cell>
          <cell r="J1082">
            <v>0</v>
          </cell>
        </row>
        <row r="1083">
          <cell r="B1083" t="str">
            <v>2.1.03.05.02</v>
          </cell>
          <cell r="C1083" t="str">
            <v>Utang Pinjaman Daerah dari Pemerintah Daerah Lain</v>
          </cell>
          <cell r="D1083"/>
          <cell r="E1083"/>
          <cell r="F1083">
            <v>0</v>
          </cell>
          <cell r="G1083">
            <v>0</v>
          </cell>
          <cell r="H1083">
            <v>0</v>
          </cell>
          <cell r="I1083">
            <v>0</v>
          </cell>
          <cell r="J1083">
            <v>0</v>
          </cell>
        </row>
        <row r="1084">
          <cell r="B1084" t="str">
            <v>2.1.03.05.03</v>
          </cell>
          <cell r="C1084" t="str">
            <v>Utang Pinjaman Daerah dari Lembaga Keuangan Bank (LKB)</v>
          </cell>
          <cell r="D1084"/>
          <cell r="E1084"/>
          <cell r="F1084">
            <v>0</v>
          </cell>
          <cell r="G1084">
            <v>0</v>
          </cell>
          <cell r="H1084">
            <v>0</v>
          </cell>
          <cell r="I1084">
            <v>0</v>
          </cell>
          <cell r="J1084">
            <v>0</v>
          </cell>
        </row>
        <row r="1085">
          <cell r="B1085" t="str">
            <v>2.1.03.05.04</v>
          </cell>
          <cell r="C1085" t="str">
            <v>Utang Pinjaman Daerah dari Lembaga Keuangan Bukan Bank (LKBB)</v>
          </cell>
          <cell r="D1085"/>
          <cell r="E1085"/>
          <cell r="F1085">
            <v>0</v>
          </cell>
          <cell r="G1085">
            <v>0</v>
          </cell>
          <cell r="H1085">
            <v>0</v>
          </cell>
          <cell r="I1085">
            <v>0</v>
          </cell>
          <cell r="J1085">
            <v>0</v>
          </cell>
        </row>
        <row r="1086">
          <cell r="B1086"/>
          <cell r="C1086"/>
          <cell r="D1086"/>
          <cell r="E1086"/>
          <cell r="F1086"/>
          <cell r="G1086"/>
          <cell r="H1086"/>
          <cell r="I1086"/>
          <cell r="J1086"/>
        </row>
        <row r="1087">
          <cell r="B1087" t="str">
            <v>2.1.04</v>
          </cell>
          <cell r="C1087" t="str">
            <v>Bagian Lancar Utang Jangka Panjang</v>
          </cell>
          <cell r="D1087">
            <v>0</v>
          </cell>
          <cell r="E1087">
            <v>0</v>
          </cell>
          <cell r="F1087"/>
          <cell r="G1087"/>
          <cell r="H1087"/>
          <cell r="I1087"/>
          <cell r="J1087">
            <v>0</v>
          </cell>
        </row>
        <row r="1088">
          <cell r="B1088" t="str">
            <v>2.1.04.01</v>
          </cell>
          <cell r="C1088" t="str">
            <v>Bagian Lancar Utang Jangka Panjang dari Pemerintah Pusat</v>
          </cell>
          <cell r="D1088">
            <v>0</v>
          </cell>
          <cell r="E1088">
            <v>0</v>
          </cell>
          <cell r="F1088"/>
          <cell r="G1088"/>
          <cell r="H1088"/>
          <cell r="I1088"/>
          <cell r="J1088">
            <v>0</v>
          </cell>
        </row>
        <row r="1089">
          <cell r="B1089" t="str">
            <v>2.1.04.01.01</v>
          </cell>
          <cell r="C1089" t="str">
            <v>Bagian Lancar Utang Jangka Panjang-Penerusan Pinjaman Dalam Negeri-Jangka Menengah</v>
          </cell>
          <cell r="D1089"/>
          <cell r="E1089"/>
          <cell r="F1089">
            <v>0</v>
          </cell>
          <cell r="G1089">
            <v>0</v>
          </cell>
          <cell r="H1089">
            <v>0</v>
          </cell>
          <cell r="I1089">
            <v>0</v>
          </cell>
          <cell r="J1089">
            <v>0</v>
          </cell>
        </row>
        <row r="1090">
          <cell r="B1090" t="str">
            <v>2.1.04.01.02</v>
          </cell>
          <cell r="C1090" t="str">
            <v>Bagian Lancar Utang Jangka Panjang-Penerusan Pinjaman Dalam Negeri-Jangka Panjang</v>
          </cell>
          <cell r="D1090"/>
          <cell r="E1090"/>
          <cell r="F1090">
            <v>0</v>
          </cell>
          <cell r="G1090">
            <v>0</v>
          </cell>
          <cell r="H1090">
            <v>0</v>
          </cell>
          <cell r="I1090">
            <v>0</v>
          </cell>
          <cell r="J1090">
            <v>0</v>
          </cell>
        </row>
        <row r="1091">
          <cell r="B1091" t="str">
            <v>2.1.04.01.03</v>
          </cell>
          <cell r="C1091" t="str">
            <v>Bagian Lancar Utang Jangka Panjang-Penerusan Pinjaman Luar Negeri-Jangka Menengah</v>
          </cell>
          <cell r="D1091"/>
          <cell r="E1091"/>
          <cell r="F1091">
            <v>0</v>
          </cell>
          <cell r="G1091">
            <v>0</v>
          </cell>
          <cell r="H1091">
            <v>0</v>
          </cell>
          <cell r="I1091">
            <v>0</v>
          </cell>
          <cell r="J1091">
            <v>0</v>
          </cell>
        </row>
        <row r="1092">
          <cell r="B1092" t="str">
            <v>2.1.04.01.04</v>
          </cell>
          <cell r="C1092" t="str">
            <v>Bagian Lancar Utang Jangka Panjang-Penerusan Pinjaman Luar Negeri-Jangka Panjang</v>
          </cell>
          <cell r="D1092"/>
          <cell r="E1092"/>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D1093"/>
          <cell r="E1093"/>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D1094"/>
          <cell r="E1094"/>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F1095"/>
          <cell r="G1095"/>
          <cell r="H1095"/>
          <cell r="I1095"/>
          <cell r="J1095">
            <v>0</v>
          </cell>
        </row>
        <row r="1096">
          <cell r="B1096" t="str">
            <v>2.1.04.02.01</v>
          </cell>
          <cell r="C1096" t="str">
            <v>Bagian Lancar Utang Jangka Panjang kepada Lembaga Keuangan Bank (LKB)-BUMN-Jangka Menengah</v>
          </cell>
          <cell r="D1096"/>
          <cell r="E1096"/>
          <cell r="F1096">
            <v>0</v>
          </cell>
          <cell r="G1096">
            <v>0</v>
          </cell>
          <cell r="H1096">
            <v>0</v>
          </cell>
          <cell r="I1096">
            <v>0</v>
          </cell>
          <cell r="J1096">
            <v>0</v>
          </cell>
        </row>
        <row r="1097">
          <cell r="B1097" t="str">
            <v>2.1.04.02.02</v>
          </cell>
          <cell r="C1097" t="str">
            <v>Bagian Lancar Utang Jangka Panjang kepada Lembaga Keuangan Bank (LKB)-BUMN-Jangka Panjang</v>
          </cell>
          <cell r="D1097"/>
          <cell r="E1097"/>
          <cell r="F1097">
            <v>0</v>
          </cell>
          <cell r="G1097">
            <v>0</v>
          </cell>
          <cell r="H1097">
            <v>0</v>
          </cell>
          <cell r="I1097">
            <v>0</v>
          </cell>
          <cell r="J1097">
            <v>0</v>
          </cell>
        </row>
        <row r="1098">
          <cell r="B1098" t="str">
            <v>2.1.04.02.03</v>
          </cell>
          <cell r="C1098" t="str">
            <v>Bagian Lancar Utang Jangka Panjang kepada Lembaga Keuangan Bank (LKB)-BUMD-Jangka Menengah</v>
          </cell>
          <cell r="D1098"/>
          <cell r="E1098"/>
          <cell r="F1098">
            <v>0</v>
          </cell>
          <cell r="G1098">
            <v>0</v>
          </cell>
          <cell r="H1098">
            <v>0</v>
          </cell>
          <cell r="I1098">
            <v>0</v>
          </cell>
          <cell r="J1098">
            <v>0</v>
          </cell>
        </row>
        <row r="1099">
          <cell r="B1099" t="str">
            <v>2.1.04.02.04</v>
          </cell>
          <cell r="C1099" t="str">
            <v>Bagian Lancar Utang Jangka Panjang kepada Lembaga Keuangan Bank (LKB)-BUMD-Jangka Panjang</v>
          </cell>
          <cell r="D1099"/>
          <cell r="E1099"/>
          <cell r="F1099">
            <v>0</v>
          </cell>
          <cell r="G1099">
            <v>0</v>
          </cell>
          <cell r="H1099">
            <v>0</v>
          </cell>
          <cell r="I1099">
            <v>0</v>
          </cell>
          <cell r="J1099">
            <v>0</v>
          </cell>
        </row>
        <row r="1100">
          <cell r="B1100" t="str">
            <v>2.1.04.02.05</v>
          </cell>
          <cell r="C1100" t="str">
            <v>Bagian Lancar Utang Jangka Panjang kepada Lembaga Keuangan Bank (LKB)-Swasta-Jangka Menengah</v>
          </cell>
          <cell r="D1100"/>
          <cell r="E1100"/>
          <cell r="F1100">
            <v>0</v>
          </cell>
          <cell r="G1100">
            <v>0</v>
          </cell>
          <cell r="H1100">
            <v>0</v>
          </cell>
          <cell r="I1100">
            <v>0</v>
          </cell>
          <cell r="J1100">
            <v>0</v>
          </cell>
        </row>
        <row r="1101">
          <cell r="B1101" t="str">
            <v>2.1.04.02.06</v>
          </cell>
          <cell r="C1101" t="str">
            <v>Bagian Lancar Utang Jangka Panjang kepada Lembaga Keuangan Bank (LKB)-Swasta-Jangka Panjang</v>
          </cell>
          <cell r="D1101"/>
          <cell r="E1101"/>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F1102"/>
          <cell r="G1102"/>
          <cell r="H1102"/>
          <cell r="I1102"/>
          <cell r="J1102">
            <v>0</v>
          </cell>
        </row>
        <row r="1103">
          <cell r="B1103" t="str">
            <v>2.1.04.03.01</v>
          </cell>
          <cell r="C1103" t="str">
            <v>Bagian Lancar Utang Jangka Panjang kepada Lembaga Keuangan Bukan Bank (LKBB)-BUMN-Jangka Menengah</v>
          </cell>
          <cell r="D1103"/>
          <cell r="E1103"/>
          <cell r="F1103">
            <v>0</v>
          </cell>
          <cell r="G1103">
            <v>0</v>
          </cell>
          <cell r="H1103">
            <v>0</v>
          </cell>
          <cell r="I1103">
            <v>0</v>
          </cell>
          <cell r="J1103">
            <v>0</v>
          </cell>
        </row>
        <row r="1104">
          <cell r="B1104" t="str">
            <v>2.1.04.03.02</v>
          </cell>
          <cell r="C1104" t="str">
            <v>Bagian Lancar Utang Jangka Panjang kepada Lembaga Keuangan Bukan Bank (LKBB)-BUMN-Jangka Panjang</v>
          </cell>
          <cell r="D1104"/>
          <cell r="E1104"/>
          <cell r="F1104">
            <v>0</v>
          </cell>
          <cell r="G1104">
            <v>0</v>
          </cell>
          <cell r="H1104">
            <v>0</v>
          </cell>
          <cell r="I1104">
            <v>0</v>
          </cell>
          <cell r="J1104">
            <v>0</v>
          </cell>
        </row>
        <row r="1105">
          <cell r="B1105" t="str">
            <v>2.1.04.03.03</v>
          </cell>
          <cell r="C1105" t="str">
            <v>Bagian Lancar Utang Jangka Panjang kepada Lembaga Keuangan Bukan Bank (LKBB)-BUMD-Jangka Menengah</v>
          </cell>
          <cell r="D1105"/>
          <cell r="E1105"/>
          <cell r="F1105">
            <v>0</v>
          </cell>
          <cell r="G1105">
            <v>0</v>
          </cell>
          <cell r="H1105">
            <v>0</v>
          </cell>
          <cell r="I1105">
            <v>0</v>
          </cell>
          <cell r="J1105">
            <v>0</v>
          </cell>
        </row>
        <row r="1106">
          <cell r="B1106" t="str">
            <v>2.1.04.03.04</v>
          </cell>
          <cell r="C1106" t="str">
            <v>Bagian Lancar Utang Jangka Panjang kepada Lembaga Keuangan Bukan Bank (LKBB)-BUMD-Jangka Panjang</v>
          </cell>
          <cell r="D1106"/>
          <cell r="E1106"/>
          <cell r="F1106">
            <v>0</v>
          </cell>
          <cell r="G1106">
            <v>0</v>
          </cell>
          <cell r="H1106">
            <v>0</v>
          </cell>
          <cell r="I1106">
            <v>0</v>
          </cell>
          <cell r="J1106">
            <v>0</v>
          </cell>
        </row>
        <row r="1107">
          <cell r="B1107" t="str">
            <v>2.1.04.03.05</v>
          </cell>
          <cell r="C1107" t="str">
            <v>Bagian Lancar Utang Jangka Panjang kepada Lembaga Keuangan Bukan Bank (LKBB)-Swasta-Jangka Menengah</v>
          </cell>
          <cell r="D1107"/>
          <cell r="E1107"/>
          <cell r="F1107">
            <v>0</v>
          </cell>
          <cell r="G1107">
            <v>0</v>
          </cell>
          <cell r="H1107">
            <v>0</v>
          </cell>
          <cell r="I1107">
            <v>0</v>
          </cell>
          <cell r="J1107">
            <v>0</v>
          </cell>
        </row>
        <row r="1108">
          <cell r="B1108" t="str">
            <v>2.1.04.03.06</v>
          </cell>
          <cell r="C1108" t="str">
            <v>Bagian Lancar Utang Jangka Panjang kepada Lembaga Keuangan Bukan Bank (LKBB)-Swasta-Jangka Panjang</v>
          </cell>
          <cell r="D1108"/>
          <cell r="E1108"/>
          <cell r="F1108">
            <v>0</v>
          </cell>
          <cell r="G1108">
            <v>0</v>
          </cell>
          <cell r="H1108">
            <v>0</v>
          </cell>
          <cell r="I1108">
            <v>0</v>
          </cell>
          <cell r="J1108">
            <v>0</v>
          </cell>
        </row>
        <row r="1109">
          <cell r="B1109" t="str">
            <v>2.1.04.04</v>
          </cell>
          <cell r="C1109" t="str">
            <v>Bagian Lancar Utang Jangka Panjang dari Masyarakat</v>
          </cell>
          <cell r="D1109">
            <v>0</v>
          </cell>
          <cell r="E1109">
            <v>0</v>
          </cell>
          <cell r="F1109"/>
          <cell r="G1109"/>
          <cell r="H1109"/>
          <cell r="I1109"/>
          <cell r="J1109">
            <v>0</v>
          </cell>
        </row>
        <row r="1110">
          <cell r="B1110" t="str">
            <v>2.1.04.04.01</v>
          </cell>
          <cell r="C1110" t="str">
            <v>Bagian Lancar Utang Jangka Panjang dari Masyarakat-Obligasi Daerah</v>
          </cell>
          <cell r="D1110"/>
          <cell r="E1110"/>
          <cell r="F1110">
            <v>0</v>
          </cell>
          <cell r="G1110">
            <v>0</v>
          </cell>
          <cell r="H1110">
            <v>0</v>
          </cell>
          <cell r="I1110">
            <v>0</v>
          </cell>
          <cell r="J1110">
            <v>0</v>
          </cell>
        </row>
        <row r="1111">
          <cell r="B1111" t="str">
            <v>2.1.04.05</v>
          </cell>
          <cell r="C1111" t="str">
            <v>Bagian Lancar Utang Jangka Panjang melalui BLUD</v>
          </cell>
          <cell r="D1111">
            <v>0</v>
          </cell>
          <cell r="E1111">
            <v>0</v>
          </cell>
          <cell r="F1111"/>
          <cell r="G1111"/>
          <cell r="H1111"/>
          <cell r="I1111"/>
          <cell r="J1111">
            <v>0</v>
          </cell>
        </row>
        <row r="1112">
          <cell r="B1112" t="str">
            <v>2.1.04.05.01</v>
          </cell>
          <cell r="C1112" t="str">
            <v>Bagian Lancar Utang Jangka Panjang melalui BLUD-Jangka Menengah</v>
          </cell>
          <cell r="D1112"/>
          <cell r="E1112"/>
          <cell r="F1112">
            <v>0</v>
          </cell>
          <cell r="G1112">
            <v>0</v>
          </cell>
          <cell r="H1112">
            <v>0</v>
          </cell>
          <cell r="I1112">
            <v>0</v>
          </cell>
          <cell r="J1112">
            <v>0</v>
          </cell>
        </row>
        <row r="1113">
          <cell r="B1113" t="str">
            <v>2.1.04.05.02</v>
          </cell>
          <cell r="C1113" t="str">
            <v>Bagian Lancar Utang Jangka Panjang melalui BLUD-Jangka Panjang</v>
          </cell>
          <cell r="D1113"/>
          <cell r="E1113"/>
          <cell r="F1113">
            <v>0</v>
          </cell>
          <cell r="G1113">
            <v>0</v>
          </cell>
          <cell r="H1113">
            <v>0</v>
          </cell>
          <cell r="I1113">
            <v>0</v>
          </cell>
          <cell r="J1113">
            <v>0</v>
          </cell>
        </row>
        <row r="1114">
          <cell r="B1114" t="str">
            <v>2.1.04.06</v>
          </cell>
          <cell r="C1114" t="str">
            <v>Bagian Lancar Pembiayaan Utang Daerah-Pinjaman Daerah</v>
          </cell>
          <cell r="D1114">
            <v>0</v>
          </cell>
          <cell r="E1114">
            <v>0</v>
          </cell>
          <cell r="F1114"/>
          <cell r="G1114"/>
          <cell r="H1114"/>
          <cell r="I1114"/>
          <cell r="J1114">
            <v>0</v>
          </cell>
        </row>
        <row r="1115">
          <cell r="B1115" t="str">
            <v>2.1.04.06.01</v>
          </cell>
          <cell r="C1115" t="str">
            <v>Bagian Lancar Pinjaman Daerah dari Pemerintah</v>
          </cell>
          <cell r="D1115"/>
          <cell r="E1115"/>
          <cell r="F1115">
            <v>0</v>
          </cell>
          <cell r="G1115">
            <v>0</v>
          </cell>
          <cell r="H1115">
            <v>0</v>
          </cell>
          <cell r="I1115">
            <v>0</v>
          </cell>
          <cell r="J1115">
            <v>0</v>
          </cell>
        </row>
        <row r="1116">
          <cell r="B1116" t="str">
            <v>2.1.04.06.02</v>
          </cell>
          <cell r="C1116" t="str">
            <v>Bagian Lancar Pinjaman Daerah dari Pemerintah Daerah Lain</v>
          </cell>
          <cell r="D1116"/>
          <cell r="E1116"/>
          <cell r="F1116">
            <v>0</v>
          </cell>
          <cell r="G1116">
            <v>0</v>
          </cell>
          <cell r="H1116">
            <v>0</v>
          </cell>
          <cell r="I1116">
            <v>0</v>
          </cell>
          <cell r="J1116">
            <v>0</v>
          </cell>
        </row>
        <row r="1117">
          <cell r="B1117" t="str">
            <v>2.1.04.06.03</v>
          </cell>
          <cell r="C1117" t="str">
            <v>Bagian Lancar Pinjaman Daerah dari Lembaga Keuangan Bank (LKB)</v>
          </cell>
          <cell r="D1117"/>
          <cell r="E1117"/>
          <cell r="F1117">
            <v>0</v>
          </cell>
          <cell r="G1117">
            <v>0</v>
          </cell>
          <cell r="H1117">
            <v>0</v>
          </cell>
          <cell r="I1117">
            <v>0</v>
          </cell>
          <cell r="J1117">
            <v>0</v>
          </cell>
        </row>
        <row r="1118">
          <cell r="B1118" t="str">
            <v>2.1.04.06.04</v>
          </cell>
          <cell r="C1118" t="str">
            <v>Bagian Lancar Pinjaman Daerah dari Lembaga Keuangan Bukan Bank (LKBB)</v>
          </cell>
          <cell r="D1118"/>
          <cell r="E1118"/>
          <cell r="F1118">
            <v>0</v>
          </cell>
          <cell r="G1118">
            <v>0</v>
          </cell>
          <cell r="H1118">
            <v>0</v>
          </cell>
          <cell r="I1118">
            <v>0</v>
          </cell>
          <cell r="J1118">
            <v>0</v>
          </cell>
        </row>
        <row r="1119">
          <cell r="B1119"/>
          <cell r="C1119"/>
          <cell r="D1119"/>
          <cell r="E1119"/>
          <cell r="F1119"/>
          <cell r="G1119"/>
          <cell r="H1119"/>
          <cell r="I1119"/>
          <cell r="J1119"/>
        </row>
        <row r="1120">
          <cell r="B1120" t="str">
            <v>2.1.05</v>
          </cell>
          <cell r="C1120" t="str">
            <v>Pendapatan Diterima Dimuka</v>
          </cell>
          <cell r="D1120">
            <v>528973200</v>
          </cell>
          <cell r="E1120">
            <v>436569725</v>
          </cell>
          <cell r="F1120"/>
          <cell r="G1120"/>
          <cell r="H1120"/>
          <cell r="I1120"/>
          <cell r="J1120">
            <v>432059725</v>
          </cell>
        </row>
        <row r="1121">
          <cell r="B1121" t="str">
            <v>2.1.05.01</v>
          </cell>
          <cell r="C1121" t="str">
            <v>Setoran Kelebihan Pembayaran Dari Pihak III</v>
          </cell>
          <cell r="D1121">
            <v>0</v>
          </cell>
          <cell r="E1121">
            <v>0</v>
          </cell>
          <cell r="F1121"/>
          <cell r="G1121"/>
          <cell r="H1121"/>
          <cell r="I1121"/>
          <cell r="J1121">
            <v>0</v>
          </cell>
        </row>
        <row r="1122">
          <cell r="B1122" t="str">
            <v>2.1.05.01.01</v>
          </cell>
          <cell r="C1122" t="str">
            <v>Setoran Kelebihan Pembayaran Dari Pihak III</v>
          </cell>
          <cell r="D1122"/>
          <cell r="E1122"/>
          <cell r="F1122">
            <v>0</v>
          </cell>
          <cell r="G1122">
            <v>0</v>
          </cell>
          <cell r="H1122">
            <v>0</v>
          </cell>
          <cell r="I1122">
            <v>0</v>
          </cell>
          <cell r="J1122">
            <v>0</v>
          </cell>
        </row>
        <row r="1123">
          <cell r="B1123" t="str">
            <v>2.1.05.02</v>
          </cell>
          <cell r="C1123" t="str">
            <v>Uang Muka Penjualan Produk Pemda Dari Pihak III</v>
          </cell>
          <cell r="D1123">
            <v>0</v>
          </cell>
          <cell r="E1123">
            <v>0</v>
          </cell>
          <cell r="F1123"/>
          <cell r="G1123"/>
          <cell r="H1123"/>
          <cell r="I1123"/>
          <cell r="J1123">
            <v>0</v>
          </cell>
        </row>
        <row r="1124">
          <cell r="B1124" t="str">
            <v>2.1.05.02.01</v>
          </cell>
          <cell r="C1124" t="str">
            <v>Uang Muka Penjualan Produk Pemda Dari Pihak III</v>
          </cell>
          <cell r="D1124"/>
          <cell r="E1124"/>
          <cell r="F1124">
            <v>0</v>
          </cell>
          <cell r="G1124">
            <v>0</v>
          </cell>
          <cell r="H1124">
            <v>0</v>
          </cell>
          <cell r="I1124">
            <v>0</v>
          </cell>
          <cell r="J1124">
            <v>0</v>
          </cell>
        </row>
        <row r="1125">
          <cell r="B1125" t="str">
            <v>2.1.05.03</v>
          </cell>
          <cell r="C1125" t="str">
            <v>Uang Muka Lelang Penjualan Aset Daerah</v>
          </cell>
          <cell r="D1125">
            <v>0</v>
          </cell>
          <cell r="E1125">
            <v>0</v>
          </cell>
          <cell r="F1125"/>
          <cell r="G1125"/>
          <cell r="H1125"/>
          <cell r="I1125"/>
          <cell r="J1125">
            <v>0</v>
          </cell>
        </row>
        <row r="1126">
          <cell r="B1126" t="str">
            <v>2.1.05.03.01</v>
          </cell>
          <cell r="C1126" t="str">
            <v>Uang Muka Lelang Penjualan Aset Daerah</v>
          </cell>
          <cell r="D1126"/>
          <cell r="E1126"/>
          <cell r="F1126">
            <v>0</v>
          </cell>
          <cell r="G1126">
            <v>0</v>
          </cell>
          <cell r="H1126">
            <v>0</v>
          </cell>
          <cell r="I1126">
            <v>0</v>
          </cell>
          <cell r="J1126">
            <v>0</v>
          </cell>
        </row>
        <row r="1127">
          <cell r="B1127" t="str">
            <v>2.1.05.04</v>
          </cell>
          <cell r="C1127" t="str">
            <v>Pendapatan Diterima Dimuka-Belanja Sewa</v>
          </cell>
          <cell r="D1127">
            <v>528973200</v>
          </cell>
          <cell r="E1127">
            <v>436569725</v>
          </cell>
          <cell r="F1127"/>
          <cell r="G1127"/>
          <cell r="H1127"/>
          <cell r="I1127"/>
          <cell r="J1127">
            <v>432059725</v>
          </cell>
        </row>
        <row r="1128">
          <cell r="B1128" t="str">
            <v>2.1.05.04.01</v>
          </cell>
          <cell r="C1128" t="str">
            <v>Pendapatan Diterima Dimuka-Sewa Tanah</v>
          </cell>
          <cell r="D1128">
            <v>453093200</v>
          </cell>
          <cell r="E1128">
            <v>390059725</v>
          </cell>
          <cell r="F1128"/>
          <cell r="G1128">
            <v>0</v>
          </cell>
          <cell r="H1128">
            <v>0</v>
          </cell>
          <cell r="I1128">
            <v>0</v>
          </cell>
          <cell r="J1128">
            <v>390059725</v>
          </cell>
        </row>
        <row r="1129">
          <cell r="B1129" t="str">
            <v>2.1.05.04.02</v>
          </cell>
          <cell r="C1129" t="str">
            <v>Pendapatan Diterima Dimuka-Sewa Peralatan dan Mesin</v>
          </cell>
          <cell r="D1129"/>
          <cell r="E1129"/>
          <cell r="F1129">
            <v>0</v>
          </cell>
          <cell r="G1129">
            <v>0</v>
          </cell>
          <cell r="H1129">
            <v>0</v>
          </cell>
          <cell r="I1129">
            <v>0</v>
          </cell>
          <cell r="J1129">
            <v>0</v>
          </cell>
        </row>
        <row r="1130">
          <cell r="B1130" t="str">
            <v>2.1.05.04.03</v>
          </cell>
          <cell r="C1130" t="str">
            <v>Pendapatan Diterima Dimuka-Sewa Gedung dan Bangunan</v>
          </cell>
          <cell r="D1130">
            <v>75880000</v>
          </cell>
          <cell r="E1130">
            <v>46510000</v>
          </cell>
          <cell r="F1130">
            <v>0</v>
          </cell>
          <cell r="G1130">
            <v>0</v>
          </cell>
          <cell r="H1130">
            <v>4510000</v>
          </cell>
          <cell r="I1130">
            <v>0</v>
          </cell>
          <cell r="J1130">
            <v>42000000</v>
          </cell>
        </row>
        <row r="1131">
          <cell r="B1131" t="str">
            <v>2.1.05.04.04</v>
          </cell>
          <cell r="C1131" t="str">
            <v>Pendapatan Diterima Dimuka-Sewa Jalan, Jaringan, dan Irigasi</v>
          </cell>
          <cell r="D1131"/>
          <cell r="E1131"/>
          <cell r="F1131">
            <v>0</v>
          </cell>
          <cell r="G1131">
            <v>0</v>
          </cell>
          <cell r="H1131">
            <v>0</v>
          </cell>
          <cell r="I1131">
            <v>0</v>
          </cell>
          <cell r="J1131">
            <v>0</v>
          </cell>
        </row>
        <row r="1132">
          <cell r="B1132" t="str">
            <v>2.1.05.04.05</v>
          </cell>
          <cell r="C1132" t="str">
            <v>Pendapatan Diterima Dimuka-Sewa Aset Tetap Lainnya</v>
          </cell>
          <cell r="D1132"/>
          <cell r="E1132"/>
          <cell r="F1132">
            <v>0</v>
          </cell>
          <cell r="G1132">
            <v>0</v>
          </cell>
          <cell r="H1132">
            <v>0</v>
          </cell>
          <cell r="I1132">
            <v>0</v>
          </cell>
          <cell r="J1132">
            <v>0</v>
          </cell>
        </row>
        <row r="1133">
          <cell r="B1133" t="str">
            <v>2.1.05.04.06</v>
          </cell>
          <cell r="C1133" t="str">
            <v>Pendapatan Diterima Dimuka-Sewa Aset Tidak Berwujud</v>
          </cell>
          <cell r="D1133"/>
          <cell r="E1133"/>
          <cell r="F1133">
            <v>0</v>
          </cell>
          <cell r="G1133">
            <v>0</v>
          </cell>
          <cell r="H1133">
            <v>0</v>
          </cell>
          <cell r="I1133">
            <v>0</v>
          </cell>
          <cell r="J1133">
            <v>0</v>
          </cell>
        </row>
        <row r="1134">
          <cell r="B1134" t="str">
            <v>2.1.05.05</v>
          </cell>
          <cell r="C1134" t="str">
            <v>Pendapatan Diterima Dimuka-Pajak Daerah</v>
          </cell>
          <cell r="D1134">
            <v>0</v>
          </cell>
          <cell r="E1134">
            <v>0</v>
          </cell>
          <cell r="F1134"/>
          <cell r="G1134"/>
          <cell r="H1134"/>
          <cell r="I1134"/>
          <cell r="J1134">
            <v>0</v>
          </cell>
        </row>
        <row r="1135">
          <cell r="B1135" t="str">
            <v>2.1.05.05.01</v>
          </cell>
          <cell r="C1135" t="str">
            <v>Pendapatan Diterima Dimuka-Pajak Reklame</v>
          </cell>
          <cell r="D1135"/>
          <cell r="E1135"/>
          <cell r="F1135">
            <v>0</v>
          </cell>
          <cell r="G1135">
            <v>0</v>
          </cell>
          <cell r="H1135">
            <v>0</v>
          </cell>
          <cell r="I1135">
            <v>0</v>
          </cell>
          <cell r="J1135">
            <v>0</v>
          </cell>
        </row>
        <row r="1136">
          <cell r="B1136"/>
          <cell r="C1136"/>
          <cell r="D1136"/>
          <cell r="E1136"/>
          <cell r="F1136"/>
          <cell r="G1136"/>
          <cell r="H1136"/>
          <cell r="I1136"/>
          <cell r="J1136"/>
        </row>
        <row r="1137">
          <cell r="B1137" t="str">
            <v>2.1.06</v>
          </cell>
          <cell r="C1137" t="str">
            <v>Utang Belanja</v>
          </cell>
          <cell r="D1137">
            <v>43120955654.300003</v>
          </cell>
          <cell r="E1137">
            <v>14185881603.030001</v>
          </cell>
          <cell r="F1137"/>
          <cell r="G1137"/>
          <cell r="H1137"/>
          <cell r="I1137"/>
          <cell r="J1137">
            <v>14185881603.030001</v>
          </cell>
        </row>
        <row r="1138">
          <cell r="B1138" t="str">
            <v>2.1.06.01</v>
          </cell>
          <cell r="C1138" t="str">
            <v>Utang Belanja Pegawai</v>
          </cell>
          <cell r="D1138">
            <v>139696129</v>
          </cell>
          <cell r="E1138">
            <v>229726800</v>
          </cell>
          <cell r="F1138"/>
          <cell r="G1138"/>
          <cell r="H1138"/>
          <cell r="I1138"/>
          <cell r="J1138">
            <v>229726800</v>
          </cell>
        </row>
        <row r="1139">
          <cell r="B1139" t="str">
            <v>2.1.06.01.01</v>
          </cell>
          <cell r="C1139" t="str">
            <v>Utang Belanja Gaji dan Tunjangan ASN</v>
          </cell>
          <cell r="D1139">
            <v>1211479</v>
          </cell>
          <cell r="E1139"/>
          <cell r="F1139">
            <v>0</v>
          </cell>
          <cell r="G1139">
            <v>0</v>
          </cell>
          <cell r="H1139">
            <v>0</v>
          </cell>
          <cell r="I1139">
            <v>0</v>
          </cell>
          <cell r="J1139">
            <v>0</v>
          </cell>
        </row>
        <row r="1140">
          <cell r="B1140" t="str">
            <v>2.1.06.01.02</v>
          </cell>
          <cell r="C1140" t="str">
            <v>Utang Belanja Tambahan Penghasilan ASN</v>
          </cell>
          <cell r="D1140"/>
          <cell r="E1140"/>
          <cell r="F1140">
            <v>0</v>
          </cell>
          <cell r="G1140">
            <v>0</v>
          </cell>
          <cell r="H1140">
            <v>0</v>
          </cell>
          <cell r="I1140">
            <v>0</v>
          </cell>
          <cell r="J1140">
            <v>0</v>
          </cell>
        </row>
        <row r="1141">
          <cell r="B1141" t="str">
            <v>2.1.06.01.03</v>
          </cell>
          <cell r="C1141" t="str">
            <v>Utang Belanja Tambahan Penghasilan berdasarkan Pertimbangan Objektif Lainnya ASN</v>
          </cell>
          <cell r="D1141"/>
          <cell r="E1141"/>
          <cell r="F1141">
            <v>0</v>
          </cell>
          <cell r="G1141">
            <v>0</v>
          </cell>
          <cell r="H1141">
            <v>0</v>
          </cell>
          <cell r="I1141">
            <v>0</v>
          </cell>
          <cell r="J1141">
            <v>0</v>
          </cell>
        </row>
        <row r="1142">
          <cell r="B1142" t="str">
            <v>2.1.06.01.04</v>
          </cell>
          <cell r="C1142" t="str">
            <v>Utang Belanja Gaji dan Tunjangan DPRD</v>
          </cell>
          <cell r="D1142"/>
          <cell r="E1142"/>
          <cell r="F1142">
            <v>0</v>
          </cell>
          <cell r="G1142">
            <v>0</v>
          </cell>
          <cell r="H1142">
            <v>0</v>
          </cell>
          <cell r="I1142">
            <v>0</v>
          </cell>
          <cell r="J1142">
            <v>0</v>
          </cell>
        </row>
        <row r="1143">
          <cell r="B1143" t="str">
            <v>2.1.06.01.05</v>
          </cell>
          <cell r="C1143" t="str">
            <v>Utang Belanja Gaji dan Tunjangan KDH/WKDH</v>
          </cell>
          <cell r="D1143"/>
          <cell r="E1143"/>
          <cell r="F1143">
            <v>0</v>
          </cell>
          <cell r="G1143">
            <v>0</v>
          </cell>
          <cell r="H1143">
            <v>0</v>
          </cell>
          <cell r="I1143">
            <v>0</v>
          </cell>
          <cell r="J1143">
            <v>0</v>
          </cell>
        </row>
        <row r="1144">
          <cell r="B1144" t="str">
            <v>2.1.06.01.06</v>
          </cell>
          <cell r="C1144" t="str">
            <v>Utang Belanja Penerimaan Lainnya Pimpinan DPRD serta KDH/WKDH</v>
          </cell>
          <cell r="D1144"/>
          <cell r="E1144"/>
          <cell r="F1144">
            <v>0</v>
          </cell>
          <cell r="G1144">
            <v>0</v>
          </cell>
          <cell r="H1144">
            <v>0</v>
          </cell>
          <cell r="I1144">
            <v>0</v>
          </cell>
          <cell r="J1144">
            <v>0</v>
          </cell>
        </row>
        <row r="1145">
          <cell r="B1145" t="str">
            <v>2.1.06.01.07</v>
          </cell>
          <cell r="C1145" t="str">
            <v>Utang Belanja Gaji dan Tunjangan MRP</v>
          </cell>
          <cell r="D1145"/>
          <cell r="E1145"/>
          <cell r="F1145">
            <v>0</v>
          </cell>
          <cell r="G1145">
            <v>0</v>
          </cell>
          <cell r="H1145">
            <v>0</v>
          </cell>
          <cell r="I1145">
            <v>0</v>
          </cell>
          <cell r="J1145">
            <v>0</v>
          </cell>
        </row>
        <row r="1146">
          <cell r="B1146" t="str">
            <v>2.1.06.01.08</v>
          </cell>
          <cell r="C1146" t="str">
            <v>Utang Belanja Gaji dan Tunjangan Perangkat Lembaga Wali Nanggroe</v>
          </cell>
          <cell r="D1146"/>
          <cell r="E1146"/>
          <cell r="F1146">
            <v>0</v>
          </cell>
          <cell r="G1146">
            <v>0</v>
          </cell>
          <cell r="H1146">
            <v>0</v>
          </cell>
          <cell r="I1146">
            <v>0</v>
          </cell>
          <cell r="J1146">
            <v>0</v>
          </cell>
        </row>
        <row r="1147">
          <cell r="B1147" t="str">
            <v>2.1.06.01.88</v>
          </cell>
          <cell r="C1147" t="str">
            <v>Utang Belanja Pegawai BOS</v>
          </cell>
          <cell r="D1147"/>
          <cell r="E1147"/>
          <cell r="F1147">
            <v>0</v>
          </cell>
          <cell r="G1147">
            <v>0</v>
          </cell>
          <cell r="H1147">
            <v>0</v>
          </cell>
          <cell r="I1147">
            <v>0</v>
          </cell>
          <cell r="J1147">
            <v>0</v>
          </cell>
        </row>
        <row r="1148">
          <cell r="B1148" t="str">
            <v>2.1.06.01.89</v>
          </cell>
          <cell r="C1148" t="str">
            <v>Utang Belanja Pegawai BOSP</v>
          </cell>
          <cell r="D1148"/>
          <cell r="E1148"/>
          <cell r="F1148">
            <v>0</v>
          </cell>
          <cell r="G1148">
            <v>0</v>
          </cell>
          <cell r="H1148">
            <v>0</v>
          </cell>
          <cell r="I1148">
            <v>0</v>
          </cell>
          <cell r="J1148">
            <v>0</v>
          </cell>
        </row>
        <row r="1149">
          <cell r="B1149" t="str">
            <v>2.1.06.01.99</v>
          </cell>
          <cell r="C1149" t="str">
            <v>Utang Belanja Pegawai BLUD</v>
          </cell>
          <cell r="D1149">
            <v>138484650</v>
          </cell>
          <cell r="E1149">
            <v>229726800</v>
          </cell>
          <cell r="F1149">
            <v>0</v>
          </cell>
          <cell r="G1149">
            <v>0</v>
          </cell>
          <cell r="H1149">
            <v>0</v>
          </cell>
          <cell r="I1149">
            <v>0</v>
          </cell>
          <cell r="J1149">
            <v>229726800</v>
          </cell>
        </row>
        <row r="1150">
          <cell r="B1150" t="str">
            <v>2.1.06.02</v>
          </cell>
          <cell r="C1150" t="str">
            <v>Utang Belanja Barang dan Jasa</v>
          </cell>
          <cell r="D1150">
            <v>8355290325</v>
          </cell>
          <cell r="E1150">
            <v>4636039454.2600002</v>
          </cell>
          <cell r="F1150"/>
          <cell r="G1150"/>
          <cell r="H1150"/>
          <cell r="I1150"/>
          <cell r="J1150">
            <v>4636039454.2600002</v>
          </cell>
        </row>
        <row r="1151">
          <cell r="B1151" t="str">
            <v>2.1.06.02.01</v>
          </cell>
          <cell r="C1151" t="str">
            <v>Utang Belanja Barang</v>
          </cell>
          <cell r="D1151">
            <v>1271390000</v>
          </cell>
          <cell r="E1151">
            <v>1557389218.75</v>
          </cell>
          <cell r="F1151">
            <v>0</v>
          </cell>
          <cell r="G1151">
            <v>0</v>
          </cell>
          <cell r="H1151">
            <v>0</v>
          </cell>
          <cell r="I1151">
            <v>0</v>
          </cell>
          <cell r="J1151">
            <v>1557389218.75</v>
          </cell>
        </row>
        <row r="1152">
          <cell r="B1152" t="str">
            <v>2.1.06.02.02</v>
          </cell>
          <cell r="C1152" t="str">
            <v>Utang Belanja Jasa</v>
          </cell>
          <cell r="D1152">
            <v>2412505868</v>
          </cell>
          <cell r="E1152">
            <v>958000</v>
          </cell>
          <cell r="F1152">
            <v>0</v>
          </cell>
          <cell r="G1152">
            <v>0</v>
          </cell>
          <cell r="H1152">
            <v>0</v>
          </cell>
          <cell r="I1152">
            <v>0</v>
          </cell>
          <cell r="J1152">
            <v>958000</v>
          </cell>
        </row>
        <row r="1153">
          <cell r="B1153" t="str">
            <v>2.1.06.02.03</v>
          </cell>
          <cell r="C1153" t="str">
            <v>Utang Belanja Pemeliharaan</v>
          </cell>
          <cell r="D1153">
            <v>2446359950</v>
          </cell>
          <cell r="E1153">
            <v>392122900</v>
          </cell>
          <cell r="F1153">
            <v>0</v>
          </cell>
          <cell r="G1153">
            <v>0</v>
          </cell>
          <cell r="H1153">
            <v>0</v>
          </cell>
          <cell r="I1153">
            <v>0</v>
          </cell>
          <cell r="J1153">
            <v>392122900</v>
          </cell>
        </row>
        <row r="1154">
          <cell r="B1154" t="str">
            <v>2.1.06.02.04</v>
          </cell>
          <cell r="C1154" t="str">
            <v>Utang Belanja Perjalanan Dinas</v>
          </cell>
          <cell r="D1154"/>
          <cell r="E1154"/>
          <cell r="F1154">
            <v>0</v>
          </cell>
          <cell r="G1154">
            <v>0</v>
          </cell>
          <cell r="H1154">
            <v>0</v>
          </cell>
          <cell r="I1154">
            <v>0</v>
          </cell>
          <cell r="J1154">
            <v>0</v>
          </cell>
        </row>
        <row r="1155">
          <cell r="B1155" t="str">
            <v>2.1.06.02.05</v>
          </cell>
          <cell r="C1155" t="str">
            <v>Utang Belanja Uang dan/atau Jasa untuk Diberikan kepada Pihak Ketiga/Pihak Lain/Masyarakat</v>
          </cell>
          <cell r="D1155"/>
          <cell r="E1155"/>
          <cell r="F1155">
            <v>0</v>
          </cell>
          <cell r="G1155">
            <v>0</v>
          </cell>
          <cell r="H1155">
            <v>0</v>
          </cell>
          <cell r="I1155">
            <v>0</v>
          </cell>
          <cell r="J1155">
            <v>0</v>
          </cell>
        </row>
        <row r="1156">
          <cell r="B1156" t="str">
            <v>2.1.06.02.06</v>
          </cell>
          <cell r="C1156" t="str">
            <v>Utang Belanja Penunjang Otonomi Khusus*)</v>
          </cell>
          <cell r="D1156"/>
          <cell r="E1156"/>
          <cell r="F1156">
            <v>0</v>
          </cell>
          <cell r="G1156">
            <v>0</v>
          </cell>
          <cell r="H1156">
            <v>0</v>
          </cell>
          <cell r="I1156">
            <v>0</v>
          </cell>
          <cell r="J1156">
            <v>0</v>
          </cell>
        </row>
        <row r="1157">
          <cell r="B1157" t="str">
            <v>2.1.06.02.88</v>
          </cell>
          <cell r="C1157" t="str">
            <v>Utang Belanja Barang dan Jasa BOS</v>
          </cell>
          <cell r="D1157"/>
          <cell r="E1157"/>
          <cell r="F1157">
            <v>0</v>
          </cell>
          <cell r="G1157">
            <v>0</v>
          </cell>
          <cell r="H1157">
            <v>0</v>
          </cell>
          <cell r="I1157">
            <v>0</v>
          </cell>
          <cell r="J1157">
            <v>0</v>
          </cell>
        </row>
        <row r="1158">
          <cell r="B1158" t="str">
            <v>2.1.06.02.89</v>
          </cell>
          <cell r="C1158" t="str">
            <v>Utang Belanja Barang dan Jasa BOSP</v>
          </cell>
          <cell r="D1158"/>
          <cell r="E1158"/>
          <cell r="F1158">
            <v>0</v>
          </cell>
          <cell r="G1158">
            <v>0</v>
          </cell>
          <cell r="H1158">
            <v>0</v>
          </cell>
          <cell r="I1158">
            <v>0</v>
          </cell>
          <cell r="J1158">
            <v>0</v>
          </cell>
        </row>
        <row r="1159">
          <cell r="B1159" t="str">
            <v>2.1.06.02.90</v>
          </cell>
          <cell r="C1159" t="str">
            <v>Utang Belanja Barang dan Jasa BOK Puskesmas</v>
          </cell>
          <cell r="D1159"/>
          <cell r="E1159"/>
          <cell r="F1159">
            <v>0</v>
          </cell>
          <cell r="G1159">
            <v>0</v>
          </cell>
          <cell r="H1159">
            <v>0</v>
          </cell>
          <cell r="I1159">
            <v>0</v>
          </cell>
          <cell r="J1159">
            <v>0</v>
          </cell>
        </row>
        <row r="1160">
          <cell r="B1160" t="str">
            <v>2.1.06.02.99</v>
          </cell>
          <cell r="C1160" t="str">
            <v>Utang Belanja Barang dan Jasa BLUD</v>
          </cell>
          <cell r="D1160">
            <v>2225034507</v>
          </cell>
          <cell r="E1160">
            <v>2685569335.5100002</v>
          </cell>
          <cell r="F1160">
            <v>0</v>
          </cell>
          <cell r="G1160">
            <v>0</v>
          </cell>
          <cell r="H1160">
            <v>0</v>
          </cell>
          <cell r="I1160">
            <v>0</v>
          </cell>
          <cell r="J1160">
            <v>2685569335.5100002</v>
          </cell>
        </row>
        <row r="1161">
          <cell r="B1161" t="str">
            <v>2.1.06.03</v>
          </cell>
          <cell r="C1161" t="str">
            <v>Utang Belanja Bunga</v>
          </cell>
          <cell r="D1161">
            <v>0</v>
          </cell>
          <cell r="E1161">
            <v>0</v>
          </cell>
          <cell r="F1161"/>
          <cell r="G1161"/>
          <cell r="H1161"/>
          <cell r="I1161"/>
          <cell r="J1161">
            <v>0</v>
          </cell>
        </row>
        <row r="1162">
          <cell r="B1162" t="str">
            <v>2.1.06.03.01</v>
          </cell>
          <cell r="C1162" t="str">
            <v>Utang Belanja Bunga atas Pinjaman kepada Pemerintah Pusat</v>
          </cell>
          <cell r="D1162"/>
          <cell r="E1162"/>
          <cell r="F1162">
            <v>0</v>
          </cell>
          <cell r="G1162">
            <v>0</v>
          </cell>
          <cell r="H1162">
            <v>0</v>
          </cell>
          <cell r="I1162">
            <v>0</v>
          </cell>
          <cell r="J1162">
            <v>0</v>
          </cell>
        </row>
        <row r="1163">
          <cell r="B1163" t="str">
            <v>2.1.06.03.02</v>
          </cell>
          <cell r="C1163" t="str">
            <v>Utang Belanja Bunga atas Pinjaman kepada Pemerintah Daerah Lainnya</v>
          </cell>
          <cell r="D1163"/>
          <cell r="E1163"/>
          <cell r="F1163">
            <v>0</v>
          </cell>
          <cell r="G1163">
            <v>0</v>
          </cell>
          <cell r="H1163">
            <v>0</v>
          </cell>
          <cell r="I1163">
            <v>0</v>
          </cell>
          <cell r="J1163">
            <v>0</v>
          </cell>
        </row>
        <row r="1164">
          <cell r="B1164" t="str">
            <v>2.1.06.03.03</v>
          </cell>
          <cell r="C1164" t="str">
            <v>Utang Belanja Bunga atas Pinjaman kepada Lembaga Keuangan Bank</v>
          </cell>
          <cell r="D1164"/>
          <cell r="E1164"/>
          <cell r="F1164">
            <v>0</v>
          </cell>
          <cell r="G1164">
            <v>0</v>
          </cell>
          <cell r="H1164">
            <v>0</v>
          </cell>
          <cell r="I1164">
            <v>0</v>
          </cell>
          <cell r="J1164">
            <v>0</v>
          </cell>
        </row>
        <row r="1165">
          <cell r="B1165" t="str">
            <v>2.1.06.03.04</v>
          </cell>
          <cell r="C1165" t="str">
            <v>Utang Belanja Bunga atas Pinjaman kepada Lembaga Keuangan Bukan Bank</v>
          </cell>
          <cell r="D1165"/>
          <cell r="E1165"/>
          <cell r="F1165">
            <v>0</v>
          </cell>
          <cell r="G1165">
            <v>0</v>
          </cell>
          <cell r="H1165">
            <v>0</v>
          </cell>
          <cell r="I1165">
            <v>0</v>
          </cell>
          <cell r="J1165">
            <v>0</v>
          </cell>
        </row>
        <row r="1166">
          <cell r="B1166" t="str">
            <v>2.1.06.03.05</v>
          </cell>
          <cell r="C1166" t="str">
            <v>Utang Belanja Bunga atas Pinjaman kepada Masyarakat</v>
          </cell>
          <cell r="D1166"/>
          <cell r="E1166"/>
          <cell r="F1166">
            <v>0</v>
          </cell>
          <cell r="G1166">
            <v>0</v>
          </cell>
          <cell r="H1166">
            <v>0</v>
          </cell>
          <cell r="I1166">
            <v>0</v>
          </cell>
          <cell r="J1166">
            <v>0</v>
          </cell>
        </row>
        <row r="1167">
          <cell r="B1167" t="str">
            <v>2.1.06.03.06</v>
          </cell>
          <cell r="C1167" t="str">
            <v>Utang Belanja Bunga atas Pinjaman melalui BLUD</v>
          </cell>
          <cell r="D1167"/>
          <cell r="E1167"/>
          <cell r="F1167">
            <v>0</v>
          </cell>
          <cell r="G1167">
            <v>0</v>
          </cell>
          <cell r="H1167">
            <v>0</v>
          </cell>
          <cell r="I1167">
            <v>0</v>
          </cell>
          <cell r="J1167">
            <v>0</v>
          </cell>
        </row>
        <row r="1168">
          <cell r="B1168" t="str">
            <v>2.1.06.03.07</v>
          </cell>
          <cell r="C1168" t="str">
            <v>Utang Belanja Bunga Pembiayaan Utang Daerah-Pinjaman Daerah</v>
          </cell>
          <cell r="D1168"/>
          <cell r="E1168"/>
          <cell r="F1168">
            <v>0</v>
          </cell>
          <cell r="G1168">
            <v>0</v>
          </cell>
          <cell r="H1168">
            <v>0</v>
          </cell>
          <cell r="I1168">
            <v>0</v>
          </cell>
          <cell r="J1168">
            <v>0</v>
          </cell>
        </row>
        <row r="1169">
          <cell r="B1169" t="str">
            <v>2.1.06.03.08</v>
          </cell>
          <cell r="C1169" t="str">
            <v>Utang Belanja Bunga Pembiayaan Utang Daerah-Obligasi Daerah</v>
          </cell>
          <cell r="D1169"/>
          <cell r="E1169"/>
          <cell r="F1169">
            <v>0</v>
          </cell>
          <cell r="G1169">
            <v>0</v>
          </cell>
          <cell r="H1169">
            <v>0</v>
          </cell>
          <cell r="I1169">
            <v>0</v>
          </cell>
          <cell r="J1169">
            <v>0</v>
          </cell>
        </row>
        <row r="1170">
          <cell r="B1170" t="str">
            <v>2.1.06.04</v>
          </cell>
          <cell r="C1170" t="str">
            <v>Utang Belanja Subsidi</v>
          </cell>
          <cell r="D1170">
            <v>0</v>
          </cell>
          <cell r="E1170">
            <v>0</v>
          </cell>
          <cell r="F1170"/>
          <cell r="G1170"/>
          <cell r="H1170"/>
          <cell r="I1170"/>
          <cell r="J1170">
            <v>0</v>
          </cell>
        </row>
        <row r="1171">
          <cell r="B1171" t="str">
            <v>2.1.06.04.01</v>
          </cell>
          <cell r="C1171" t="str">
            <v>Utang Belanja Subsidi kepada BUMN</v>
          </cell>
          <cell r="D1171"/>
          <cell r="E1171"/>
          <cell r="F1171">
            <v>0</v>
          </cell>
          <cell r="G1171">
            <v>0</v>
          </cell>
          <cell r="H1171">
            <v>0</v>
          </cell>
          <cell r="I1171">
            <v>0</v>
          </cell>
          <cell r="J1171">
            <v>0</v>
          </cell>
        </row>
        <row r="1172">
          <cell r="B1172" t="str">
            <v>2.1.06.04.02</v>
          </cell>
          <cell r="C1172" t="str">
            <v>Utang Belanja Subsidi kepada BUMD</v>
          </cell>
          <cell r="D1172"/>
          <cell r="E1172"/>
          <cell r="F1172">
            <v>0</v>
          </cell>
          <cell r="G1172">
            <v>0</v>
          </cell>
          <cell r="H1172">
            <v>0</v>
          </cell>
          <cell r="I1172">
            <v>0</v>
          </cell>
          <cell r="J1172">
            <v>0</v>
          </cell>
        </row>
        <row r="1173">
          <cell r="B1173" t="str">
            <v>2.1.06.04.03</v>
          </cell>
          <cell r="C1173" t="str">
            <v>Utang Belanja Subsidi kepada Badan Usaha Milik Swasta</v>
          </cell>
          <cell r="D1173"/>
          <cell r="E1173"/>
          <cell r="F1173">
            <v>0</v>
          </cell>
          <cell r="G1173">
            <v>0</v>
          </cell>
          <cell r="H1173">
            <v>0</v>
          </cell>
          <cell r="I1173">
            <v>0</v>
          </cell>
          <cell r="J1173">
            <v>0</v>
          </cell>
        </row>
        <row r="1174">
          <cell r="B1174" t="str">
            <v>2.1.06.04.04</v>
          </cell>
          <cell r="C1174" t="str">
            <v>Utang Belanja Subsidi kepada Koperasi</v>
          </cell>
          <cell r="D1174"/>
          <cell r="E1174"/>
          <cell r="F1174">
            <v>0</v>
          </cell>
          <cell r="G1174">
            <v>0</v>
          </cell>
          <cell r="H1174">
            <v>0</v>
          </cell>
          <cell r="I1174">
            <v>0</v>
          </cell>
          <cell r="J1174">
            <v>0</v>
          </cell>
        </row>
        <row r="1175">
          <cell r="B1175" t="str">
            <v>2.1.06.05</v>
          </cell>
          <cell r="C1175" t="str">
            <v>Utang Belanja Hibah</v>
          </cell>
          <cell r="D1175">
            <v>0</v>
          </cell>
          <cell r="E1175">
            <v>532089572.04000002</v>
          </cell>
          <cell r="F1175"/>
          <cell r="G1175"/>
          <cell r="H1175"/>
          <cell r="I1175"/>
          <cell r="J1175">
            <v>532089572.04000002</v>
          </cell>
        </row>
        <row r="1176">
          <cell r="B1176" t="str">
            <v>2.1.06.05.01</v>
          </cell>
          <cell r="C1176" t="str">
            <v>Utang Belanja Hibah kepada Pemerintah Pusat</v>
          </cell>
          <cell r="D1176"/>
          <cell r="E1176"/>
          <cell r="F1176">
            <v>0</v>
          </cell>
          <cell r="G1176">
            <v>0</v>
          </cell>
          <cell r="H1176">
            <v>0</v>
          </cell>
          <cell r="I1176">
            <v>0</v>
          </cell>
          <cell r="J1176">
            <v>0</v>
          </cell>
        </row>
        <row r="1177">
          <cell r="B1177" t="str">
            <v>2.1.06.05.02</v>
          </cell>
          <cell r="C1177" t="str">
            <v>Utang Belanja Hibah kepada Pemerintah Daerah Lainnya</v>
          </cell>
          <cell r="D1177"/>
          <cell r="E1177"/>
          <cell r="F1177">
            <v>0</v>
          </cell>
          <cell r="G1177">
            <v>0</v>
          </cell>
          <cell r="H1177">
            <v>0</v>
          </cell>
          <cell r="I1177">
            <v>0</v>
          </cell>
          <cell r="J1177">
            <v>0</v>
          </cell>
        </row>
        <row r="1178">
          <cell r="B1178" t="str">
            <v>2.1.06.05.03</v>
          </cell>
          <cell r="C1178" t="str">
            <v>Utang Belanja Hibah kepada BUMN</v>
          </cell>
          <cell r="D1178"/>
          <cell r="E1178"/>
          <cell r="F1178">
            <v>0</v>
          </cell>
          <cell r="G1178">
            <v>0</v>
          </cell>
          <cell r="H1178">
            <v>0</v>
          </cell>
          <cell r="I1178">
            <v>0</v>
          </cell>
          <cell r="J1178">
            <v>0</v>
          </cell>
        </row>
        <row r="1179">
          <cell r="B1179" t="str">
            <v>2.1.06.05.04</v>
          </cell>
          <cell r="C1179" t="str">
            <v>Utang Belanja Hibah kepada BUMD</v>
          </cell>
          <cell r="D1179"/>
          <cell r="E1179"/>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D1180"/>
          <cell r="E1180">
            <v>532089572.04000002</v>
          </cell>
          <cell r="F1180">
            <v>0</v>
          </cell>
          <cell r="G1180">
            <v>0</v>
          </cell>
          <cell r="H1180">
            <v>0</v>
          </cell>
          <cell r="I1180">
            <v>0</v>
          </cell>
          <cell r="J1180">
            <v>532089572.04000002</v>
          </cell>
        </row>
        <row r="1181">
          <cell r="B1181" t="str">
            <v>2.1.06.05.06</v>
          </cell>
          <cell r="C1181" t="str">
            <v>Utang Belanja Belanja Hibah Dana BOS</v>
          </cell>
          <cell r="D1181"/>
          <cell r="E1181"/>
          <cell r="F1181">
            <v>0</v>
          </cell>
          <cell r="G1181">
            <v>0</v>
          </cell>
          <cell r="H1181">
            <v>0</v>
          </cell>
          <cell r="I1181">
            <v>0</v>
          </cell>
          <cell r="J1181">
            <v>0</v>
          </cell>
        </row>
        <row r="1182">
          <cell r="B1182" t="str">
            <v>2.1.06.05.07</v>
          </cell>
          <cell r="C1182" t="str">
            <v>Utang Belanja Hibah Bantuan Keuangan kepada Partai Politik</v>
          </cell>
          <cell r="D1182"/>
          <cell r="E1182"/>
          <cell r="F1182">
            <v>0</v>
          </cell>
          <cell r="G1182">
            <v>0</v>
          </cell>
          <cell r="H1182">
            <v>0</v>
          </cell>
          <cell r="I1182">
            <v>0</v>
          </cell>
          <cell r="J1182">
            <v>0</v>
          </cell>
        </row>
        <row r="1183">
          <cell r="B1183" t="str">
            <v>2.1.06.05.08</v>
          </cell>
          <cell r="C1183" t="str">
            <v>Utang Belanja Hibah Dana BOSP</v>
          </cell>
          <cell r="D1183"/>
          <cell r="E1183"/>
          <cell r="F1183">
            <v>0</v>
          </cell>
          <cell r="G1183">
            <v>0</v>
          </cell>
          <cell r="H1183">
            <v>0</v>
          </cell>
          <cell r="I1183">
            <v>0</v>
          </cell>
          <cell r="J1183">
            <v>0</v>
          </cell>
        </row>
        <row r="1184">
          <cell r="B1184" t="str">
            <v>2.1.06.05.09</v>
          </cell>
          <cell r="C1184" t="str">
            <v>Utang Belanja Hibah kepada BUMDesa</v>
          </cell>
          <cell r="D1184"/>
          <cell r="E1184"/>
          <cell r="F1184">
            <v>0</v>
          </cell>
          <cell r="G1184">
            <v>0</v>
          </cell>
          <cell r="H1184">
            <v>0</v>
          </cell>
          <cell r="I1184">
            <v>0</v>
          </cell>
          <cell r="J1184">
            <v>0</v>
          </cell>
        </row>
        <row r="1185">
          <cell r="B1185" t="str">
            <v>2.1.06.05.10</v>
          </cell>
          <cell r="C1185" t="str">
            <v>Utang Belanja Hibah kepada Koperasi</v>
          </cell>
          <cell r="D1185"/>
          <cell r="E1185"/>
          <cell r="F1185">
            <v>0</v>
          </cell>
          <cell r="G1185">
            <v>0</v>
          </cell>
          <cell r="H1185">
            <v>0</v>
          </cell>
          <cell r="I1185">
            <v>0</v>
          </cell>
          <cell r="J1185">
            <v>0</v>
          </cell>
        </row>
        <row r="1186">
          <cell r="B1186" t="str">
            <v>2.1.06.06</v>
          </cell>
          <cell r="C1186" t="str">
            <v>Utang Belanja Modal Tanah</v>
          </cell>
          <cell r="D1186">
            <v>0</v>
          </cell>
          <cell r="E1186">
            <v>0</v>
          </cell>
          <cell r="F1186"/>
          <cell r="G1186"/>
          <cell r="H1186"/>
          <cell r="I1186"/>
          <cell r="J1186">
            <v>0</v>
          </cell>
        </row>
        <row r="1187">
          <cell r="B1187" t="str">
            <v>2.1.06.06.01</v>
          </cell>
          <cell r="C1187" t="str">
            <v>Utang Belanja Modal Tanah</v>
          </cell>
          <cell r="D1187"/>
          <cell r="E1187"/>
          <cell r="F1187">
            <v>0</v>
          </cell>
          <cell r="G1187">
            <v>0</v>
          </cell>
          <cell r="H1187">
            <v>0</v>
          </cell>
          <cell r="I1187">
            <v>0</v>
          </cell>
          <cell r="J1187">
            <v>0</v>
          </cell>
        </row>
        <row r="1188">
          <cell r="B1188" t="str">
            <v>2.1.06.06.99</v>
          </cell>
          <cell r="C1188" t="str">
            <v>Utang Belanja Modal Tanah BLUD</v>
          </cell>
          <cell r="D1188"/>
          <cell r="E1188"/>
          <cell r="F1188">
            <v>0</v>
          </cell>
          <cell r="G1188">
            <v>0</v>
          </cell>
          <cell r="H1188">
            <v>0</v>
          </cell>
          <cell r="I1188">
            <v>0</v>
          </cell>
          <cell r="J1188">
            <v>0</v>
          </cell>
        </row>
        <row r="1189">
          <cell r="B1189" t="str">
            <v>2.1.06.07</v>
          </cell>
          <cell r="C1189" t="str">
            <v>Utang Belanja Modal Peralatan dan Mesin</v>
          </cell>
          <cell r="D1189">
            <v>0</v>
          </cell>
          <cell r="E1189">
            <v>0</v>
          </cell>
          <cell r="F1189"/>
          <cell r="G1189"/>
          <cell r="H1189"/>
          <cell r="I1189"/>
          <cell r="J1189">
            <v>0</v>
          </cell>
        </row>
        <row r="1190">
          <cell r="B1190" t="str">
            <v>2.1.06.07.01</v>
          </cell>
          <cell r="C1190" t="str">
            <v>Utang Belanja Modal Alat Besar</v>
          </cell>
          <cell r="D1190"/>
          <cell r="E1190"/>
          <cell r="F1190">
            <v>0</v>
          </cell>
          <cell r="G1190">
            <v>0</v>
          </cell>
          <cell r="H1190">
            <v>0</v>
          </cell>
          <cell r="I1190">
            <v>0</v>
          </cell>
          <cell r="J1190">
            <v>0</v>
          </cell>
        </row>
        <row r="1191">
          <cell r="B1191" t="str">
            <v>2.1.06.07.02</v>
          </cell>
          <cell r="C1191" t="str">
            <v>Utang Belanja Modal Alat Angkutan</v>
          </cell>
          <cell r="D1191"/>
          <cell r="E1191"/>
          <cell r="F1191">
            <v>0</v>
          </cell>
          <cell r="G1191">
            <v>0</v>
          </cell>
          <cell r="H1191">
            <v>0</v>
          </cell>
          <cell r="I1191">
            <v>0</v>
          </cell>
          <cell r="J1191">
            <v>0</v>
          </cell>
        </row>
        <row r="1192">
          <cell r="B1192" t="str">
            <v>2.1.06.07.03</v>
          </cell>
          <cell r="C1192" t="str">
            <v>Utang Belanja Modal Alat Bengkel dan Alat Ukur</v>
          </cell>
          <cell r="D1192"/>
          <cell r="E1192"/>
          <cell r="F1192">
            <v>0</v>
          </cell>
          <cell r="G1192">
            <v>0</v>
          </cell>
          <cell r="H1192">
            <v>0</v>
          </cell>
          <cell r="I1192">
            <v>0</v>
          </cell>
          <cell r="J1192">
            <v>0</v>
          </cell>
        </row>
        <row r="1193">
          <cell r="B1193" t="str">
            <v>2.1.06.07.04</v>
          </cell>
          <cell r="C1193" t="str">
            <v>Utang Belanja Modal Alat Pertanian</v>
          </cell>
          <cell r="D1193"/>
          <cell r="E1193"/>
          <cell r="F1193">
            <v>0</v>
          </cell>
          <cell r="G1193">
            <v>0</v>
          </cell>
          <cell r="H1193">
            <v>0</v>
          </cell>
          <cell r="I1193">
            <v>0</v>
          </cell>
          <cell r="J1193">
            <v>0</v>
          </cell>
        </row>
        <row r="1194">
          <cell r="B1194" t="str">
            <v>2.1.06.07.05</v>
          </cell>
          <cell r="C1194" t="str">
            <v>Utang Belanja Modal Alat Kantor dan Rumah Tangga</v>
          </cell>
          <cell r="D1194"/>
          <cell r="E1194"/>
          <cell r="F1194">
            <v>0</v>
          </cell>
          <cell r="G1194">
            <v>0</v>
          </cell>
          <cell r="H1194">
            <v>0</v>
          </cell>
          <cell r="I1194">
            <v>0</v>
          </cell>
          <cell r="J1194">
            <v>0</v>
          </cell>
        </row>
        <row r="1195">
          <cell r="B1195" t="str">
            <v>2.1.06.07.06</v>
          </cell>
          <cell r="C1195" t="str">
            <v>Utang Belanja Modal Alat Studio, Komunikasi, dan Pemancar</v>
          </cell>
          <cell r="D1195"/>
          <cell r="E1195"/>
          <cell r="F1195">
            <v>0</v>
          </cell>
          <cell r="G1195">
            <v>0</v>
          </cell>
          <cell r="H1195">
            <v>0</v>
          </cell>
          <cell r="I1195">
            <v>0</v>
          </cell>
          <cell r="J1195">
            <v>0</v>
          </cell>
        </row>
        <row r="1196">
          <cell r="B1196" t="str">
            <v>2.1.06.07.07</v>
          </cell>
          <cell r="C1196" t="str">
            <v>Utang Belanja Alat Kedokteran dan Kesehatan</v>
          </cell>
          <cell r="D1196"/>
          <cell r="E1196"/>
          <cell r="F1196">
            <v>0</v>
          </cell>
          <cell r="G1196">
            <v>0</v>
          </cell>
          <cell r="H1196">
            <v>0</v>
          </cell>
          <cell r="I1196">
            <v>0</v>
          </cell>
          <cell r="J1196">
            <v>0</v>
          </cell>
        </row>
        <row r="1197">
          <cell r="B1197" t="str">
            <v>2.1.06.07.08</v>
          </cell>
          <cell r="C1197" t="str">
            <v>Utang Belanja Modal Alat Laboratorium</v>
          </cell>
          <cell r="D1197"/>
          <cell r="E1197"/>
          <cell r="F1197">
            <v>0</v>
          </cell>
          <cell r="G1197">
            <v>0</v>
          </cell>
          <cell r="H1197">
            <v>0</v>
          </cell>
          <cell r="I1197">
            <v>0</v>
          </cell>
          <cell r="J1197">
            <v>0</v>
          </cell>
        </row>
        <row r="1198">
          <cell r="B1198" t="str">
            <v>2.1.06.07.10</v>
          </cell>
          <cell r="C1198" t="str">
            <v>Utang Belanja Modal Komputer</v>
          </cell>
          <cell r="D1198"/>
          <cell r="E1198"/>
          <cell r="F1198">
            <v>0</v>
          </cell>
          <cell r="G1198">
            <v>0</v>
          </cell>
          <cell r="H1198">
            <v>0</v>
          </cell>
          <cell r="I1198">
            <v>0</v>
          </cell>
          <cell r="J1198">
            <v>0</v>
          </cell>
        </row>
        <row r="1199">
          <cell r="B1199" t="str">
            <v>2.1.06.07.11</v>
          </cell>
          <cell r="C1199" t="str">
            <v>Utang Belanja Modal Alat Eksplorasi</v>
          </cell>
          <cell r="D1199"/>
          <cell r="E1199"/>
          <cell r="F1199">
            <v>0</v>
          </cell>
          <cell r="G1199">
            <v>0</v>
          </cell>
          <cell r="H1199">
            <v>0</v>
          </cell>
          <cell r="I1199">
            <v>0</v>
          </cell>
          <cell r="J1199">
            <v>0</v>
          </cell>
        </row>
        <row r="1200">
          <cell r="B1200" t="str">
            <v>2.1.06.07.12</v>
          </cell>
          <cell r="C1200" t="str">
            <v>Utang Belanja Modal Alat Pengeboran</v>
          </cell>
          <cell r="D1200"/>
          <cell r="E1200"/>
          <cell r="F1200">
            <v>0</v>
          </cell>
          <cell r="G1200">
            <v>0</v>
          </cell>
          <cell r="H1200">
            <v>0</v>
          </cell>
          <cell r="I1200">
            <v>0</v>
          </cell>
          <cell r="J1200">
            <v>0</v>
          </cell>
        </row>
        <row r="1201">
          <cell r="B1201" t="str">
            <v>2.1.06.07.13</v>
          </cell>
          <cell r="C1201" t="str">
            <v>Utang Belanja Modal Alat Produksi, Pengolahan, dan Pemurnian</v>
          </cell>
          <cell r="D1201"/>
          <cell r="E1201"/>
          <cell r="F1201">
            <v>0</v>
          </cell>
          <cell r="G1201">
            <v>0</v>
          </cell>
          <cell r="H1201">
            <v>0</v>
          </cell>
          <cell r="I1201">
            <v>0</v>
          </cell>
          <cell r="J1201">
            <v>0</v>
          </cell>
        </row>
        <row r="1202">
          <cell r="B1202" t="str">
            <v>2.1.06.07.14</v>
          </cell>
          <cell r="C1202" t="str">
            <v>Utang Belanja Modal Alat Bantu Eksplorasi</v>
          </cell>
          <cell r="D1202"/>
          <cell r="E1202"/>
          <cell r="F1202">
            <v>0</v>
          </cell>
          <cell r="G1202">
            <v>0</v>
          </cell>
          <cell r="H1202">
            <v>0</v>
          </cell>
          <cell r="I1202">
            <v>0</v>
          </cell>
          <cell r="J1202">
            <v>0</v>
          </cell>
        </row>
        <row r="1203">
          <cell r="B1203" t="str">
            <v>2.1.06.07.15</v>
          </cell>
          <cell r="C1203" t="str">
            <v>Utang Belanja Modal Alat Keselamatan Kerja</v>
          </cell>
          <cell r="D1203"/>
          <cell r="E1203"/>
          <cell r="F1203">
            <v>0</v>
          </cell>
          <cell r="G1203">
            <v>0</v>
          </cell>
          <cell r="H1203">
            <v>0</v>
          </cell>
          <cell r="I1203">
            <v>0</v>
          </cell>
          <cell r="J1203">
            <v>0</v>
          </cell>
        </row>
        <row r="1204">
          <cell r="B1204" t="str">
            <v>2.1.06.07.16</v>
          </cell>
          <cell r="C1204" t="str">
            <v>Utang Belanja Modal Alat Peraga</v>
          </cell>
          <cell r="D1204"/>
          <cell r="E1204"/>
          <cell r="F1204">
            <v>0</v>
          </cell>
          <cell r="G1204">
            <v>0</v>
          </cell>
          <cell r="H1204">
            <v>0</v>
          </cell>
          <cell r="I1204">
            <v>0</v>
          </cell>
          <cell r="J1204">
            <v>0</v>
          </cell>
        </row>
        <row r="1205">
          <cell r="B1205" t="str">
            <v>2.1.06.07.17</v>
          </cell>
          <cell r="C1205" t="str">
            <v>Utang Belanja Modal Peralatan Proses/Produksi</v>
          </cell>
          <cell r="D1205"/>
          <cell r="E1205"/>
          <cell r="F1205">
            <v>0</v>
          </cell>
          <cell r="G1205">
            <v>0</v>
          </cell>
          <cell r="H1205">
            <v>0</v>
          </cell>
          <cell r="I1205">
            <v>0</v>
          </cell>
          <cell r="J1205">
            <v>0</v>
          </cell>
        </row>
        <row r="1206">
          <cell r="B1206" t="str">
            <v>2.1.06.07.18</v>
          </cell>
          <cell r="C1206" t="str">
            <v>Utang Belanja Modal Rambu-Rambu</v>
          </cell>
          <cell r="D1206"/>
          <cell r="E1206"/>
          <cell r="F1206">
            <v>0</v>
          </cell>
          <cell r="G1206">
            <v>0</v>
          </cell>
          <cell r="H1206">
            <v>0</v>
          </cell>
          <cell r="I1206">
            <v>0</v>
          </cell>
          <cell r="J1206">
            <v>0</v>
          </cell>
        </row>
        <row r="1207">
          <cell r="B1207" t="str">
            <v>2.1.06.07.19</v>
          </cell>
          <cell r="C1207" t="str">
            <v>Utang Belanja Modal Peralatan Olahraga</v>
          </cell>
          <cell r="D1207"/>
          <cell r="E1207"/>
          <cell r="F1207">
            <v>0</v>
          </cell>
          <cell r="G1207">
            <v>0</v>
          </cell>
          <cell r="H1207">
            <v>0</v>
          </cell>
          <cell r="I1207">
            <v>0</v>
          </cell>
          <cell r="J1207">
            <v>0</v>
          </cell>
        </row>
        <row r="1208">
          <cell r="B1208" t="str">
            <v>2.1.06.07.88</v>
          </cell>
          <cell r="C1208" t="str">
            <v>Utang Belanja Modal Peralatan dan Mesin BOS</v>
          </cell>
          <cell r="D1208"/>
          <cell r="E1208"/>
          <cell r="F1208">
            <v>0</v>
          </cell>
          <cell r="G1208">
            <v>0</v>
          </cell>
          <cell r="H1208">
            <v>0</v>
          </cell>
          <cell r="I1208">
            <v>0</v>
          </cell>
          <cell r="J1208">
            <v>0</v>
          </cell>
        </row>
        <row r="1209">
          <cell r="B1209" t="str">
            <v>2.1.06.07.89</v>
          </cell>
          <cell r="C1209" t="str">
            <v>Utang Belanja Modal Peralatan dan Mesin BOSP</v>
          </cell>
          <cell r="D1209"/>
          <cell r="E1209"/>
          <cell r="F1209">
            <v>0</v>
          </cell>
          <cell r="G1209">
            <v>0</v>
          </cell>
          <cell r="H1209">
            <v>0</v>
          </cell>
          <cell r="I1209">
            <v>0</v>
          </cell>
          <cell r="J1209">
            <v>0</v>
          </cell>
        </row>
        <row r="1210">
          <cell r="B1210" t="str">
            <v>2.1.06.07.99</v>
          </cell>
          <cell r="C1210" t="str">
            <v>Utang Belanja Modal Peralatan dan Mesin BLUD</v>
          </cell>
          <cell r="D1210"/>
          <cell r="E1210"/>
          <cell r="F1210">
            <v>0</v>
          </cell>
          <cell r="G1210">
            <v>0</v>
          </cell>
          <cell r="H1210">
            <v>0</v>
          </cell>
          <cell r="I1210">
            <v>0</v>
          </cell>
          <cell r="J1210">
            <v>0</v>
          </cell>
        </row>
        <row r="1211">
          <cell r="B1211" t="str">
            <v>2.1.06.08</v>
          </cell>
          <cell r="C1211" t="str">
            <v>Utang Belanja Modal Gedung dan Bangunan</v>
          </cell>
          <cell r="D1211">
            <v>1848548733.5</v>
          </cell>
          <cell r="E1211">
            <v>5507432930.1400003</v>
          </cell>
          <cell r="F1211"/>
          <cell r="G1211"/>
          <cell r="H1211"/>
          <cell r="I1211"/>
          <cell r="J1211">
            <v>5507432930.1400003</v>
          </cell>
        </row>
        <row r="1212">
          <cell r="B1212" t="str">
            <v>2.1.06.08.01</v>
          </cell>
          <cell r="C1212" t="str">
            <v>Utang Belanja Modal Bangunan Gedung</v>
          </cell>
          <cell r="D1212">
            <v>1838798733.5</v>
          </cell>
          <cell r="E1212">
            <v>5497682930.1400003</v>
          </cell>
          <cell r="F1212">
            <v>0</v>
          </cell>
          <cell r="G1212">
            <v>0</v>
          </cell>
          <cell r="H1212">
            <v>0</v>
          </cell>
          <cell r="I1212">
            <v>0</v>
          </cell>
          <cell r="J1212">
            <v>5497682930.1400003</v>
          </cell>
        </row>
        <row r="1213">
          <cell r="B1213" t="str">
            <v>2.1.06.08.02</v>
          </cell>
          <cell r="C1213" t="str">
            <v>Utang Belanja Modal Monumen</v>
          </cell>
          <cell r="D1213"/>
          <cell r="E1213"/>
          <cell r="F1213">
            <v>0</v>
          </cell>
          <cell r="G1213">
            <v>0</v>
          </cell>
          <cell r="H1213">
            <v>0</v>
          </cell>
          <cell r="I1213">
            <v>0</v>
          </cell>
          <cell r="J1213">
            <v>0</v>
          </cell>
        </row>
        <row r="1214">
          <cell r="B1214" t="str">
            <v>2.1.06.08.03</v>
          </cell>
          <cell r="C1214" t="str">
            <v>Belanja Modal Bangunan Menara</v>
          </cell>
          <cell r="D1214"/>
          <cell r="E1214"/>
          <cell r="F1214">
            <v>0</v>
          </cell>
          <cell r="G1214">
            <v>0</v>
          </cell>
          <cell r="H1214">
            <v>0</v>
          </cell>
          <cell r="I1214">
            <v>0</v>
          </cell>
          <cell r="J1214">
            <v>0</v>
          </cell>
        </row>
        <row r="1215">
          <cell r="B1215" t="str">
            <v>2.1.06.08.04</v>
          </cell>
          <cell r="C1215" t="str">
            <v>Utang Belanja Modal Tugu Titik Kontrol/Pasti</v>
          </cell>
          <cell r="D1215">
            <v>9750000</v>
          </cell>
          <cell r="E1215">
            <v>9750000</v>
          </cell>
          <cell r="F1215">
            <v>0</v>
          </cell>
          <cell r="G1215">
            <v>0</v>
          </cell>
          <cell r="H1215">
            <v>0</v>
          </cell>
          <cell r="I1215">
            <v>0</v>
          </cell>
          <cell r="J1215">
            <v>9750000</v>
          </cell>
        </row>
        <row r="1216">
          <cell r="B1216" t="str">
            <v>2.1.06.08.99</v>
          </cell>
          <cell r="C1216" t="str">
            <v>Utang Belanja Modal Gedung dan Bangunan BLUD</v>
          </cell>
          <cell r="D1216"/>
          <cell r="E1216"/>
          <cell r="F1216">
            <v>0</v>
          </cell>
          <cell r="G1216">
            <v>0</v>
          </cell>
          <cell r="H1216">
            <v>0</v>
          </cell>
          <cell r="I1216">
            <v>0</v>
          </cell>
          <cell r="J1216">
            <v>0</v>
          </cell>
        </row>
        <row r="1217">
          <cell r="B1217" t="str">
            <v>2.1.06.09</v>
          </cell>
          <cell r="C1217" t="str">
            <v>Utang Belanja Modal Jalan, Jaringan, dan Irigasi</v>
          </cell>
          <cell r="D1217">
            <v>32777420466.799999</v>
          </cell>
          <cell r="E1217">
            <v>3280592846.5900002</v>
          </cell>
          <cell r="F1217"/>
          <cell r="G1217"/>
          <cell r="H1217"/>
          <cell r="I1217"/>
          <cell r="J1217">
            <v>3280592846.5900002</v>
          </cell>
        </row>
        <row r="1218">
          <cell r="B1218" t="str">
            <v>2.1.06.09.01</v>
          </cell>
          <cell r="C1218" t="str">
            <v>Utang Belanja Modal Jalan, dan Jembatan</v>
          </cell>
          <cell r="D1218">
            <v>32294438866.799999</v>
          </cell>
          <cell r="E1218">
            <v>2668170761.5</v>
          </cell>
          <cell r="F1218">
            <v>0</v>
          </cell>
          <cell r="G1218">
            <v>0</v>
          </cell>
          <cell r="H1218">
            <v>0</v>
          </cell>
          <cell r="I1218">
            <v>0</v>
          </cell>
          <cell r="J1218">
            <v>2668170761.5</v>
          </cell>
        </row>
        <row r="1219">
          <cell r="B1219" t="str">
            <v>2.1.06.09.02</v>
          </cell>
          <cell r="C1219" t="str">
            <v>Utang Belanja Modal Bangunan Air</v>
          </cell>
          <cell r="D1219">
            <v>482981600</v>
          </cell>
          <cell r="E1219">
            <v>329647694</v>
          </cell>
          <cell r="F1219">
            <v>0</v>
          </cell>
          <cell r="G1219">
            <v>0</v>
          </cell>
          <cell r="H1219">
            <v>0</v>
          </cell>
          <cell r="I1219">
            <v>0</v>
          </cell>
          <cell r="J1219">
            <v>329647694</v>
          </cell>
        </row>
        <row r="1220">
          <cell r="B1220" t="str">
            <v>2.1.06.09.03</v>
          </cell>
          <cell r="C1220" t="str">
            <v>Utang Belanja Modal Instalasi</v>
          </cell>
          <cell r="D1220"/>
          <cell r="E1220"/>
          <cell r="F1220">
            <v>0</v>
          </cell>
          <cell r="G1220">
            <v>0</v>
          </cell>
          <cell r="H1220">
            <v>0</v>
          </cell>
          <cell r="I1220">
            <v>0</v>
          </cell>
          <cell r="J1220">
            <v>0</v>
          </cell>
        </row>
        <row r="1221">
          <cell r="B1221" t="str">
            <v>2.1.06.09.04</v>
          </cell>
          <cell r="C1221" t="str">
            <v>Utang Belanja Modal Jaringan</v>
          </cell>
          <cell r="D1221"/>
          <cell r="E1221">
            <v>282774391.08999997</v>
          </cell>
          <cell r="F1221">
            <v>0</v>
          </cell>
          <cell r="G1221">
            <v>0</v>
          </cell>
          <cell r="H1221">
            <v>0</v>
          </cell>
          <cell r="I1221">
            <v>0</v>
          </cell>
          <cell r="J1221">
            <v>282774391.08999997</v>
          </cell>
        </row>
        <row r="1222">
          <cell r="B1222" t="str">
            <v>2.1.06.09.99</v>
          </cell>
          <cell r="C1222" t="str">
            <v>Utang Belanja Modal Jalan, Jaringan, dan Irigasi BLUD</v>
          </cell>
          <cell r="D1222"/>
          <cell r="E1222"/>
          <cell r="F1222">
            <v>0</v>
          </cell>
          <cell r="G1222">
            <v>0</v>
          </cell>
          <cell r="H1222">
            <v>0</v>
          </cell>
          <cell r="I1222">
            <v>0</v>
          </cell>
          <cell r="J1222">
            <v>0</v>
          </cell>
        </row>
        <row r="1223">
          <cell r="B1223" t="str">
            <v>2.1.06.10</v>
          </cell>
          <cell r="C1223" t="str">
            <v>Utang Belanja Aset Tetap Lainnya</v>
          </cell>
          <cell r="D1223">
            <v>0</v>
          </cell>
          <cell r="E1223">
            <v>0</v>
          </cell>
          <cell r="F1223"/>
          <cell r="G1223"/>
          <cell r="H1223"/>
          <cell r="I1223"/>
          <cell r="J1223">
            <v>0</v>
          </cell>
        </row>
        <row r="1224">
          <cell r="B1224" t="str">
            <v>2.1.06.10.01</v>
          </cell>
          <cell r="C1224" t="str">
            <v>Utang Belanja Modal Bahan Perpustakaan</v>
          </cell>
          <cell r="D1224"/>
          <cell r="E1224"/>
          <cell r="F1224">
            <v>0</v>
          </cell>
          <cell r="G1224">
            <v>0</v>
          </cell>
          <cell r="H1224">
            <v>0</v>
          </cell>
          <cell r="I1224">
            <v>0</v>
          </cell>
          <cell r="J1224">
            <v>0</v>
          </cell>
        </row>
        <row r="1225">
          <cell r="B1225" t="str">
            <v>2.1.06.10.02</v>
          </cell>
          <cell r="C1225" t="str">
            <v>Utang Belanja Modal Barang Bercorak Kesenian/Kebudayaan/Olahraga</v>
          </cell>
          <cell r="D1225"/>
          <cell r="E1225"/>
          <cell r="F1225">
            <v>0</v>
          </cell>
          <cell r="G1225">
            <v>0</v>
          </cell>
          <cell r="H1225">
            <v>0</v>
          </cell>
          <cell r="I1225">
            <v>0</v>
          </cell>
          <cell r="J1225">
            <v>0</v>
          </cell>
        </row>
        <row r="1226">
          <cell r="B1226" t="str">
            <v>2.1.06.10.03</v>
          </cell>
          <cell r="C1226" t="str">
            <v>Utang Belanja Modal Hewan</v>
          </cell>
          <cell r="D1226"/>
          <cell r="E1226"/>
          <cell r="F1226">
            <v>0</v>
          </cell>
          <cell r="G1226">
            <v>0</v>
          </cell>
          <cell r="H1226">
            <v>0</v>
          </cell>
          <cell r="I1226">
            <v>0</v>
          </cell>
          <cell r="J1226">
            <v>0</v>
          </cell>
        </row>
        <row r="1227">
          <cell r="B1227" t="str">
            <v>2.1.06.10.04</v>
          </cell>
          <cell r="C1227" t="str">
            <v>Utang Belanja Modal Biota Perairan</v>
          </cell>
          <cell r="D1227"/>
          <cell r="E1227"/>
          <cell r="F1227">
            <v>0</v>
          </cell>
          <cell r="G1227">
            <v>0</v>
          </cell>
          <cell r="H1227">
            <v>0</v>
          </cell>
          <cell r="I1227">
            <v>0</v>
          </cell>
          <cell r="J1227">
            <v>0</v>
          </cell>
        </row>
        <row r="1228">
          <cell r="B1228" t="str">
            <v>2.1.06.10.05</v>
          </cell>
          <cell r="C1228" t="str">
            <v>Utang Belanja Modal Tanaman</v>
          </cell>
          <cell r="D1228"/>
          <cell r="E1228"/>
          <cell r="F1228">
            <v>0</v>
          </cell>
          <cell r="G1228">
            <v>0</v>
          </cell>
          <cell r="H1228">
            <v>0</v>
          </cell>
          <cell r="I1228">
            <v>0</v>
          </cell>
          <cell r="J1228">
            <v>0</v>
          </cell>
        </row>
        <row r="1229">
          <cell r="B1229" t="str">
            <v>2.1.06.10.06</v>
          </cell>
          <cell r="C1229" t="str">
            <v>Utang Belanja Modal Barang Koleksi Non Budaya</v>
          </cell>
          <cell r="D1229"/>
          <cell r="E1229"/>
          <cell r="F1229">
            <v>0</v>
          </cell>
          <cell r="G1229">
            <v>0</v>
          </cell>
          <cell r="H1229">
            <v>0</v>
          </cell>
          <cell r="I1229">
            <v>0</v>
          </cell>
          <cell r="J1229">
            <v>0</v>
          </cell>
        </row>
        <row r="1230">
          <cell r="B1230" t="str">
            <v>2.1.06.10.07</v>
          </cell>
          <cell r="C1230" t="str">
            <v>Utang Belanja Modal Aset Tetap Dalam Renovasi</v>
          </cell>
          <cell r="D1230"/>
          <cell r="E1230"/>
          <cell r="F1230">
            <v>0</v>
          </cell>
          <cell r="G1230">
            <v>0</v>
          </cell>
          <cell r="H1230">
            <v>0</v>
          </cell>
          <cell r="I1230">
            <v>0</v>
          </cell>
          <cell r="J1230">
            <v>0</v>
          </cell>
        </row>
        <row r="1231">
          <cell r="B1231" t="str">
            <v>2.1.06.10.88</v>
          </cell>
          <cell r="C1231" t="str">
            <v>Utang Belanja Modal Aset Tetap Lainnya BOS</v>
          </cell>
          <cell r="D1231"/>
          <cell r="E1231"/>
          <cell r="F1231">
            <v>0</v>
          </cell>
          <cell r="G1231">
            <v>0</v>
          </cell>
          <cell r="H1231">
            <v>0</v>
          </cell>
          <cell r="I1231">
            <v>0</v>
          </cell>
          <cell r="J1231">
            <v>0</v>
          </cell>
        </row>
        <row r="1232">
          <cell r="B1232" t="str">
            <v>2.1.06.10.89</v>
          </cell>
          <cell r="C1232" t="str">
            <v>Utang Belanja Modal Aset Tetap Lainnya BOSP</v>
          </cell>
          <cell r="D1232"/>
          <cell r="E1232"/>
          <cell r="F1232">
            <v>0</v>
          </cell>
          <cell r="G1232">
            <v>0</v>
          </cell>
          <cell r="H1232">
            <v>0</v>
          </cell>
          <cell r="I1232">
            <v>0</v>
          </cell>
          <cell r="J1232">
            <v>0</v>
          </cell>
        </row>
        <row r="1233">
          <cell r="B1233" t="str">
            <v>2.1.06.10.99</v>
          </cell>
          <cell r="C1233" t="str">
            <v>Utang Belanja Modal Aset Tetap Lainnya BLUD</v>
          </cell>
          <cell r="D1233"/>
          <cell r="E1233"/>
          <cell r="F1233">
            <v>0</v>
          </cell>
          <cell r="G1233">
            <v>0</v>
          </cell>
          <cell r="H1233">
            <v>0</v>
          </cell>
          <cell r="I1233">
            <v>0</v>
          </cell>
          <cell r="J1233">
            <v>0</v>
          </cell>
        </row>
        <row r="1234">
          <cell r="B1234" t="str">
            <v>2.1.06.11</v>
          </cell>
          <cell r="C1234" t="str">
            <v>Utang Belanja Tidak Terduga</v>
          </cell>
          <cell r="D1234">
            <v>0</v>
          </cell>
          <cell r="E1234">
            <v>0</v>
          </cell>
          <cell r="F1234"/>
          <cell r="G1234"/>
          <cell r="H1234"/>
          <cell r="I1234"/>
          <cell r="J1234">
            <v>0</v>
          </cell>
        </row>
        <row r="1235">
          <cell r="B1235" t="str">
            <v>2.1.06.11.01</v>
          </cell>
          <cell r="C1235" t="str">
            <v>Utang Belanja Tidak Terduga</v>
          </cell>
          <cell r="D1235"/>
          <cell r="E1235"/>
          <cell r="F1235">
            <v>0</v>
          </cell>
          <cell r="G1235">
            <v>0</v>
          </cell>
          <cell r="H1235">
            <v>0</v>
          </cell>
          <cell r="I1235">
            <v>0</v>
          </cell>
          <cell r="J1235">
            <v>0</v>
          </cell>
        </row>
        <row r="1236">
          <cell r="B1236" t="str">
            <v>2.1.06.12</v>
          </cell>
          <cell r="C1236" t="str">
            <v>Utang Belanja Bagi Hasil</v>
          </cell>
          <cell r="D1236">
            <v>0</v>
          </cell>
          <cell r="E1236">
            <v>0</v>
          </cell>
          <cell r="F1236"/>
          <cell r="G1236"/>
          <cell r="H1236"/>
          <cell r="I1236"/>
          <cell r="J1236">
            <v>0</v>
          </cell>
        </row>
        <row r="1237">
          <cell r="B1237" t="str">
            <v>2.1.06.12.01</v>
          </cell>
          <cell r="C1237" t="str">
            <v>Utang Belanja Bagi Hasil Pajak Daerah Kepada Pemerintahan Kabupaten</v>
          </cell>
          <cell r="D1237"/>
          <cell r="E1237"/>
          <cell r="F1237">
            <v>0</v>
          </cell>
          <cell r="G1237">
            <v>0</v>
          </cell>
          <cell r="H1237">
            <v>0</v>
          </cell>
          <cell r="I1237">
            <v>0</v>
          </cell>
          <cell r="J1237">
            <v>0</v>
          </cell>
        </row>
        <row r="1238">
          <cell r="B1238" t="str">
            <v>2.1.06.12.02</v>
          </cell>
          <cell r="C1238" t="str">
            <v>Utang Belanja Bagi Hasil Pajak Daerah Kepada Pemerintahan Kota</v>
          </cell>
          <cell r="D1238"/>
          <cell r="E1238"/>
          <cell r="F1238">
            <v>0</v>
          </cell>
          <cell r="G1238">
            <v>0</v>
          </cell>
          <cell r="H1238">
            <v>0</v>
          </cell>
          <cell r="I1238">
            <v>0</v>
          </cell>
          <cell r="J1238">
            <v>0</v>
          </cell>
        </row>
        <row r="1239">
          <cell r="B1239" t="str">
            <v>2.1.06.12.03</v>
          </cell>
          <cell r="C1239" t="str">
            <v>Utang Belanja Bagi Hasil Pajak Daerah Kepada Pemerintahan Desa</v>
          </cell>
          <cell r="D1239"/>
          <cell r="E1239"/>
          <cell r="F1239">
            <v>0</v>
          </cell>
          <cell r="G1239">
            <v>0</v>
          </cell>
          <cell r="H1239">
            <v>0</v>
          </cell>
          <cell r="I1239">
            <v>0</v>
          </cell>
          <cell r="J1239">
            <v>0</v>
          </cell>
        </row>
        <row r="1240">
          <cell r="B1240" t="str">
            <v>2.1.06.12.04</v>
          </cell>
          <cell r="C1240" t="str">
            <v>Utang Belanja Bagi Hasil Retribusi Daerah Kabupaten/Kota Kepada Pemerintah Desa</v>
          </cell>
          <cell r="D1240"/>
          <cell r="E1240"/>
          <cell r="F1240">
            <v>0</v>
          </cell>
          <cell r="G1240">
            <v>0</v>
          </cell>
          <cell r="H1240">
            <v>0</v>
          </cell>
          <cell r="I1240">
            <v>0</v>
          </cell>
          <cell r="J1240">
            <v>0</v>
          </cell>
        </row>
        <row r="1241">
          <cell r="B1241" t="str">
            <v>2.1.06.13</v>
          </cell>
          <cell r="C1241" t="str">
            <v>Utang Belanja Bantuan Keuangan</v>
          </cell>
          <cell r="D1241">
            <v>0</v>
          </cell>
          <cell r="E1241">
            <v>0</v>
          </cell>
          <cell r="F1241"/>
          <cell r="G1241"/>
          <cell r="H1241"/>
          <cell r="I1241"/>
          <cell r="J1241">
            <v>0</v>
          </cell>
        </row>
        <row r="1242">
          <cell r="B1242" t="str">
            <v>2.1.06.13.01</v>
          </cell>
          <cell r="C1242" t="str">
            <v>Utang Belanja Bantuan Keuangan Umum antar Daerah Provinsi</v>
          </cell>
          <cell r="D1242"/>
          <cell r="E1242"/>
          <cell r="F1242">
            <v>0</v>
          </cell>
          <cell r="G1242">
            <v>0</v>
          </cell>
          <cell r="H1242">
            <v>0</v>
          </cell>
          <cell r="I1242">
            <v>0</v>
          </cell>
          <cell r="J1242">
            <v>0</v>
          </cell>
        </row>
        <row r="1243">
          <cell r="B1243" t="str">
            <v>2.1.06.13.02</v>
          </cell>
          <cell r="C1243" t="str">
            <v>Utang Belanja Bantuan Keuangan Khusus antar Daerah Provinsi</v>
          </cell>
          <cell r="D1243"/>
          <cell r="E1243"/>
          <cell r="F1243">
            <v>0</v>
          </cell>
          <cell r="G1243">
            <v>0</v>
          </cell>
          <cell r="H1243">
            <v>0</v>
          </cell>
          <cell r="I1243">
            <v>0</v>
          </cell>
          <cell r="J1243">
            <v>0</v>
          </cell>
        </row>
        <row r="1244">
          <cell r="B1244" t="str">
            <v>2.1.06.13.03</v>
          </cell>
          <cell r="C1244" t="str">
            <v>Utang Belanja Bantuan Keuangan Umum antar Daerah Kabupaten/Kota</v>
          </cell>
          <cell r="D1244"/>
          <cell r="E1244"/>
          <cell r="F1244">
            <v>0</v>
          </cell>
          <cell r="G1244">
            <v>0</v>
          </cell>
          <cell r="H1244">
            <v>0</v>
          </cell>
          <cell r="I1244">
            <v>0</v>
          </cell>
          <cell r="J1244">
            <v>0</v>
          </cell>
        </row>
        <row r="1245">
          <cell r="B1245" t="str">
            <v>2.1.06.13.04</v>
          </cell>
          <cell r="C1245" t="str">
            <v>Utang Belanja Bantuan Keuangan Khusus antar Pemerintah Kabupaten/Kota</v>
          </cell>
          <cell r="D1245"/>
          <cell r="E1245"/>
          <cell r="F1245">
            <v>0</v>
          </cell>
          <cell r="G1245">
            <v>0</v>
          </cell>
          <cell r="H1245">
            <v>0</v>
          </cell>
          <cell r="I1245">
            <v>0</v>
          </cell>
          <cell r="J1245">
            <v>0</v>
          </cell>
        </row>
        <row r="1246">
          <cell r="B1246" t="str">
            <v>2.1.06.13.05</v>
          </cell>
          <cell r="C1246" t="str">
            <v>Utang Belanja Bantuan Keuangan Umum Daerah Provinsi kepada Kabupaten/Kota</v>
          </cell>
          <cell r="D1246"/>
          <cell r="E1246"/>
          <cell r="F1246">
            <v>0</v>
          </cell>
          <cell r="G1246">
            <v>0</v>
          </cell>
          <cell r="H1246">
            <v>0</v>
          </cell>
          <cell r="I1246">
            <v>0</v>
          </cell>
          <cell r="J1246">
            <v>0</v>
          </cell>
        </row>
        <row r="1247">
          <cell r="B1247" t="str">
            <v>2.1.06.13.06</v>
          </cell>
          <cell r="C1247" t="str">
            <v>Utang Belanja Bantuan Keuangan Khusus Daerah Provinsi kepada Kabupaten/Kota</v>
          </cell>
          <cell r="D1247"/>
          <cell r="E1247"/>
          <cell r="F1247">
            <v>0</v>
          </cell>
          <cell r="G1247">
            <v>0</v>
          </cell>
          <cell r="H1247">
            <v>0</v>
          </cell>
          <cell r="I1247">
            <v>0</v>
          </cell>
          <cell r="J1247">
            <v>0</v>
          </cell>
        </row>
        <row r="1248">
          <cell r="B1248" t="str">
            <v>2.1.06.13.07</v>
          </cell>
          <cell r="C1248" t="str">
            <v>Utang Belanja Bantuan Keuangan Umum Daerah Kabupaten/Kota kepada Provinsi</v>
          </cell>
          <cell r="D1248"/>
          <cell r="E1248"/>
          <cell r="F1248">
            <v>0</v>
          </cell>
          <cell r="G1248">
            <v>0</v>
          </cell>
          <cell r="H1248">
            <v>0</v>
          </cell>
          <cell r="I1248">
            <v>0</v>
          </cell>
          <cell r="J1248">
            <v>0</v>
          </cell>
        </row>
        <row r="1249">
          <cell r="B1249" t="str">
            <v>2.1.06.13.08</v>
          </cell>
          <cell r="C1249" t="str">
            <v>Utang Belanja Bantuan Keuangan Khusus Daerah Kabupaten/Kota kepada Provinsi</v>
          </cell>
          <cell r="D1249"/>
          <cell r="E1249"/>
          <cell r="F1249">
            <v>0</v>
          </cell>
          <cell r="G1249">
            <v>0</v>
          </cell>
          <cell r="H1249">
            <v>0</v>
          </cell>
          <cell r="I1249">
            <v>0</v>
          </cell>
          <cell r="J1249">
            <v>0</v>
          </cell>
        </row>
        <row r="1250">
          <cell r="B1250" t="str">
            <v>2.1.06.13.09</v>
          </cell>
          <cell r="C1250" t="str">
            <v>Utang Belanja Bantuan Keuangan Umum Daerah Provinsi atau Kabupaten/Kota kepada Desa</v>
          </cell>
          <cell r="D1250"/>
          <cell r="E1250"/>
          <cell r="F1250">
            <v>0</v>
          </cell>
          <cell r="G1250">
            <v>0</v>
          </cell>
          <cell r="H1250">
            <v>0</v>
          </cell>
          <cell r="I1250">
            <v>0</v>
          </cell>
          <cell r="J1250">
            <v>0</v>
          </cell>
        </row>
        <row r="1251">
          <cell r="B1251" t="str">
            <v>2.1.06.13.10</v>
          </cell>
          <cell r="C1251" t="str">
            <v>Utang Belanja Bantuan Keuangan Khusus Daerah Provinsi atau Kabupaten/Kota kepada Desa</v>
          </cell>
          <cell r="D1251"/>
          <cell r="E1251"/>
          <cell r="F1251">
            <v>0</v>
          </cell>
          <cell r="G1251">
            <v>0</v>
          </cell>
          <cell r="H1251">
            <v>0</v>
          </cell>
          <cell r="I1251">
            <v>0</v>
          </cell>
          <cell r="J1251">
            <v>0</v>
          </cell>
        </row>
        <row r="1252">
          <cell r="B1252" t="str">
            <v>2.1.06.13.11</v>
          </cell>
          <cell r="C1252" t="str">
            <v>Utang Belanja Transfer Dana Otonomi Khusus Provinsi kepada Kabupaten/Kota</v>
          </cell>
          <cell r="D1252"/>
          <cell r="E1252"/>
          <cell r="F1252">
            <v>0</v>
          </cell>
          <cell r="G1252">
            <v>0</v>
          </cell>
          <cell r="H1252">
            <v>0</v>
          </cell>
          <cell r="I1252">
            <v>0</v>
          </cell>
          <cell r="J1252">
            <v>0</v>
          </cell>
        </row>
        <row r="1253">
          <cell r="B1253" t="str">
            <v>2.1.06.14</v>
          </cell>
          <cell r="C1253" t="str">
            <v>Utang Belanja Modal Aset Lainnya-Aset Tidak Berwujud</v>
          </cell>
          <cell r="D1253">
            <v>0</v>
          </cell>
          <cell r="E1253">
            <v>0</v>
          </cell>
          <cell r="F1253"/>
          <cell r="G1253"/>
          <cell r="H1253"/>
          <cell r="I1253"/>
          <cell r="J1253">
            <v>0</v>
          </cell>
        </row>
        <row r="1254">
          <cell r="B1254" t="str">
            <v>2.1.06.14.01</v>
          </cell>
          <cell r="C1254" t="str">
            <v>Utang Belanja Modal Aset Tidak Berwujud</v>
          </cell>
          <cell r="D1254"/>
          <cell r="E1254"/>
          <cell r="F1254">
            <v>0</v>
          </cell>
          <cell r="G1254">
            <v>0</v>
          </cell>
          <cell r="H1254">
            <v>0</v>
          </cell>
          <cell r="I1254">
            <v>0</v>
          </cell>
          <cell r="J1254">
            <v>0</v>
          </cell>
        </row>
        <row r="1255">
          <cell r="B1255" t="str">
            <v>2.1.06.15</v>
          </cell>
          <cell r="C1255" t="str">
            <v>Utang Belanja Modal Aset Lainnya BLUD</v>
          </cell>
          <cell r="D1255">
            <v>0</v>
          </cell>
          <cell r="E1255">
            <v>0</v>
          </cell>
          <cell r="F1255"/>
          <cell r="G1255"/>
          <cell r="H1255"/>
          <cell r="I1255"/>
          <cell r="J1255">
            <v>0</v>
          </cell>
        </row>
        <row r="1256">
          <cell r="B1256" t="str">
            <v>2.1.06.15.99</v>
          </cell>
          <cell r="C1256" t="str">
            <v>Utang Belanja Modal Aset Lainnya BLUD</v>
          </cell>
          <cell r="D1256"/>
          <cell r="E1256"/>
          <cell r="F1256">
            <v>0</v>
          </cell>
          <cell r="G1256">
            <v>0</v>
          </cell>
          <cell r="H1256">
            <v>0</v>
          </cell>
          <cell r="I1256">
            <v>0</v>
          </cell>
          <cell r="J1256">
            <v>0</v>
          </cell>
        </row>
        <row r="1257">
          <cell r="B1257" t="str">
            <v>2.1.06.16</v>
          </cell>
          <cell r="C1257" t="str">
            <v>Utang Belanja Bantuan Sosial</v>
          </cell>
          <cell r="D1257">
            <v>0</v>
          </cell>
          <cell r="E1257">
            <v>0</v>
          </cell>
          <cell r="F1257"/>
          <cell r="G1257"/>
          <cell r="H1257"/>
          <cell r="I1257"/>
          <cell r="J1257">
            <v>0</v>
          </cell>
        </row>
        <row r="1258">
          <cell r="B1258" t="str">
            <v>2.1.06.16.01</v>
          </cell>
          <cell r="C1258" t="str">
            <v>Utang Belanja Bantuan Sosial yang direncanakan kepada Individu</v>
          </cell>
          <cell r="D1258"/>
          <cell r="E1258"/>
          <cell r="F1258">
            <v>0</v>
          </cell>
          <cell r="G1258">
            <v>0</v>
          </cell>
          <cell r="H1258">
            <v>0</v>
          </cell>
          <cell r="I1258">
            <v>0</v>
          </cell>
          <cell r="J1258">
            <v>0</v>
          </cell>
        </row>
        <row r="1259">
          <cell r="B1259" t="str">
            <v>2.1.06.16.02</v>
          </cell>
          <cell r="C1259" t="str">
            <v>Utang Belanja Bantuan Sosial kepada Keluarga</v>
          </cell>
          <cell r="D1259"/>
          <cell r="E1259"/>
          <cell r="F1259">
            <v>0</v>
          </cell>
          <cell r="G1259">
            <v>0</v>
          </cell>
          <cell r="H1259">
            <v>0</v>
          </cell>
          <cell r="I1259">
            <v>0</v>
          </cell>
          <cell r="J1259">
            <v>0</v>
          </cell>
        </row>
        <row r="1260">
          <cell r="B1260" t="str">
            <v>2.1.06.16.03</v>
          </cell>
          <cell r="C1260" t="str">
            <v>Utang Belanja Bantuan Sosial kepada Kelompok Masyarakat</v>
          </cell>
          <cell r="D1260"/>
          <cell r="E1260"/>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D1261"/>
          <cell r="E1261"/>
          <cell r="F1261">
            <v>0</v>
          </cell>
          <cell r="G1261">
            <v>0</v>
          </cell>
          <cell r="H1261">
            <v>0</v>
          </cell>
          <cell r="I1261">
            <v>0</v>
          </cell>
          <cell r="J1261">
            <v>0</v>
          </cell>
        </row>
        <row r="1262">
          <cell r="B1262" t="str">
            <v>2.1.06.17</v>
          </cell>
          <cell r="C1262" t="str">
            <v>Utang Belanja Imbalan</v>
          </cell>
          <cell r="D1262">
            <v>0</v>
          </cell>
          <cell r="E1262">
            <v>0</v>
          </cell>
          <cell r="F1262"/>
          <cell r="G1262"/>
          <cell r="H1262"/>
          <cell r="I1262"/>
          <cell r="J1262">
            <v>0</v>
          </cell>
        </row>
        <row r="1263">
          <cell r="B1263" t="str">
            <v>2.1.06.17.01</v>
          </cell>
          <cell r="C1263" t="str">
            <v>Utang Belanja Imbalan Sukuk Daerah</v>
          </cell>
          <cell r="D1263"/>
          <cell r="E1263"/>
          <cell r="F1263">
            <v>0</v>
          </cell>
          <cell r="G1263">
            <v>0</v>
          </cell>
          <cell r="H1263">
            <v>0</v>
          </cell>
          <cell r="I1263">
            <v>0</v>
          </cell>
          <cell r="J1263">
            <v>0</v>
          </cell>
        </row>
        <row r="1264">
          <cell r="B1264"/>
          <cell r="C1264"/>
          <cell r="D1264"/>
          <cell r="E1264"/>
          <cell r="F1264"/>
          <cell r="G1264"/>
          <cell r="H1264"/>
          <cell r="I1264"/>
          <cell r="J1264"/>
        </row>
        <row r="1265">
          <cell r="B1265" t="str">
            <v>2.1.07</v>
          </cell>
          <cell r="C1265" t="str">
            <v>Utang Jangka Pendek Lainnya</v>
          </cell>
          <cell r="D1265">
            <v>13585000</v>
          </cell>
          <cell r="E1265">
            <v>0</v>
          </cell>
          <cell r="F1265"/>
          <cell r="G1265"/>
          <cell r="H1265"/>
          <cell r="I1265"/>
          <cell r="J1265">
            <v>0</v>
          </cell>
        </row>
        <row r="1266">
          <cell r="B1266" t="str">
            <v>2.1.07.01</v>
          </cell>
          <cell r="C1266" t="str">
            <v>Utang Kelebihan Pembayaran PAD</v>
          </cell>
          <cell r="D1266">
            <v>0</v>
          </cell>
          <cell r="E1266">
            <v>0</v>
          </cell>
          <cell r="F1266"/>
          <cell r="G1266"/>
          <cell r="H1266"/>
          <cell r="I1266"/>
          <cell r="J1266">
            <v>0</v>
          </cell>
        </row>
        <row r="1267">
          <cell r="B1267" t="str">
            <v>2.1.07.01.01</v>
          </cell>
          <cell r="C1267" t="str">
            <v>Utang Kelebihan Pembayaran Pajak</v>
          </cell>
          <cell r="D1267"/>
          <cell r="E1267"/>
          <cell r="F1267">
            <v>0</v>
          </cell>
          <cell r="G1267">
            <v>0</v>
          </cell>
          <cell r="H1267">
            <v>0</v>
          </cell>
          <cell r="I1267">
            <v>0</v>
          </cell>
          <cell r="J1267">
            <v>0</v>
          </cell>
        </row>
        <row r="1268">
          <cell r="B1268" t="str">
            <v>2.1.07.01.02</v>
          </cell>
          <cell r="C1268" t="str">
            <v>Utang Kelebihan Pembayaran Retribusi</v>
          </cell>
          <cell r="D1268"/>
          <cell r="E1268"/>
          <cell r="F1268">
            <v>0</v>
          </cell>
          <cell r="G1268">
            <v>0</v>
          </cell>
          <cell r="H1268">
            <v>0</v>
          </cell>
          <cell r="I1268">
            <v>0</v>
          </cell>
          <cell r="J1268">
            <v>0</v>
          </cell>
        </row>
        <row r="1269">
          <cell r="B1269" t="str">
            <v>2.1.07.01.03</v>
          </cell>
          <cell r="C1269" t="str">
            <v>Utang Kelebihan Pembayaran Hasil Pengelolaan Kekayaan Daerah Yang Dipisahkan</v>
          </cell>
          <cell r="D1269"/>
          <cell r="E1269"/>
          <cell r="F1269">
            <v>0</v>
          </cell>
          <cell r="G1269">
            <v>0</v>
          </cell>
          <cell r="H1269">
            <v>0</v>
          </cell>
          <cell r="I1269">
            <v>0</v>
          </cell>
          <cell r="J1269">
            <v>0</v>
          </cell>
        </row>
        <row r="1270">
          <cell r="B1270" t="str">
            <v>2.1.07.01.04</v>
          </cell>
          <cell r="C1270" t="str">
            <v>Utang Kelebihan Pembayaran Lain-Lain PAD Yang Sah</v>
          </cell>
          <cell r="D1270"/>
          <cell r="E1270"/>
          <cell r="F1270">
            <v>0</v>
          </cell>
          <cell r="G1270">
            <v>0</v>
          </cell>
          <cell r="H1270">
            <v>0</v>
          </cell>
          <cell r="I1270">
            <v>0</v>
          </cell>
          <cell r="J1270">
            <v>0</v>
          </cell>
        </row>
        <row r="1271">
          <cell r="B1271" t="str">
            <v>2.1.07.02</v>
          </cell>
          <cell r="C1271" t="str">
            <v>Utang Kelebihan Pembayaran Transfer</v>
          </cell>
          <cell r="D1271">
            <v>13585000</v>
          </cell>
          <cell r="E1271">
            <v>0</v>
          </cell>
          <cell r="F1271"/>
          <cell r="G1271"/>
          <cell r="H1271"/>
          <cell r="I1271"/>
          <cell r="J1271">
            <v>0</v>
          </cell>
        </row>
        <row r="1272">
          <cell r="B1272" t="str">
            <v>2.1.07.02.01</v>
          </cell>
          <cell r="C1272" t="str">
            <v>Utang Kelebihan Pembayaran Transfer Pemerintah Pusat-Dana Perimbangan</v>
          </cell>
          <cell r="D1272">
            <v>13585000</v>
          </cell>
          <cell r="E1272"/>
          <cell r="F1272">
            <v>0</v>
          </cell>
          <cell r="G1272">
            <v>0</v>
          </cell>
          <cell r="H1272">
            <v>0</v>
          </cell>
          <cell r="I1272">
            <v>0</v>
          </cell>
          <cell r="J1272">
            <v>0</v>
          </cell>
        </row>
        <row r="1273">
          <cell r="B1273" t="str">
            <v>2.1.07.02.02</v>
          </cell>
          <cell r="C1273" t="str">
            <v>Utang Kelebihan Pembayaran Transfer Antar Daerah</v>
          </cell>
          <cell r="D1273"/>
          <cell r="E1273"/>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F1274"/>
          <cell r="G1274"/>
          <cell r="H1274"/>
          <cell r="I1274"/>
          <cell r="J1274">
            <v>0</v>
          </cell>
        </row>
        <row r="1275">
          <cell r="B1275" t="str">
            <v>2.1.07.03.01</v>
          </cell>
          <cell r="C1275" t="str">
            <v>Utang Kelebihan Pembayaran Hibah</v>
          </cell>
          <cell r="D1275"/>
          <cell r="E1275"/>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D1276"/>
          <cell r="E1276"/>
          <cell r="F1276">
            <v>0</v>
          </cell>
          <cell r="G1276">
            <v>0</v>
          </cell>
          <cell r="H1276">
            <v>0</v>
          </cell>
          <cell r="I1276">
            <v>0</v>
          </cell>
          <cell r="J1276">
            <v>0</v>
          </cell>
        </row>
        <row r="1277">
          <cell r="B1277" t="str">
            <v>2.1.07.03.03</v>
          </cell>
          <cell r="C1277" t="str">
            <v>Utang Kelebihan Pembayaran Dana Darurat</v>
          </cell>
          <cell r="D1277"/>
          <cell r="E1277"/>
          <cell r="F1277">
            <v>0</v>
          </cell>
          <cell r="G1277">
            <v>0</v>
          </cell>
          <cell r="H1277">
            <v>0</v>
          </cell>
          <cell r="I1277">
            <v>0</v>
          </cell>
          <cell r="J1277">
            <v>0</v>
          </cell>
        </row>
        <row r="1278">
          <cell r="B1278" t="str">
            <v>2.1.07.04</v>
          </cell>
          <cell r="C1278" t="str">
            <v>Utang Kemitraan dengan Pihak Ketiga</v>
          </cell>
          <cell r="D1278">
            <v>0</v>
          </cell>
          <cell r="E1278">
            <v>0</v>
          </cell>
          <cell r="F1278"/>
          <cell r="G1278"/>
          <cell r="H1278"/>
          <cell r="I1278"/>
          <cell r="J1278">
            <v>0</v>
          </cell>
        </row>
        <row r="1279">
          <cell r="B1279" t="str">
            <v>2.1.07.04.01</v>
          </cell>
          <cell r="C1279" t="str">
            <v>Utang Kemitraan dengan Pihak Ketiga-Sewa</v>
          </cell>
          <cell r="D1279"/>
          <cell r="E1279"/>
          <cell r="F1279">
            <v>0</v>
          </cell>
          <cell r="G1279">
            <v>0</v>
          </cell>
          <cell r="H1279">
            <v>0</v>
          </cell>
          <cell r="I1279">
            <v>0</v>
          </cell>
          <cell r="J1279">
            <v>0</v>
          </cell>
        </row>
        <row r="1280">
          <cell r="B1280" t="str">
            <v>2.1.07.04.02</v>
          </cell>
          <cell r="C1280" t="str">
            <v>Utang Kemitraan dengan Pihak Ketiga-Kerja Sama Pemanfaatan</v>
          </cell>
          <cell r="D1280"/>
          <cell r="E1280"/>
          <cell r="F1280">
            <v>0</v>
          </cell>
          <cell r="G1280">
            <v>0</v>
          </cell>
          <cell r="H1280">
            <v>0</v>
          </cell>
          <cell r="I1280">
            <v>0</v>
          </cell>
          <cell r="J1280">
            <v>0</v>
          </cell>
        </row>
        <row r="1281">
          <cell r="B1281" t="str">
            <v>2.1.07.04.03</v>
          </cell>
          <cell r="C1281" t="str">
            <v>Utang Kemitraan dengan Pihak Ketiga-Bangun Guna Serah/Bangun Serah Guna (BGS/BSG)</v>
          </cell>
          <cell r="D1281"/>
          <cell r="E1281"/>
          <cell r="F1281">
            <v>0</v>
          </cell>
          <cell r="G1281">
            <v>0</v>
          </cell>
          <cell r="H1281">
            <v>0</v>
          </cell>
          <cell r="I1281">
            <v>0</v>
          </cell>
          <cell r="J1281">
            <v>0</v>
          </cell>
        </row>
        <row r="1282">
          <cell r="B1282" t="str">
            <v>2.1.07.04.04</v>
          </cell>
          <cell r="C1282" t="str">
            <v>Utang Kemitraan dengan Pihak Ketiga-Kerja Sama Penyediaan Infrastruktur</v>
          </cell>
          <cell r="D1282"/>
          <cell r="E1282"/>
          <cell r="F1282">
            <v>0</v>
          </cell>
          <cell r="G1282">
            <v>0</v>
          </cell>
          <cell r="H1282">
            <v>0</v>
          </cell>
          <cell r="I1282">
            <v>0</v>
          </cell>
          <cell r="J1282">
            <v>0</v>
          </cell>
        </row>
        <row r="1283">
          <cell r="B1283"/>
          <cell r="C1283"/>
          <cell r="D1283"/>
          <cell r="E1283"/>
          <cell r="F1283"/>
          <cell r="G1283"/>
          <cell r="H1283"/>
          <cell r="I1283"/>
          <cell r="J1283"/>
        </row>
        <row r="1284">
          <cell r="B1284" t="str">
            <v>2.2</v>
          </cell>
          <cell r="C1284" t="str">
            <v>KEWAJIBAN JANGKA PANJANG</v>
          </cell>
          <cell r="D1284">
            <v>0</v>
          </cell>
          <cell r="E1284">
            <v>0</v>
          </cell>
          <cell r="F1284"/>
          <cell r="G1284"/>
          <cell r="H1284"/>
          <cell r="I1284"/>
          <cell r="J1284">
            <v>0</v>
          </cell>
        </row>
        <row r="1285">
          <cell r="B1285" t="str">
            <v>2.2.01</v>
          </cell>
          <cell r="C1285" t="str">
            <v>Utang kepada Pemerintah Pusat</v>
          </cell>
          <cell r="D1285">
            <v>0</v>
          </cell>
          <cell r="E1285">
            <v>0</v>
          </cell>
          <cell r="F1285"/>
          <cell r="G1285"/>
          <cell r="H1285"/>
          <cell r="I1285"/>
          <cell r="J1285">
            <v>0</v>
          </cell>
        </row>
        <row r="1286">
          <cell r="B1286" t="str">
            <v>2.2.01.01</v>
          </cell>
          <cell r="C1286" t="str">
            <v>Utang atas Penerusan Pinjaman Dalam Negeri</v>
          </cell>
          <cell r="D1286">
            <v>0</v>
          </cell>
          <cell r="E1286">
            <v>0</v>
          </cell>
          <cell r="F1286"/>
          <cell r="G1286"/>
          <cell r="H1286"/>
          <cell r="I1286"/>
          <cell r="J1286">
            <v>0</v>
          </cell>
        </row>
        <row r="1287">
          <cell r="B1287" t="str">
            <v>2.2.01.01.01</v>
          </cell>
          <cell r="C1287" t="str">
            <v>Utang atas Penerusan Pinjaman Dalam Negeri-Jangka Menengah</v>
          </cell>
          <cell r="D1287"/>
          <cell r="E1287"/>
          <cell r="F1287">
            <v>0</v>
          </cell>
          <cell r="G1287">
            <v>0</v>
          </cell>
          <cell r="H1287">
            <v>0</v>
          </cell>
          <cell r="I1287">
            <v>0</v>
          </cell>
          <cell r="J1287">
            <v>0</v>
          </cell>
        </row>
        <row r="1288">
          <cell r="B1288" t="str">
            <v>2.2.01.01.02</v>
          </cell>
          <cell r="C1288" t="str">
            <v>Utang atas Penerusan Pinjaman Dalam Negeri-Jangka Panjang</v>
          </cell>
          <cell r="D1288"/>
          <cell r="E1288"/>
          <cell r="F1288">
            <v>0</v>
          </cell>
          <cell r="G1288">
            <v>0</v>
          </cell>
          <cell r="H1288">
            <v>0</v>
          </cell>
          <cell r="I1288">
            <v>0</v>
          </cell>
          <cell r="J1288">
            <v>0</v>
          </cell>
        </row>
        <row r="1289">
          <cell r="B1289" t="str">
            <v>2.2.01.02</v>
          </cell>
          <cell r="C1289" t="str">
            <v>Utang atas Penerusan Pinjaman Luar Negeri</v>
          </cell>
          <cell r="D1289">
            <v>0</v>
          </cell>
          <cell r="E1289">
            <v>0</v>
          </cell>
          <cell r="F1289"/>
          <cell r="G1289"/>
          <cell r="H1289"/>
          <cell r="I1289"/>
          <cell r="J1289">
            <v>0</v>
          </cell>
        </row>
        <row r="1290">
          <cell r="B1290" t="str">
            <v>2.2.01.02.01</v>
          </cell>
          <cell r="C1290" t="str">
            <v>Utang atas Penerusan Pinjaman Luar Negeri-Jangka Menengah</v>
          </cell>
          <cell r="D1290"/>
          <cell r="E1290"/>
          <cell r="F1290">
            <v>0</v>
          </cell>
          <cell r="G1290">
            <v>0</v>
          </cell>
          <cell r="H1290">
            <v>0</v>
          </cell>
          <cell r="I1290">
            <v>0</v>
          </cell>
          <cell r="J1290">
            <v>0</v>
          </cell>
        </row>
        <row r="1291">
          <cell r="B1291" t="str">
            <v>2.2.01.02.02</v>
          </cell>
          <cell r="C1291" t="str">
            <v>Utang atas Penerusan Pinjaman Luar Negeri-Jangka Panjang</v>
          </cell>
          <cell r="D1291"/>
          <cell r="E1291"/>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F1292"/>
          <cell r="G1292"/>
          <cell r="H1292"/>
          <cell r="I1292"/>
          <cell r="J1292">
            <v>0</v>
          </cell>
        </row>
        <row r="1293">
          <cell r="B1293" t="str">
            <v>2.2.01.03.01</v>
          </cell>
          <cell r="C1293" t="str">
            <v>Sumber Lainnya sesuai Ketentuan Peraturan Perundang-Undangan-Jangka Menengah</v>
          </cell>
          <cell r="D1293"/>
          <cell r="E1293"/>
          <cell r="F1293">
            <v>0</v>
          </cell>
          <cell r="G1293">
            <v>0</v>
          </cell>
          <cell r="H1293">
            <v>0</v>
          </cell>
          <cell r="I1293">
            <v>0</v>
          </cell>
          <cell r="J1293">
            <v>0</v>
          </cell>
        </row>
        <row r="1294">
          <cell r="B1294" t="str">
            <v>2.2.01.03.02</v>
          </cell>
          <cell r="C1294" t="str">
            <v>Sumber Lainnya sesuai Ketentuan Peraturan Perundang-Undangan-Jangka Panjang</v>
          </cell>
          <cell r="D1294"/>
          <cell r="E1294"/>
          <cell r="F1294">
            <v>0</v>
          </cell>
          <cell r="G1294">
            <v>0</v>
          </cell>
          <cell r="H1294">
            <v>0</v>
          </cell>
          <cell r="I1294">
            <v>0</v>
          </cell>
          <cell r="J1294">
            <v>0</v>
          </cell>
        </row>
        <row r="1295">
          <cell r="B1295"/>
          <cell r="C1295"/>
          <cell r="D1295"/>
          <cell r="E1295"/>
          <cell r="F1295"/>
          <cell r="G1295"/>
          <cell r="H1295"/>
          <cell r="I1295"/>
          <cell r="J1295"/>
        </row>
        <row r="1296">
          <cell r="B1296" t="str">
            <v>2.2.02</v>
          </cell>
          <cell r="C1296" t="str">
            <v>Utang kepada Lembaga Keuangan Bank (LKB)</v>
          </cell>
          <cell r="D1296">
            <v>0</v>
          </cell>
          <cell r="E1296">
            <v>0</v>
          </cell>
          <cell r="F1296"/>
          <cell r="G1296"/>
          <cell r="H1296"/>
          <cell r="I1296"/>
          <cell r="J1296">
            <v>0</v>
          </cell>
        </row>
        <row r="1297">
          <cell r="B1297" t="str">
            <v>2.2.02.01</v>
          </cell>
          <cell r="C1297" t="str">
            <v>Utang kepada Lembaga Keuangan Bank (LKB)-BUMN</v>
          </cell>
          <cell r="D1297">
            <v>0</v>
          </cell>
          <cell r="E1297">
            <v>0</v>
          </cell>
          <cell r="F1297"/>
          <cell r="G1297"/>
          <cell r="H1297"/>
          <cell r="I1297"/>
          <cell r="J1297">
            <v>0</v>
          </cell>
        </row>
        <row r="1298">
          <cell r="B1298" t="str">
            <v>2.2.02.01.01</v>
          </cell>
          <cell r="C1298" t="str">
            <v>Utang kepada Lembaga Keuangan Bank (LKB)-BUMN-Jangka Menengah</v>
          </cell>
          <cell r="D1298"/>
          <cell r="E1298"/>
          <cell r="F1298">
            <v>0</v>
          </cell>
          <cell r="G1298">
            <v>0</v>
          </cell>
          <cell r="H1298">
            <v>0</v>
          </cell>
          <cell r="I1298">
            <v>0</v>
          </cell>
          <cell r="J1298">
            <v>0</v>
          </cell>
        </row>
        <row r="1299">
          <cell r="B1299" t="str">
            <v>2.2.02.01.02</v>
          </cell>
          <cell r="C1299" t="str">
            <v>Utang kepada Lembaga Keuangan Bank (LKB)-BUMN-Jangka Panjang</v>
          </cell>
          <cell r="D1299"/>
          <cell r="E1299"/>
          <cell r="F1299">
            <v>0</v>
          </cell>
          <cell r="G1299">
            <v>0</v>
          </cell>
          <cell r="H1299">
            <v>0</v>
          </cell>
          <cell r="I1299">
            <v>0</v>
          </cell>
          <cell r="J1299">
            <v>0</v>
          </cell>
        </row>
        <row r="1300">
          <cell r="B1300" t="str">
            <v>2.2.02.02</v>
          </cell>
          <cell r="C1300" t="str">
            <v>Utang kepada Lembaga Keuangan Bank (LKB)-BUMD</v>
          </cell>
          <cell r="D1300">
            <v>0</v>
          </cell>
          <cell r="E1300">
            <v>0</v>
          </cell>
          <cell r="F1300"/>
          <cell r="G1300"/>
          <cell r="H1300"/>
          <cell r="I1300"/>
          <cell r="J1300">
            <v>0</v>
          </cell>
        </row>
        <row r="1301">
          <cell r="B1301" t="str">
            <v>2.2.02.02.01</v>
          </cell>
          <cell r="C1301" t="str">
            <v>Utang kepada Lembaga Keuangan Bank (LKB)-BUMD-Jangka Menengah</v>
          </cell>
          <cell r="D1301"/>
          <cell r="E1301"/>
          <cell r="F1301">
            <v>0</v>
          </cell>
          <cell r="G1301">
            <v>0</v>
          </cell>
          <cell r="H1301">
            <v>0</v>
          </cell>
          <cell r="I1301">
            <v>0</v>
          </cell>
          <cell r="J1301">
            <v>0</v>
          </cell>
        </row>
        <row r="1302">
          <cell r="B1302" t="str">
            <v>2.2.02.02.02</v>
          </cell>
          <cell r="C1302" t="str">
            <v>Utang kepada Lembaga Keuangan Bank (LKB)-BUMD-Jangka Panjang</v>
          </cell>
          <cell r="D1302"/>
          <cell r="E1302"/>
          <cell r="F1302">
            <v>0</v>
          </cell>
          <cell r="G1302">
            <v>0</v>
          </cell>
          <cell r="H1302">
            <v>0</v>
          </cell>
          <cell r="I1302">
            <v>0</v>
          </cell>
          <cell r="J1302">
            <v>0</v>
          </cell>
        </row>
        <row r="1303">
          <cell r="B1303" t="str">
            <v>2.2.02.03</v>
          </cell>
          <cell r="C1303" t="str">
            <v>Utang kepada Lembaga Keuangan Bank (LKB)-Swasta</v>
          </cell>
          <cell r="D1303">
            <v>0</v>
          </cell>
          <cell r="E1303">
            <v>0</v>
          </cell>
          <cell r="F1303"/>
          <cell r="G1303"/>
          <cell r="H1303"/>
          <cell r="I1303"/>
          <cell r="J1303">
            <v>0</v>
          </cell>
        </row>
        <row r="1304">
          <cell r="B1304" t="str">
            <v>2.2.02.03.01</v>
          </cell>
          <cell r="C1304" t="str">
            <v>Utang kepada Lembaga Keuangan Bank (LKB)-Swasta-Jangka Menengah</v>
          </cell>
          <cell r="D1304"/>
          <cell r="E1304"/>
          <cell r="F1304">
            <v>0</v>
          </cell>
          <cell r="G1304">
            <v>0</v>
          </cell>
          <cell r="H1304">
            <v>0</v>
          </cell>
          <cell r="I1304">
            <v>0</v>
          </cell>
          <cell r="J1304">
            <v>0</v>
          </cell>
        </row>
        <row r="1305">
          <cell r="B1305" t="str">
            <v>2.2.02.03.02</v>
          </cell>
          <cell r="C1305" t="str">
            <v>Utang kepada Lembaga Keuangan Bank (LKB)-Swasta-Jangka Panjang</v>
          </cell>
          <cell r="D1305"/>
          <cell r="E1305"/>
          <cell r="F1305">
            <v>0</v>
          </cell>
          <cell r="G1305">
            <v>0</v>
          </cell>
          <cell r="H1305">
            <v>0</v>
          </cell>
          <cell r="I1305">
            <v>0</v>
          </cell>
          <cell r="J1305">
            <v>0</v>
          </cell>
        </row>
        <row r="1306">
          <cell r="B1306"/>
          <cell r="C1306"/>
          <cell r="D1306"/>
          <cell r="E1306"/>
          <cell r="F1306"/>
          <cell r="G1306"/>
          <cell r="H1306"/>
          <cell r="I1306"/>
          <cell r="J1306"/>
        </row>
        <row r="1307">
          <cell r="B1307" t="str">
            <v>2.2.03</v>
          </cell>
          <cell r="C1307" t="str">
            <v>Utang kepada Lembaga Keuangan Bukan Bank (LKBB)</v>
          </cell>
          <cell r="D1307">
            <v>0</v>
          </cell>
          <cell r="E1307">
            <v>0</v>
          </cell>
          <cell r="F1307"/>
          <cell r="G1307"/>
          <cell r="H1307"/>
          <cell r="I1307"/>
          <cell r="J1307">
            <v>0</v>
          </cell>
        </row>
        <row r="1308">
          <cell r="B1308" t="str">
            <v>2.2.03.01</v>
          </cell>
          <cell r="C1308" t="str">
            <v>Utang kepada Lembaga Keuangan Bank (LKB)-BUMD-Jangka Panjang</v>
          </cell>
          <cell r="D1308">
            <v>0</v>
          </cell>
          <cell r="E1308">
            <v>0</v>
          </cell>
          <cell r="F1308"/>
          <cell r="G1308"/>
          <cell r="H1308"/>
          <cell r="I1308"/>
          <cell r="J1308">
            <v>0</v>
          </cell>
        </row>
        <row r="1309">
          <cell r="B1309" t="str">
            <v>2.2.03.01.01</v>
          </cell>
          <cell r="C1309" t="str">
            <v>Utang kepada Lembaga Keuangan Bukan Bank (LKBB)-BUMN-Jangka Menengah</v>
          </cell>
          <cell r="D1309"/>
          <cell r="E1309"/>
          <cell r="F1309">
            <v>0</v>
          </cell>
          <cell r="G1309">
            <v>0</v>
          </cell>
          <cell r="H1309">
            <v>0</v>
          </cell>
          <cell r="I1309">
            <v>0</v>
          </cell>
          <cell r="J1309">
            <v>0</v>
          </cell>
        </row>
        <row r="1310">
          <cell r="B1310" t="str">
            <v>2.2.03.01.02</v>
          </cell>
          <cell r="C1310" t="str">
            <v>Utang kepada Lembaga Keuangan Bukan Bank (LKBB)-BUMN-Jangka Panjang</v>
          </cell>
          <cell r="D1310"/>
          <cell r="E1310"/>
          <cell r="F1310">
            <v>0</v>
          </cell>
          <cell r="G1310">
            <v>0</v>
          </cell>
          <cell r="H1310">
            <v>0</v>
          </cell>
          <cell r="I1310">
            <v>0</v>
          </cell>
          <cell r="J1310">
            <v>0</v>
          </cell>
        </row>
        <row r="1311">
          <cell r="B1311" t="str">
            <v>2.2.03.02</v>
          </cell>
          <cell r="C1311" t="str">
            <v>Utang kepada Lembaga Keuangan Bukan Bank (LKBB)-BUMD</v>
          </cell>
          <cell r="D1311">
            <v>0</v>
          </cell>
          <cell r="E1311">
            <v>0</v>
          </cell>
          <cell r="F1311"/>
          <cell r="G1311"/>
          <cell r="H1311"/>
          <cell r="I1311"/>
          <cell r="J1311">
            <v>0</v>
          </cell>
        </row>
        <row r="1312">
          <cell r="B1312" t="str">
            <v>2.2.03.02.01</v>
          </cell>
          <cell r="C1312" t="str">
            <v>Utang kepada Lembaga Keuangan Bukan Bank (LKBB)-BUMD-Jangka Menengah</v>
          </cell>
          <cell r="D1312"/>
          <cell r="E1312"/>
          <cell r="F1312">
            <v>0</v>
          </cell>
          <cell r="G1312">
            <v>0</v>
          </cell>
          <cell r="H1312">
            <v>0</v>
          </cell>
          <cell r="I1312">
            <v>0</v>
          </cell>
          <cell r="J1312">
            <v>0</v>
          </cell>
        </row>
        <row r="1313">
          <cell r="B1313" t="str">
            <v>2.2.03.02.02</v>
          </cell>
          <cell r="C1313" t="str">
            <v>Utang kepada Lembaga Keuangan Bukan Bank (LKBB)-BUMD-Jangka Panjang</v>
          </cell>
          <cell r="D1313"/>
          <cell r="E1313"/>
          <cell r="F1313">
            <v>0</v>
          </cell>
          <cell r="G1313">
            <v>0</v>
          </cell>
          <cell r="H1313">
            <v>0</v>
          </cell>
          <cell r="I1313">
            <v>0</v>
          </cell>
          <cell r="J1313">
            <v>0</v>
          </cell>
        </row>
        <row r="1314">
          <cell r="B1314" t="str">
            <v>2.2.03.03</v>
          </cell>
          <cell r="C1314" t="str">
            <v>Utang kepada Lembaga Keuangan Bukan Bank (LKBB)-Swasta</v>
          </cell>
          <cell r="D1314">
            <v>0</v>
          </cell>
          <cell r="E1314">
            <v>0</v>
          </cell>
          <cell r="F1314"/>
          <cell r="G1314"/>
          <cell r="H1314"/>
          <cell r="I1314"/>
          <cell r="J1314">
            <v>0</v>
          </cell>
        </row>
        <row r="1315">
          <cell r="B1315" t="str">
            <v>2.2.03.03.01</v>
          </cell>
          <cell r="C1315" t="str">
            <v>Utang kepada Lembaga Keuangan Bukan Bank (LKBB)-Swasta-Jangka Menengah</v>
          </cell>
          <cell r="D1315"/>
          <cell r="E1315"/>
          <cell r="F1315">
            <v>0</v>
          </cell>
          <cell r="G1315">
            <v>0</v>
          </cell>
          <cell r="H1315">
            <v>0</v>
          </cell>
          <cell r="I1315">
            <v>0</v>
          </cell>
          <cell r="J1315">
            <v>0</v>
          </cell>
        </row>
        <row r="1316">
          <cell r="B1316" t="str">
            <v>2.2.03.03.02</v>
          </cell>
          <cell r="C1316" t="str">
            <v>Utang kepada Lembaga Keuangan Bukan Bank (LKBB)-Swasta-Jangka Panjang</v>
          </cell>
          <cell r="D1316"/>
          <cell r="E1316"/>
          <cell r="F1316">
            <v>0</v>
          </cell>
          <cell r="G1316">
            <v>0</v>
          </cell>
          <cell r="H1316">
            <v>0</v>
          </cell>
          <cell r="I1316">
            <v>0</v>
          </cell>
          <cell r="J1316">
            <v>0</v>
          </cell>
        </row>
        <row r="1317">
          <cell r="B1317"/>
          <cell r="C1317"/>
          <cell r="D1317"/>
          <cell r="E1317"/>
          <cell r="F1317"/>
          <cell r="G1317"/>
          <cell r="H1317"/>
          <cell r="I1317"/>
          <cell r="J1317"/>
        </row>
        <row r="1318">
          <cell r="B1318" t="str">
            <v>2.2.04</v>
          </cell>
          <cell r="C1318" t="str">
            <v>Utang kepada Masyarakat</v>
          </cell>
          <cell r="D1318">
            <v>0</v>
          </cell>
          <cell r="E1318">
            <v>0</v>
          </cell>
          <cell r="F1318"/>
          <cell r="G1318"/>
          <cell r="H1318"/>
          <cell r="I1318"/>
          <cell r="J1318">
            <v>0</v>
          </cell>
        </row>
        <row r="1319">
          <cell r="B1319" t="str">
            <v>2.2.04.01</v>
          </cell>
          <cell r="C1319" t="str">
            <v>Obligasi</v>
          </cell>
          <cell r="D1319">
            <v>0</v>
          </cell>
          <cell r="E1319">
            <v>0</v>
          </cell>
          <cell r="F1319"/>
          <cell r="G1319"/>
          <cell r="H1319"/>
          <cell r="I1319"/>
          <cell r="J1319">
            <v>0</v>
          </cell>
        </row>
        <row r="1320">
          <cell r="B1320" t="str">
            <v>2.2.04.01.01</v>
          </cell>
          <cell r="C1320" t="str">
            <v>Obligasi Daerah</v>
          </cell>
          <cell r="D1320"/>
          <cell r="E1320"/>
          <cell r="F1320">
            <v>0</v>
          </cell>
          <cell r="G1320">
            <v>0</v>
          </cell>
          <cell r="H1320">
            <v>0</v>
          </cell>
          <cell r="I1320">
            <v>0</v>
          </cell>
          <cell r="J1320">
            <v>0</v>
          </cell>
        </row>
        <row r="1321">
          <cell r="B1321"/>
          <cell r="C1321"/>
          <cell r="D1321"/>
          <cell r="E1321"/>
          <cell r="F1321"/>
          <cell r="G1321"/>
          <cell r="H1321"/>
          <cell r="I1321"/>
          <cell r="J1321"/>
        </row>
        <row r="1322">
          <cell r="B1322" t="str">
            <v>2.2.05</v>
          </cell>
          <cell r="C1322" t="str">
            <v>Kewajiban Konsesi Jasa</v>
          </cell>
          <cell r="D1322">
            <v>0</v>
          </cell>
          <cell r="E1322">
            <v>0</v>
          </cell>
          <cell r="F1322"/>
          <cell r="G1322"/>
          <cell r="H1322"/>
          <cell r="I1322"/>
          <cell r="J1322">
            <v>0</v>
          </cell>
        </row>
        <row r="1323">
          <cell r="B1323" t="str">
            <v>2.2.05.01</v>
          </cell>
          <cell r="C1323" t="str">
            <v>Kewajiban Konsesi Jasa</v>
          </cell>
          <cell r="D1323">
            <v>0</v>
          </cell>
          <cell r="E1323">
            <v>0</v>
          </cell>
          <cell r="F1323"/>
          <cell r="G1323"/>
          <cell r="H1323"/>
          <cell r="I1323"/>
          <cell r="J1323">
            <v>0</v>
          </cell>
        </row>
        <row r="1324">
          <cell r="B1324" t="str">
            <v>2.2.05.01.01</v>
          </cell>
          <cell r="C1324" t="str">
            <v>Kewajiban Konsesi Jasa</v>
          </cell>
          <cell r="D1324"/>
          <cell r="E1324"/>
          <cell r="F1324">
            <v>0</v>
          </cell>
          <cell r="G1324">
            <v>0</v>
          </cell>
          <cell r="H1324">
            <v>0</v>
          </cell>
          <cell r="I1324">
            <v>0</v>
          </cell>
          <cell r="J1324">
            <v>0</v>
          </cell>
        </row>
        <row r="1325">
          <cell r="B1325"/>
          <cell r="C1325"/>
          <cell r="D1325"/>
          <cell r="E1325"/>
          <cell r="F1325"/>
          <cell r="G1325"/>
          <cell r="H1325"/>
          <cell r="I1325"/>
          <cell r="J1325"/>
        </row>
        <row r="1326">
          <cell r="B1326" t="str">
            <v>2.2.06</v>
          </cell>
          <cell r="C1326" t="str">
            <v>Utang Pembiayaan Utang Daerah-Pinjaman Daerah-Pinjaman Daerah dari Pemerintah</v>
          </cell>
          <cell r="D1326">
            <v>0</v>
          </cell>
          <cell r="E1326">
            <v>0</v>
          </cell>
          <cell r="F1326"/>
          <cell r="G1326"/>
          <cell r="H1326"/>
          <cell r="I1326"/>
          <cell r="J1326">
            <v>0</v>
          </cell>
        </row>
        <row r="1327">
          <cell r="B1327" t="str">
            <v>2.2.06.01</v>
          </cell>
          <cell r="C1327" t="str">
            <v>Utang Pinjaman Daerah dari Pemerintah</v>
          </cell>
          <cell r="D1327">
            <v>0</v>
          </cell>
          <cell r="E1327">
            <v>0</v>
          </cell>
          <cell r="F1327"/>
          <cell r="G1327"/>
          <cell r="H1327"/>
          <cell r="I1327"/>
          <cell r="J1327">
            <v>0</v>
          </cell>
        </row>
        <row r="1328">
          <cell r="B1328" t="str">
            <v>2.2.06.01.01</v>
          </cell>
          <cell r="C1328" t="str">
            <v>Utang Pinjaman Daerah dari Pemerintah</v>
          </cell>
          <cell r="D1328"/>
          <cell r="E1328"/>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F1329"/>
          <cell r="G1329"/>
          <cell r="H1329"/>
          <cell r="I1329"/>
          <cell r="J1329">
            <v>0</v>
          </cell>
        </row>
        <row r="1330">
          <cell r="B1330" t="str">
            <v>2.2.06.02.01</v>
          </cell>
          <cell r="C1330" t="str">
            <v>Utang Pinjaman Daerah dari Pemerintah yang diteruspinjamkan kepada Pemerintah Daerah</v>
          </cell>
          <cell r="D1330"/>
          <cell r="E1330"/>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F1331"/>
          <cell r="G1331"/>
          <cell r="H1331"/>
          <cell r="I1331"/>
          <cell r="J1331">
            <v>0</v>
          </cell>
        </row>
        <row r="1332">
          <cell r="B1332" t="str">
            <v>2.2.06.03.01</v>
          </cell>
          <cell r="C1332" t="str">
            <v>Utang Pinjaman Daerah dari Pemerintah yang bersumber dari Hibah yang diteruspinjamkan kepada Pemerintah Daerah</v>
          </cell>
          <cell r="D1332"/>
          <cell r="E1332"/>
          <cell r="F1332">
            <v>0</v>
          </cell>
          <cell r="G1332">
            <v>0</v>
          </cell>
          <cell r="H1332">
            <v>0</v>
          </cell>
          <cell r="I1332">
            <v>0</v>
          </cell>
          <cell r="J1332">
            <v>0</v>
          </cell>
        </row>
        <row r="1333">
          <cell r="B1333"/>
          <cell r="C1333"/>
          <cell r="D1333"/>
          <cell r="E1333"/>
          <cell r="F1333"/>
          <cell r="G1333"/>
          <cell r="H1333"/>
          <cell r="I1333"/>
          <cell r="J1333"/>
        </row>
        <row r="1334">
          <cell r="B1334" t="str">
            <v>2.2.07</v>
          </cell>
          <cell r="C1334" t="str">
            <v>Utang Pembiayaan Utang Daerah-Pinjaman Daerah-Pinjaman Daerah dari Pemerintah Daerah Lain</v>
          </cell>
          <cell r="D1334">
            <v>0</v>
          </cell>
          <cell r="E1334">
            <v>0</v>
          </cell>
          <cell r="F1334"/>
          <cell r="G1334"/>
          <cell r="H1334"/>
          <cell r="I1334"/>
          <cell r="J1334">
            <v>0</v>
          </cell>
        </row>
        <row r="1335">
          <cell r="B1335" t="str">
            <v>2.2.07.01</v>
          </cell>
          <cell r="C1335" t="str">
            <v>Utang Pembiayaan Utang Daerah-Pinjaman Daerah-Pinjaman Daerah dari Pemerintah Daerah Lain</v>
          </cell>
          <cell r="D1335">
            <v>0</v>
          </cell>
          <cell r="E1335">
            <v>0</v>
          </cell>
          <cell r="F1335"/>
          <cell r="G1335"/>
          <cell r="H1335"/>
          <cell r="I1335"/>
          <cell r="J1335">
            <v>0</v>
          </cell>
        </row>
        <row r="1336">
          <cell r="B1336" t="str">
            <v>2.2.07.01.01</v>
          </cell>
          <cell r="C1336" t="str">
            <v>Utang Pembiayaan Utang Daerah-Pinjaman Daerah-Pinjaman Daerah dari Pemerintah Daerah Lain</v>
          </cell>
          <cell r="D1336"/>
          <cell r="E1336"/>
          <cell r="F1336">
            <v>0</v>
          </cell>
          <cell r="G1336">
            <v>0</v>
          </cell>
          <cell r="H1336">
            <v>0</v>
          </cell>
          <cell r="I1336">
            <v>0</v>
          </cell>
          <cell r="J1336">
            <v>0</v>
          </cell>
        </row>
        <row r="1337">
          <cell r="B1337"/>
          <cell r="C1337"/>
          <cell r="D1337"/>
          <cell r="E1337"/>
          <cell r="F1337"/>
          <cell r="G1337"/>
          <cell r="H1337"/>
          <cell r="I1337"/>
          <cell r="J1337"/>
        </row>
        <row r="1338">
          <cell r="B1338" t="str">
            <v>2.2.08</v>
          </cell>
          <cell r="C1338" t="str">
            <v>Utang Pembiayaan Utang Daerah-Pinjaman Daerah-Pinjaman Daerah dari Lembaga Keuangan Bank (LKB)</v>
          </cell>
          <cell r="D1338">
            <v>0</v>
          </cell>
          <cell r="E1338">
            <v>0</v>
          </cell>
          <cell r="F1338"/>
          <cell r="G1338"/>
          <cell r="H1338"/>
          <cell r="I1338"/>
          <cell r="J1338">
            <v>0</v>
          </cell>
        </row>
        <row r="1339">
          <cell r="B1339" t="str">
            <v>2.2.08.01</v>
          </cell>
          <cell r="C1339" t="str">
            <v>Utang Pinjaman Daerah dari LKB</v>
          </cell>
          <cell r="D1339">
            <v>0</v>
          </cell>
          <cell r="E1339">
            <v>0</v>
          </cell>
          <cell r="F1339"/>
          <cell r="G1339"/>
          <cell r="H1339"/>
          <cell r="I1339"/>
          <cell r="J1339">
            <v>0</v>
          </cell>
        </row>
        <row r="1340">
          <cell r="B1340" t="str">
            <v>2.2.08.01.01</v>
          </cell>
          <cell r="C1340" t="str">
            <v>Utang Pinjaman Daerah dari LKB</v>
          </cell>
          <cell r="D1340"/>
          <cell r="E1340"/>
          <cell r="F1340">
            <v>0</v>
          </cell>
          <cell r="G1340">
            <v>0</v>
          </cell>
          <cell r="H1340">
            <v>0</v>
          </cell>
          <cell r="I1340">
            <v>0</v>
          </cell>
          <cell r="J1340">
            <v>0</v>
          </cell>
        </row>
        <row r="1341">
          <cell r="B1341"/>
          <cell r="C1341"/>
          <cell r="D1341"/>
          <cell r="E1341"/>
          <cell r="F1341"/>
          <cell r="G1341"/>
          <cell r="H1341"/>
          <cell r="I1341"/>
          <cell r="J1341"/>
        </row>
        <row r="1342">
          <cell r="B1342" t="str">
            <v>2.2.09</v>
          </cell>
          <cell r="C1342" t="str">
            <v>Utang Pembiayaan Utang Daerah-Pinjaman Daerah-Pinjaman Daerah dari Lembaga Keuangan Bukan Bank (LKBB)</v>
          </cell>
          <cell r="D1342">
            <v>0</v>
          </cell>
          <cell r="E1342">
            <v>0</v>
          </cell>
          <cell r="F1342"/>
          <cell r="G1342"/>
          <cell r="H1342"/>
          <cell r="I1342"/>
          <cell r="J1342">
            <v>0</v>
          </cell>
        </row>
        <row r="1343">
          <cell r="B1343" t="str">
            <v>2.2.09.01</v>
          </cell>
          <cell r="C1343" t="str">
            <v>Utang Pinjaman Daerah dari LKBB</v>
          </cell>
          <cell r="D1343">
            <v>0</v>
          </cell>
          <cell r="E1343">
            <v>0</v>
          </cell>
          <cell r="F1343"/>
          <cell r="G1343"/>
          <cell r="H1343"/>
          <cell r="I1343"/>
          <cell r="J1343">
            <v>0</v>
          </cell>
        </row>
        <row r="1344">
          <cell r="B1344" t="str">
            <v>2.2.09.01.01</v>
          </cell>
          <cell r="C1344" t="str">
            <v>Utang Pinjaman Daerah dari LKBB</v>
          </cell>
          <cell r="D1344"/>
          <cell r="E1344"/>
          <cell r="F1344">
            <v>0</v>
          </cell>
          <cell r="G1344">
            <v>0</v>
          </cell>
          <cell r="H1344">
            <v>0</v>
          </cell>
          <cell r="I1344">
            <v>0</v>
          </cell>
          <cell r="J1344">
            <v>0</v>
          </cell>
        </row>
        <row r="1345">
          <cell r="B1345"/>
          <cell r="C1345"/>
          <cell r="D1345"/>
          <cell r="E1345"/>
          <cell r="F1345"/>
          <cell r="G1345"/>
          <cell r="H1345"/>
          <cell r="I1345"/>
          <cell r="J1345"/>
        </row>
        <row r="1346">
          <cell r="B1346" t="str">
            <v>3</v>
          </cell>
          <cell r="C1346" t="str">
            <v>EKUITAS</v>
          </cell>
          <cell r="D1346" t="str">
            <v>3.841.474.943.724,33</v>
          </cell>
          <cell r="E1346" t="str">
            <v>4.591.756.083.637,53</v>
          </cell>
          <cell r="F1346"/>
          <cell r="G1346"/>
          <cell r="H1346"/>
          <cell r="I1346"/>
          <cell r="J1346" t="str">
            <v>4.606.168.153.247,60</v>
          </cell>
        </row>
        <row r="1347">
          <cell r="B1347" t="str">
            <v>3.1</v>
          </cell>
          <cell r="C1347" t="str">
            <v>EKUITAS</v>
          </cell>
          <cell r="D1347" t="str">
            <v>3.841.474.943.724,33</v>
          </cell>
          <cell r="E1347" t="str">
            <v>4.591.756.083.637,53</v>
          </cell>
          <cell r="F1347"/>
          <cell r="G1347"/>
          <cell r="H1347"/>
          <cell r="I1347"/>
          <cell r="J1347" t="str">
            <v>4.606.168.153.247,60</v>
          </cell>
        </row>
        <row r="1348">
          <cell r="B1348" t="str">
            <v>3.1.01</v>
          </cell>
          <cell r="C1348" t="str">
            <v>Ekuitas</v>
          </cell>
          <cell r="D1348" t="str">
            <v>3.841.474.943.724,33</v>
          </cell>
          <cell r="E1348" t="str">
            <v>4.591.756.083.637,53</v>
          </cell>
          <cell r="F1348"/>
          <cell r="G1348"/>
          <cell r="H1348"/>
          <cell r="I1348"/>
          <cell r="J1348" t="str">
            <v>4.606.168.153.247,60</v>
          </cell>
        </row>
        <row r="1349">
          <cell r="B1349" t="str">
            <v>3.1.01.01</v>
          </cell>
          <cell r="C1349" t="str">
            <v>Ekuitas</v>
          </cell>
          <cell r="D1349" t="str">
            <v>3.841.474.943.724,33</v>
          </cell>
          <cell r="E1349" t="str">
            <v>4.591.756.083.637,53</v>
          </cell>
          <cell r="F1349"/>
          <cell r="G1349"/>
          <cell r="H1349"/>
          <cell r="I1349"/>
          <cell r="J1349" t="str">
            <v>4.606.168.153.247,60</v>
          </cell>
        </row>
        <row r="1350">
          <cell r="B1350" t="str">
            <v>3.1.01.01.01</v>
          </cell>
          <cell r="C1350" t="str">
            <v>Ekuitas</v>
          </cell>
          <cell r="D1350" t="str">
            <v>3.841.474.943.724,33</v>
          </cell>
          <cell r="E1350" t="str">
            <v>4.591.756.083.637,53</v>
          </cell>
          <cell r="F1350">
            <v>0</v>
          </cell>
          <cell r="G1350">
            <v>0</v>
          </cell>
          <cell r="H1350">
            <v>0</v>
          </cell>
          <cell r="I1350">
            <v>0</v>
          </cell>
          <cell r="J1350" t="str">
            <v>4.606.168.153.247,60</v>
          </cell>
        </row>
        <row r="1351">
          <cell r="B1351"/>
          <cell r="C1351"/>
          <cell r="D1351"/>
          <cell r="E1351"/>
          <cell r="F1351"/>
          <cell r="G1351"/>
          <cell r="H1351"/>
          <cell r="I1351"/>
          <cell r="J1351"/>
        </row>
        <row r="1352">
          <cell r="B1352" t="str">
            <v>NERACA</v>
          </cell>
          <cell r="C1352" t="str">
            <v>JUMLAH KEWAJIBAN DAN EKUITAS</v>
          </cell>
          <cell r="D1352" t="str">
            <v>3.885.138.522.578,63</v>
          </cell>
          <cell r="E1352" t="str">
            <v>4.606.378.534.965,56</v>
          </cell>
          <cell r="F1352"/>
          <cell r="G1352"/>
          <cell r="H1352"/>
          <cell r="I1352"/>
          <cell r="J1352" t="str">
            <v>4.620.786.094.575,63</v>
          </cell>
        </row>
        <row r="1353">
          <cell r="B1353"/>
          <cell r="C1353"/>
          <cell r="D1353"/>
          <cell r="E1353"/>
          <cell r="F1353"/>
          <cell r="G1353"/>
          <cell r="H1353"/>
          <cell r="I1353"/>
          <cell r="J1353"/>
        </row>
        <row r="1354">
          <cell r="B1354" t="str">
            <v>NERACA</v>
          </cell>
          <cell r="C1354" t="str">
            <v>CHECK BALANCE SHEET</v>
          </cell>
          <cell r="D1354"/>
          <cell r="E1354"/>
          <cell r="F1354"/>
          <cell r="G1354"/>
          <cell r="H1354"/>
          <cell r="I1354"/>
          <cell r="J1354"/>
        </row>
        <row r="1355">
          <cell r="B1355"/>
          <cell r="C1355" t="str">
            <v>JUMLAH ASET</v>
          </cell>
          <cell r="D1355" t="str">
            <v>3.885.138.522.578,63</v>
          </cell>
          <cell r="E1355" t="str">
            <v>4.606.378.534.965,56</v>
          </cell>
          <cell r="F1355"/>
          <cell r="G1355"/>
          <cell r="H1355"/>
          <cell r="I1355"/>
          <cell r="J1355" t="str">
            <v>4.620.786.094.575,63</v>
          </cell>
        </row>
        <row r="1356">
          <cell r="B1356"/>
          <cell r="C1356" t="str">
            <v>JUMLAH KEWAJIBAN DAN EKUITAS</v>
          </cell>
          <cell r="D1356" t="str">
            <v>3.885.138.522.578,63</v>
          </cell>
          <cell r="E1356" t="str">
            <v>4.606.378.534.965,56</v>
          </cell>
          <cell r="F1356"/>
          <cell r="G1356"/>
          <cell r="H1356"/>
          <cell r="I1356"/>
          <cell r="J1356" t="str">
            <v>4.620.786.094.575,63</v>
          </cell>
        </row>
        <row r="1357">
          <cell r="B1357"/>
          <cell r="C1357" t="str">
            <v>SELISIH</v>
          </cell>
          <cell r="D1357">
            <v>0</v>
          </cell>
          <cell r="E1357">
            <v>0</v>
          </cell>
          <cell r="F1357"/>
          <cell r="G1357"/>
          <cell r="H1357"/>
          <cell r="I1357"/>
          <cell r="J1357">
            <v>0</v>
          </cell>
        </row>
        <row r="1358">
          <cell r="B1358"/>
          <cell r="C1358"/>
          <cell r="D1358"/>
          <cell r="E1358"/>
          <cell r="F1358"/>
          <cell r="G1358"/>
          <cell r="H1358"/>
          <cell r="I1358"/>
          <cell r="J1358"/>
        </row>
        <row r="1359">
          <cell r="B1359" t="str">
            <v>LRA</v>
          </cell>
          <cell r="C1359" t="str">
            <v>LRA</v>
          </cell>
          <cell r="D1359" t="str">
            <v>LRA</v>
          </cell>
          <cell r="E1359" t="str">
            <v>LRA</v>
          </cell>
          <cell r="F1359" t="str">
            <v>LRA</v>
          </cell>
          <cell r="G1359" t="str">
            <v>LRA</v>
          </cell>
          <cell r="H1359" t="str">
            <v>LRA</v>
          </cell>
          <cell r="I1359" t="str">
            <v>LRA</v>
          </cell>
          <cell r="J1359" t="str">
            <v>LRA</v>
          </cell>
        </row>
        <row r="1360">
          <cell r="B1360"/>
          <cell r="C1360"/>
          <cell r="D1360"/>
          <cell r="E1360"/>
          <cell r="F1360"/>
          <cell r="G1360"/>
          <cell r="H1360"/>
          <cell r="I1360"/>
          <cell r="J1360"/>
        </row>
        <row r="1361">
          <cell r="B1361" t="str">
            <v>4</v>
          </cell>
          <cell r="C1361" t="str">
            <v>PENDAPATAN DAERAH</v>
          </cell>
          <cell r="D1361">
            <v>2191893631484.8101</v>
          </cell>
          <cell r="E1361">
            <v>2881719292670.9399</v>
          </cell>
          <cell r="F1361"/>
          <cell r="G1361"/>
          <cell r="H1361"/>
          <cell r="I1361"/>
          <cell r="J1361">
            <v>2881719292670.9399</v>
          </cell>
        </row>
        <row r="1362">
          <cell r="B1362" t="str">
            <v>4.1</v>
          </cell>
          <cell r="C1362" t="str">
            <v>PENDAPATAN ASLI DAERAH (PAD)</v>
          </cell>
          <cell r="D1362">
            <v>210870524801.81</v>
          </cell>
          <cell r="E1362">
            <v>231512814322.44</v>
          </cell>
          <cell r="F1362"/>
          <cell r="G1362"/>
          <cell r="H1362"/>
          <cell r="I1362"/>
          <cell r="J1362">
            <v>231512814322.44</v>
          </cell>
        </row>
        <row r="1363">
          <cell r="B1363" t="str">
            <v>4.1.01</v>
          </cell>
          <cell r="C1363" t="str">
            <v>Pajak Daerah</v>
          </cell>
          <cell r="D1363">
            <v>106869886739</v>
          </cell>
          <cell r="E1363">
            <v>116547605456</v>
          </cell>
          <cell r="F1363"/>
          <cell r="G1363"/>
          <cell r="H1363"/>
          <cell r="I1363"/>
          <cell r="J1363">
            <v>116547605456</v>
          </cell>
        </row>
        <row r="1364">
          <cell r="B1364" t="str">
            <v>4.1.01.01</v>
          </cell>
          <cell r="C1364" t="str">
            <v>Pajak Kendaraan Bermotor (PKB)</v>
          </cell>
          <cell r="D1364">
            <v>0</v>
          </cell>
          <cell r="E1364">
            <v>0</v>
          </cell>
          <cell r="F1364"/>
          <cell r="G1364"/>
          <cell r="H1364"/>
          <cell r="I1364"/>
          <cell r="J1364">
            <v>0</v>
          </cell>
        </row>
        <row r="1365">
          <cell r="B1365" t="str">
            <v>4.1.01.01.01</v>
          </cell>
          <cell r="C1365" t="str">
            <v>PKB-Mobil Penumpang-Sedan</v>
          </cell>
          <cell r="D1365">
            <v>0</v>
          </cell>
          <cell r="E1365">
            <v>0</v>
          </cell>
          <cell r="F1365">
            <v>0</v>
          </cell>
          <cell r="G1365">
            <v>0</v>
          </cell>
          <cell r="H1365">
            <v>0</v>
          </cell>
          <cell r="I1365">
            <v>0</v>
          </cell>
          <cell r="J1365">
            <v>0</v>
          </cell>
        </row>
        <row r="1366">
          <cell r="B1366" t="str">
            <v>4.1.01.01.02</v>
          </cell>
          <cell r="C1366" t="str">
            <v>PKB-Mobil Penumpang-Jeep</v>
          </cell>
          <cell r="D1366">
            <v>0</v>
          </cell>
          <cell r="E1366">
            <v>0</v>
          </cell>
          <cell r="F1366">
            <v>0</v>
          </cell>
          <cell r="G1366">
            <v>0</v>
          </cell>
          <cell r="H1366">
            <v>0</v>
          </cell>
          <cell r="I1366">
            <v>0</v>
          </cell>
          <cell r="J1366">
            <v>0</v>
          </cell>
        </row>
        <row r="1367">
          <cell r="B1367" t="str">
            <v>4.1.01.01.03</v>
          </cell>
          <cell r="C1367" t="str">
            <v>PKB-Mobil Penumpang-Minibus</v>
          </cell>
          <cell r="D1367">
            <v>0</v>
          </cell>
          <cell r="E1367">
            <v>0</v>
          </cell>
          <cell r="F1367">
            <v>0</v>
          </cell>
          <cell r="G1367">
            <v>0</v>
          </cell>
          <cell r="H1367">
            <v>0</v>
          </cell>
          <cell r="I1367">
            <v>0</v>
          </cell>
          <cell r="J1367">
            <v>0</v>
          </cell>
        </row>
        <row r="1368">
          <cell r="B1368" t="str">
            <v>4.1.01.01.04</v>
          </cell>
          <cell r="C1368" t="str">
            <v>PKB-Mobil Bus-Microbus</v>
          </cell>
          <cell r="D1368">
            <v>0</v>
          </cell>
          <cell r="E1368">
            <v>0</v>
          </cell>
          <cell r="F1368">
            <v>0</v>
          </cell>
          <cell r="G1368">
            <v>0</v>
          </cell>
          <cell r="H1368">
            <v>0</v>
          </cell>
          <cell r="I1368">
            <v>0</v>
          </cell>
          <cell r="J1368">
            <v>0</v>
          </cell>
        </row>
        <row r="1369">
          <cell r="B1369" t="str">
            <v>4.1.01.01.05</v>
          </cell>
          <cell r="C1369" t="str">
            <v>PKB-Mobil Bus-Bus</v>
          </cell>
          <cell r="D1369">
            <v>0</v>
          </cell>
          <cell r="E1369">
            <v>0</v>
          </cell>
          <cell r="F1369">
            <v>0</v>
          </cell>
          <cell r="G1369">
            <v>0</v>
          </cell>
          <cell r="H1369">
            <v>0</v>
          </cell>
          <cell r="I1369">
            <v>0</v>
          </cell>
          <cell r="J1369">
            <v>0</v>
          </cell>
        </row>
        <row r="1370">
          <cell r="B1370" t="str">
            <v>4.1.01.01.06</v>
          </cell>
          <cell r="C1370" t="str">
            <v>PKB-Mobil Barang/Beban-Pick Up</v>
          </cell>
          <cell r="D1370">
            <v>0</v>
          </cell>
          <cell r="E1370">
            <v>0</v>
          </cell>
          <cell r="F1370">
            <v>0</v>
          </cell>
          <cell r="G1370">
            <v>0</v>
          </cell>
          <cell r="H1370">
            <v>0</v>
          </cell>
          <cell r="I1370">
            <v>0</v>
          </cell>
          <cell r="J1370">
            <v>0</v>
          </cell>
        </row>
        <row r="1371">
          <cell r="B1371" t="str">
            <v>4.1.01.01.07</v>
          </cell>
          <cell r="C1371" t="str">
            <v>PKB-Mobil Barang/Beban-Light Truck</v>
          </cell>
          <cell r="D1371">
            <v>0</v>
          </cell>
          <cell r="E1371">
            <v>0</v>
          </cell>
          <cell r="F1371">
            <v>0</v>
          </cell>
          <cell r="G1371">
            <v>0</v>
          </cell>
          <cell r="H1371">
            <v>0</v>
          </cell>
          <cell r="I1371">
            <v>0</v>
          </cell>
          <cell r="J1371">
            <v>0</v>
          </cell>
        </row>
        <row r="1372">
          <cell r="B1372" t="str">
            <v>4.1.01.01.08</v>
          </cell>
          <cell r="C1372" t="str">
            <v>PKB-Mobil Barang/Beban-Truck</v>
          </cell>
          <cell r="D1372">
            <v>0</v>
          </cell>
          <cell r="E1372">
            <v>0</v>
          </cell>
          <cell r="F1372">
            <v>0</v>
          </cell>
          <cell r="G1372">
            <v>0</v>
          </cell>
          <cell r="H1372">
            <v>0</v>
          </cell>
          <cell r="I1372">
            <v>0</v>
          </cell>
          <cell r="J1372">
            <v>0</v>
          </cell>
        </row>
        <row r="1373">
          <cell r="B1373" t="str">
            <v>4.1.01.01.09</v>
          </cell>
          <cell r="C1373" t="str">
            <v>PKB-Mobil Barang/Beban-Blind Van</v>
          </cell>
          <cell r="D1373">
            <v>0</v>
          </cell>
          <cell r="E1373">
            <v>0</v>
          </cell>
          <cell r="F1373">
            <v>0</v>
          </cell>
          <cell r="G1373">
            <v>0</v>
          </cell>
          <cell r="H1373">
            <v>0</v>
          </cell>
          <cell r="I1373">
            <v>0</v>
          </cell>
          <cell r="J1373">
            <v>0</v>
          </cell>
        </row>
        <row r="1374">
          <cell r="B1374" t="str">
            <v>4.1.01.01.10</v>
          </cell>
          <cell r="C1374" t="str">
            <v>PKB-Sepeda Motor-Sepeda Motor Roda Dua</v>
          </cell>
          <cell r="D1374">
            <v>0</v>
          </cell>
          <cell r="E1374">
            <v>0</v>
          </cell>
          <cell r="F1374">
            <v>0</v>
          </cell>
          <cell r="G1374">
            <v>0</v>
          </cell>
          <cell r="H1374">
            <v>0</v>
          </cell>
          <cell r="I1374">
            <v>0</v>
          </cell>
          <cell r="J1374">
            <v>0</v>
          </cell>
        </row>
        <row r="1375">
          <cell r="B1375" t="str">
            <v>4.1.01.01.11</v>
          </cell>
          <cell r="C1375" t="str">
            <v>PKB-Sepeda Motor-Sepeda Motor Roda Tiga</v>
          </cell>
          <cell r="D1375">
            <v>0</v>
          </cell>
          <cell r="E1375">
            <v>0</v>
          </cell>
          <cell r="F1375">
            <v>0</v>
          </cell>
          <cell r="G1375">
            <v>0</v>
          </cell>
          <cell r="H1375">
            <v>0</v>
          </cell>
          <cell r="I1375">
            <v>0</v>
          </cell>
          <cell r="J1375">
            <v>0</v>
          </cell>
        </row>
        <row r="1376">
          <cell r="B1376" t="str">
            <v>4.1.01.01.12</v>
          </cell>
          <cell r="C1376" t="str">
            <v>PKB-Kendaraan Bermotor yang Dioperasikan di Air</v>
          </cell>
          <cell r="D1376">
            <v>0</v>
          </cell>
          <cell r="E1376">
            <v>0</v>
          </cell>
          <cell r="F1376">
            <v>0</v>
          </cell>
          <cell r="G1376">
            <v>0</v>
          </cell>
          <cell r="H1376">
            <v>0</v>
          </cell>
          <cell r="I1376">
            <v>0</v>
          </cell>
          <cell r="J1376">
            <v>0</v>
          </cell>
        </row>
        <row r="1377">
          <cell r="B1377" t="str">
            <v>4.1.01.01.13</v>
          </cell>
          <cell r="C1377" t="str">
            <v>PKB-Kendaraan Khusus Alat Berat/Alat Besar</v>
          </cell>
          <cell r="D1377">
            <v>0</v>
          </cell>
          <cell r="E1377">
            <v>0</v>
          </cell>
          <cell r="F1377">
            <v>0</v>
          </cell>
          <cell r="G1377">
            <v>0</v>
          </cell>
          <cell r="H1377">
            <v>0</v>
          </cell>
          <cell r="I1377">
            <v>0</v>
          </cell>
          <cell r="J1377">
            <v>0</v>
          </cell>
        </row>
        <row r="1378">
          <cell r="B1378" t="str">
            <v>4.1.01.01.14</v>
          </cell>
          <cell r="C1378" t="str">
            <v>PKB-Mobil Roda Tiga</v>
          </cell>
          <cell r="D1378">
            <v>0</v>
          </cell>
          <cell r="E1378">
            <v>0</v>
          </cell>
          <cell r="F1378">
            <v>0</v>
          </cell>
          <cell r="G1378">
            <v>0</v>
          </cell>
          <cell r="H1378">
            <v>0</v>
          </cell>
          <cell r="I1378">
            <v>0</v>
          </cell>
          <cell r="J1378">
            <v>0</v>
          </cell>
        </row>
        <row r="1379">
          <cell r="B1379" t="str">
            <v>4.1.01.01.15</v>
          </cell>
          <cell r="C1379" t="str">
            <v>PKB-Mobil Penumpang-Roda Tiga</v>
          </cell>
          <cell r="D1379">
            <v>0</v>
          </cell>
          <cell r="E1379">
            <v>0</v>
          </cell>
          <cell r="F1379">
            <v>0</v>
          </cell>
          <cell r="G1379">
            <v>0</v>
          </cell>
          <cell r="H1379">
            <v>0</v>
          </cell>
          <cell r="I1379">
            <v>0</v>
          </cell>
          <cell r="J1379">
            <v>0</v>
          </cell>
        </row>
        <row r="1380">
          <cell r="B1380" t="str">
            <v>4.1.01.01.16</v>
          </cell>
          <cell r="C1380" t="str">
            <v>PKB-Mobil Barang-Roda Tiga</v>
          </cell>
          <cell r="D1380">
            <v>0</v>
          </cell>
          <cell r="E1380">
            <v>0</v>
          </cell>
          <cell r="F1380">
            <v>0</v>
          </cell>
          <cell r="G1380">
            <v>0</v>
          </cell>
          <cell r="H1380">
            <v>0</v>
          </cell>
          <cell r="I1380">
            <v>0</v>
          </cell>
          <cell r="J1380">
            <v>0</v>
          </cell>
        </row>
        <row r="1381">
          <cell r="B1381" t="str">
            <v>4.1.01.01.17</v>
          </cell>
          <cell r="C1381" t="str">
            <v>PKB-Mobil Barang/Beban-Pick Up Box</v>
          </cell>
          <cell r="D1381">
            <v>0</v>
          </cell>
          <cell r="E1381">
            <v>0</v>
          </cell>
          <cell r="F1381">
            <v>0</v>
          </cell>
          <cell r="G1381">
            <v>0</v>
          </cell>
          <cell r="H1381">
            <v>0</v>
          </cell>
          <cell r="I1381">
            <v>0</v>
          </cell>
          <cell r="J1381">
            <v>0</v>
          </cell>
        </row>
        <row r="1382">
          <cell r="B1382" t="str">
            <v>4.1.01.01.18</v>
          </cell>
          <cell r="C1382" t="str">
            <v>PKB-Sepeda Motor-Sepeda Motor Roda Tiga Penumpang</v>
          </cell>
          <cell r="D1382">
            <v>0</v>
          </cell>
          <cell r="E1382">
            <v>0</v>
          </cell>
          <cell r="F1382">
            <v>0</v>
          </cell>
          <cell r="G1382">
            <v>0</v>
          </cell>
          <cell r="H1382">
            <v>0</v>
          </cell>
          <cell r="I1382">
            <v>0</v>
          </cell>
          <cell r="J1382">
            <v>0</v>
          </cell>
        </row>
        <row r="1383">
          <cell r="B1383" t="str">
            <v>4.1.01.02</v>
          </cell>
          <cell r="C1383" t="str">
            <v>Bea Balik Nama Kendaraan Bermotor (BBNKB)</v>
          </cell>
          <cell r="D1383">
            <v>0</v>
          </cell>
          <cell r="E1383">
            <v>0</v>
          </cell>
          <cell r="F1383"/>
          <cell r="G1383"/>
          <cell r="H1383"/>
          <cell r="I1383"/>
          <cell r="J1383">
            <v>0</v>
          </cell>
        </row>
        <row r="1384">
          <cell r="B1384" t="str">
            <v>4.1.01.02.01</v>
          </cell>
          <cell r="C1384" t="str">
            <v>BBNKB-Mobil Penumpang-Sedan</v>
          </cell>
          <cell r="D1384">
            <v>0</v>
          </cell>
          <cell r="E1384">
            <v>0</v>
          </cell>
          <cell r="F1384">
            <v>0</v>
          </cell>
          <cell r="G1384">
            <v>0</v>
          </cell>
          <cell r="H1384">
            <v>0</v>
          </cell>
          <cell r="I1384">
            <v>0</v>
          </cell>
          <cell r="J1384">
            <v>0</v>
          </cell>
        </row>
        <row r="1385">
          <cell r="B1385" t="str">
            <v>4.1.01.02.02</v>
          </cell>
          <cell r="C1385" t="str">
            <v>BBNKB-Mobil Penumpang-Jeep</v>
          </cell>
          <cell r="D1385">
            <v>0</v>
          </cell>
          <cell r="E1385">
            <v>0</v>
          </cell>
          <cell r="F1385">
            <v>0</v>
          </cell>
          <cell r="G1385">
            <v>0</v>
          </cell>
          <cell r="H1385">
            <v>0</v>
          </cell>
          <cell r="I1385">
            <v>0</v>
          </cell>
          <cell r="J1385">
            <v>0</v>
          </cell>
        </row>
        <row r="1386">
          <cell r="B1386" t="str">
            <v>4.1.01.02.03</v>
          </cell>
          <cell r="C1386" t="str">
            <v>BBNKB-Mobil Penumpang-Minibus</v>
          </cell>
          <cell r="D1386">
            <v>0</v>
          </cell>
          <cell r="E1386">
            <v>0</v>
          </cell>
          <cell r="F1386">
            <v>0</v>
          </cell>
          <cell r="G1386">
            <v>0</v>
          </cell>
          <cell r="H1386">
            <v>0</v>
          </cell>
          <cell r="I1386">
            <v>0</v>
          </cell>
          <cell r="J1386">
            <v>0</v>
          </cell>
        </row>
        <row r="1387">
          <cell r="B1387" t="str">
            <v>4.1.01.02.04</v>
          </cell>
          <cell r="C1387" t="str">
            <v>BBNKB-Mobil Bus-Microbus</v>
          </cell>
          <cell r="D1387">
            <v>0</v>
          </cell>
          <cell r="E1387">
            <v>0</v>
          </cell>
          <cell r="F1387">
            <v>0</v>
          </cell>
          <cell r="G1387">
            <v>0</v>
          </cell>
          <cell r="H1387">
            <v>0</v>
          </cell>
          <cell r="I1387">
            <v>0</v>
          </cell>
          <cell r="J1387">
            <v>0</v>
          </cell>
        </row>
        <row r="1388">
          <cell r="B1388" t="str">
            <v>4.1.01.02.05</v>
          </cell>
          <cell r="C1388" t="str">
            <v>BBNKB-Mobil Bus-Bus</v>
          </cell>
          <cell r="D1388">
            <v>0</v>
          </cell>
          <cell r="E1388">
            <v>0</v>
          </cell>
          <cell r="F1388">
            <v>0</v>
          </cell>
          <cell r="G1388">
            <v>0</v>
          </cell>
          <cell r="H1388">
            <v>0</v>
          </cell>
          <cell r="I1388">
            <v>0</v>
          </cell>
          <cell r="J1388">
            <v>0</v>
          </cell>
        </row>
        <row r="1389">
          <cell r="B1389" t="str">
            <v>4.1.01.02.06</v>
          </cell>
          <cell r="C1389" t="str">
            <v>BBNKB-Mobil Barang/Beban-Pick Up</v>
          </cell>
          <cell r="D1389">
            <v>0</v>
          </cell>
          <cell r="E1389">
            <v>0</v>
          </cell>
          <cell r="F1389">
            <v>0</v>
          </cell>
          <cell r="G1389">
            <v>0</v>
          </cell>
          <cell r="H1389">
            <v>0</v>
          </cell>
          <cell r="I1389">
            <v>0</v>
          </cell>
          <cell r="J1389">
            <v>0</v>
          </cell>
        </row>
        <row r="1390">
          <cell r="B1390" t="str">
            <v>4.1.01.02.07</v>
          </cell>
          <cell r="C1390" t="str">
            <v>BBNKB-Mobil Barang/Beban-Light Truck</v>
          </cell>
          <cell r="D1390">
            <v>0</v>
          </cell>
          <cell r="E1390">
            <v>0</v>
          </cell>
          <cell r="F1390">
            <v>0</v>
          </cell>
          <cell r="G1390">
            <v>0</v>
          </cell>
          <cell r="H1390">
            <v>0</v>
          </cell>
          <cell r="I1390">
            <v>0</v>
          </cell>
          <cell r="J1390">
            <v>0</v>
          </cell>
        </row>
        <row r="1391">
          <cell r="B1391" t="str">
            <v>4.1.01.02.08</v>
          </cell>
          <cell r="C1391" t="str">
            <v>BBNKB-Mobil Barang/Beban-Truck</v>
          </cell>
          <cell r="D1391">
            <v>0</v>
          </cell>
          <cell r="E1391">
            <v>0</v>
          </cell>
          <cell r="F1391">
            <v>0</v>
          </cell>
          <cell r="G1391">
            <v>0</v>
          </cell>
          <cell r="H1391">
            <v>0</v>
          </cell>
          <cell r="I1391">
            <v>0</v>
          </cell>
          <cell r="J1391">
            <v>0</v>
          </cell>
        </row>
        <row r="1392">
          <cell r="B1392" t="str">
            <v>4.1.01.02.09</v>
          </cell>
          <cell r="C1392" t="str">
            <v>BBNKB-Mobil Barang/Beban-Blind Van</v>
          </cell>
          <cell r="D1392">
            <v>0</v>
          </cell>
          <cell r="E1392">
            <v>0</v>
          </cell>
          <cell r="F1392">
            <v>0</v>
          </cell>
          <cell r="G1392">
            <v>0</v>
          </cell>
          <cell r="H1392">
            <v>0</v>
          </cell>
          <cell r="I1392">
            <v>0</v>
          </cell>
          <cell r="J1392">
            <v>0</v>
          </cell>
        </row>
        <row r="1393">
          <cell r="B1393" t="str">
            <v>4.1.01.02.10</v>
          </cell>
          <cell r="C1393" t="str">
            <v>BBNKB-Sepeda Motor-Sepeda Motor Roda Dua</v>
          </cell>
          <cell r="D1393">
            <v>0</v>
          </cell>
          <cell r="E1393">
            <v>0</v>
          </cell>
          <cell r="F1393">
            <v>0</v>
          </cell>
          <cell r="G1393">
            <v>0</v>
          </cell>
          <cell r="H1393">
            <v>0</v>
          </cell>
          <cell r="I1393">
            <v>0</v>
          </cell>
          <cell r="J1393">
            <v>0</v>
          </cell>
        </row>
        <row r="1394">
          <cell r="B1394" t="str">
            <v>4.1.01.02.11</v>
          </cell>
          <cell r="C1394" t="str">
            <v>BBNKB-Sepeda Motor-Sepeda Motor Roda Tiga</v>
          </cell>
          <cell r="D1394">
            <v>0</v>
          </cell>
          <cell r="E1394">
            <v>0</v>
          </cell>
          <cell r="F1394">
            <v>0</v>
          </cell>
          <cell r="G1394">
            <v>0</v>
          </cell>
          <cell r="H1394">
            <v>0</v>
          </cell>
          <cell r="I1394">
            <v>0</v>
          </cell>
          <cell r="J1394">
            <v>0</v>
          </cell>
        </row>
        <row r="1395">
          <cell r="B1395" t="str">
            <v>4.1.01.02.12</v>
          </cell>
          <cell r="C1395" t="str">
            <v>BBNKB-Kendaraan Bermotor yang Dioperasikan di Air</v>
          </cell>
          <cell r="D1395">
            <v>0</v>
          </cell>
          <cell r="E1395">
            <v>0</v>
          </cell>
          <cell r="F1395">
            <v>0</v>
          </cell>
          <cell r="G1395">
            <v>0</v>
          </cell>
          <cell r="H1395">
            <v>0</v>
          </cell>
          <cell r="I1395">
            <v>0</v>
          </cell>
          <cell r="J1395">
            <v>0</v>
          </cell>
        </row>
        <row r="1396">
          <cell r="B1396" t="str">
            <v>4.1.01.02.13</v>
          </cell>
          <cell r="C1396" t="str">
            <v>BBNKB-Kendaraan Khusus Alat Berat</v>
          </cell>
          <cell r="D1396">
            <v>0</v>
          </cell>
          <cell r="E1396">
            <v>0</v>
          </cell>
          <cell r="F1396">
            <v>0</v>
          </cell>
          <cell r="G1396">
            <v>0</v>
          </cell>
          <cell r="H1396">
            <v>0</v>
          </cell>
          <cell r="I1396">
            <v>0</v>
          </cell>
          <cell r="J1396">
            <v>0</v>
          </cell>
        </row>
        <row r="1397">
          <cell r="B1397" t="str">
            <v>4.1.01.02.14</v>
          </cell>
          <cell r="C1397" t="str">
            <v>BBNKB-Mobil Roda Tiga</v>
          </cell>
          <cell r="D1397">
            <v>0</v>
          </cell>
          <cell r="E1397">
            <v>0</v>
          </cell>
          <cell r="F1397">
            <v>0</v>
          </cell>
          <cell r="G1397">
            <v>0</v>
          </cell>
          <cell r="H1397">
            <v>0</v>
          </cell>
          <cell r="I1397">
            <v>0</v>
          </cell>
          <cell r="J1397">
            <v>0</v>
          </cell>
        </row>
        <row r="1398">
          <cell r="B1398" t="str">
            <v>4.1.01.02.15</v>
          </cell>
          <cell r="C1398" t="str">
            <v>BBNKB-Mobil Penumpang-Roda Tiga</v>
          </cell>
          <cell r="D1398">
            <v>0</v>
          </cell>
          <cell r="E1398">
            <v>0</v>
          </cell>
          <cell r="F1398">
            <v>0</v>
          </cell>
          <cell r="G1398">
            <v>0</v>
          </cell>
          <cell r="H1398">
            <v>0</v>
          </cell>
          <cell r="I1398">
            <v>0</v>
          </cell>
          <cell r="J1398">
            <v>0</v>
          </cell>
        </row>
        <row r="1399">
          <cell r="B1399" t="str">
            <v>4.1.01.02.16</v>
          </cell>
          <cell r="C1399" t="str">
            <v>BBNKB-Mobil Barang-Roda Tiga</v>
          </cell>
          <cell r="D1399">
            <v>0</v>
          </cell>
          <cell r="E1399">
            <v>0</v>
          </cell>
          <cell r="F1399">
            <v>0</v>
          </cell>
          <cell r="G1399">
            <v>0</v>
          </cell>
          <cell r="H1399">
            <v>0</v>
          </cell>
          <cell r="I1399">
            <v>0</v>
          </cell>
          <cell r="J1399">
            <v>0</v>
          </cell>
        </row>
        <row r="1400">
          <cell r="B1400" t="str">
            <v>4.1.01.02.17</v>
          </cell>
          <cell r="C1400" t="str">
            <v>BBNKB-Mobil Barang/Beban-Pick Up Box</v>
          </cell>
          <cell r="D1400">
            <v>0</v>
          </cell>
          <cell r="E1400">
            <v>0</v>
          </cell>
          <cell r="F1400">
            <v>0</v>
          </cell>
          <cell r="G1400">
            <v>0</v>
          </cell>
          <cell r="H1400">
            <v>0</v>
          </cell>
          <cell r="I1400">
            <v>0</v>
          </cell>
          <cell r="J1400">
            <v>0</v>
          </cell>
        </row>
        <row r="1401">
          <cell r="B1401" t="str">
            <v>4.1.01.02.18</v>
          </cell>
          <cell r="C1401" t="str">
            <v>BBNKB-Sepeda Motor-Sepeda Motor Roda Tiga Penumpang</v>
          </cell>
          <cell r="D1401">
            <v>0</v>
          </cell>
          <cell r="E1401">
            <v>0</v>
          </cell>
          <cell r="F1401">
            <v>0</v>
          </cell>
          <cell r="G1401">
            <v>0</v>
          </cell>
          <cell r="H1401">
            <v>0</v>
          </cell>
          <cell r="I1401">
            <v>0</v>
          </cell>
          <cell r="J1401">
            <v>0</v>
          </cell>
        </row>
        <row r="1402">
          <cell r="B1402" t="str">
            <v>4.1.01.03</v>
          </cell>
          <cell r="C1402" t="str">
            <v>Pajak Bahan Bakar Kendaraan Bermotor (PBBKB)</v>
          </cell>
          <cell r="D1402">
            <v>0</v>
          </cell>
          <cell r="E1402">
            <v>0</v>
          </cell>
          <cell r="F1402"/>
          <cell r="G1402"/>
          <cell r="H1402"/>
          <cell r="I1402"/>
          <cell r="J1402">
            <v>0</v>
          </cell>
        </row>
        <row r="1403">
          <cell r="B1403" t="str">
            <v>4.1.01.03.01</v>
          </cell>
          <cell r="C1403" t="str">
            <v>PBBKB-Bahan Bakar Bensin</v>
          </cell>
          <cell r="D1403">
            <v>0</v>
          </cell>
          <cell r="E1403">
            <v>0</v>
          </cell>
          <cell r="F1403">
            <v>0</v>
          </cell>
          <cell r="G1403">
            <v>0</v>
          </cell>
          <cell r="H1403">
            <v>0</v>
          </cell>
          <cell r="I1403">
            <v>0</v>
          </cell>
          <cell r="J1403">
            <v>0</v>
          </cell>
        </row>
        <row r="1404">
          <cell r="B1404" t="str">
            <v>4.1.01.03.02</v>
          </cell>
          <cell r="C1404" t="str">
            <v>PBBKB-Bahan Bakar Solar</v>
          </cell>
          <cell r="D1404">
            <v>0</v>
          </cell>
          <cell r="E1404">
            <v>0</v>
          </cell>
          <cell r="F1404">
            <v>0</v>
          </cell>
          <cell r="G1404">
            <v>0</v>
          </cell>
          <cell r="H1404">
            <v>0</v>
          </cell>
          <cell r="I1404">
            <v>0</v>
          </cell>
          <cell r="J1404">
            <v>0</v>
          </cell>
        </row>
        <row r="1405">
          <cell r="B1405" t="str">
            <v>4.1.01.03.03</v>
          </cell>
          <cell r="C1405" t="str">
            <v>PBBKB-Bahan Bakar Gas</v>
          </cell>
          <cell r="D1405">
            <v>0</v>
          </cell>
          <cell r="E1405">
            <v>0</v>
          </cell>
          <cell r="F1405">
            <v>0</v>
          </cell>
          <cell r="G1405">
            <v>0</v>
          </cell>
          <cell r="H1405">
            <v>0</v>
          </cell>
          <cell r="I1405">
            <v>0</v>
          </cell>
          <cell r="J1405">
            <v>0</v>
          </cell>
        </row>
        <row r="1406">
          <cell r="B1406" t="str">
            <v>4.1.01.03.04</v>
          </cell>
          <cell r="C1406" t="str">
            <v>PBBKB-Bahan Bakar Lainnya</v>
          </cell>
          <cell r="D1406">
            <v>0</v>
          </cell>
          <cell r="E1406">
            <v>0</v>
          </cell>
          <cell r="F1406">
            <v>0</v>
          </cell>
          <cell r="G1406">
            <v>0</v>
          </cell>
          <cell r="H1406">
            <v>0</v>
          </cell>
          <cell r="I1406">
            <v>0</v>
          </cell>
          <cell r="J1406">
            <v>0</v>
          </cell>
        </row>
        <row r="1407">
          <cell r="B1407" t="str">
            <v>4.1.01.04</v>
          </cell>
          <cell r="C1407" t="str">
            <v>Pajak Air Permukaan</v>
          </cell>
          <cell r="D1407">
            <v>0</v>
          </cell>
          <cell r="E1407">
            <v>0</v>
          </cell>
          <cell r="F1407"/>
          <cell r="G1407"/>
          <cell r="H1407"/>
          <cell r="I1407"/>
          <cell r="J1407">
            <v>0</v>
          </cell>
        </row>
        <row r="1408">
          <cell r="B1408" t="str">
            <v>4.1.01.04.01</v>
          </cell>
          <cell r="C1408" t="str">
            <v>Pajak Air Permukaan</v>
          </cell>
          <cell r="D1408">
            <v>0</v>
          </cell>
          <cell r="E1408">
            <v>0</v>
          </cell>
          <cell r="F1408">
            <v>0</v>
          </cell>
          <cell r="G1408">
            <v>0</v>
          </cell>
          <cell r="H1408">
            <v>0</v>
          </cell>
          <cell r="I1408">
            <v>0</v>
          </cell>
          <cell r="J1408">
            <v>0</v>
          </cell>
        </row>
        <row r="1409">
          <cell r="B1409" t="str">
            <v>4.1.01.05</v>
          </cell>
          <cell r="C1409" t="str">
            <v>Pajak Rokok</v>
          </cell>
          <cell r="D1409">
            <v>0</v>
          </cell>
          <cell r="E1409">
            <v>0</v>
          </cell>
          <cell r="F1409"/>
          <cell r="G1409"/>
          <cell r="H1409"/>
          <cell r="I1409"/>
          <cell r="J1409">
            <v>0</v>
          </cell>
        </row>
        <row r="1410">
          <cell r="B1410" t="str">
            <v>4.1.01.05.01</v>
          </cell>
          <cell r="C1410" t="str">
            <v>Pajak Rokok</v>
          </cell>
          <cell r="D1410">
            <v>0</v>
          </cell>
          <cell r="E1410">
            <v>0</v>
          </cell>
          <cell r="F1410">
            <v>0</v>
          </cell>
          <cell r="G1410">
            <v>0</v>
          </cell>
          <cell r="H1410">
            <v>0</v>
          </cell>
          <cell r="I1410">
            <v>0</v>
          </cell>
          <cell r="J1410">
            <v>0</v>
          </cell>
        </row>
        <row r="1411">
          <cell r="B1411" t="str">
            <v>4.1.01.06</v>
          </cell>
          <cell r="C1411" t="str">
            <v>Pajak Hotel</v>
          </cell>
          <cell r="D1411">
            <v>2186549258</v>
          </cell>
          <cell r="E1411">
            <v>0</v>
          </cell>
          <cell r="F1411"/>
          <cell r="G1411"/>
          <cell r="H1411"/>
          <cell r="I1411"/>
          <cell r="J1411">
            <v>0</v>
          </cell>
        </row>
        <row r="1412">
          <cell r="B1412" t="str">
            <v>4.1.01.06.01</v>
          </cell>
          <cell r="C1412" t="str">
            <v>Pajak Hotel</v>
          </cell>
          <cell r="D1412">
            <v>2186549258</v>
          </cell>
          <cell r="E1412">
            <v>0</v>
          </cell>
          <cell r="F1412">
            <v>0</v>
          </cell>
          <cell r="G1412">
            <v>0</v>
          </cell>
          <cell r="H1412">
            <v>0</v>
          </cell>
          <cell r="I1412">
            <v>0</v>
          </cell>
          <cell r="J1412">
            <v>0</v>
          </cell>
        </row>
        <row r="1413">
          <cell r="B1413" t="str">
            <v>4.1.01.06.02</v>
          </cell>
          <cell r="C1413" t="str">
            <v>Pajak Motel</v>
          </cell>
          <cell r="D1413">
            <v>0</v>
          </cell>
          <cell r="E1413">
            <v>0</v>
          </cell>
          <cell r="F1413">
            <v>0</v>
          </cell>
          <cell r="G1413">
            <v>0</v>
          </cell>
          <cell r="H1413">
            <v>0</v>
          </cell>
          <cell r="I1413">
            <v>0</v>
          </cell>
          <cell r="J1413">
            <v>0</v>
          </cell>
        </row>
        <row r="1414">
          <cell r="B1414" t="str">
            <v>4.1.01.06.03</v>
          </cell>
          <cell r="C1414" t="str">
            <v>Pajak Losmen</v>
          </cell>
          <cell r="D1414">
            <v>0</v>
          </cell>
          <cell r="E1414">
            <v>0</v>
          </cell>
          <cell r="F1414">
            <v>0</v>
          </cell>
          <cell r="G1414">
            <v>0</v>
          </cell>
          <cell r="H1414">
            <v>0</v>
          </cell>
          <cell r="I1414">
            <v>0</v>
          </cell>
          <cell r="J1414">
            <v>0</v>
          </cell>
        </row>
        <row r="1415">
          <cell r="B1415" t="str">
            <v>4.1.01.06.04</v>
          </cell>
          <cell r="C1415" t="str">
            <v>Pajak Gubuk Pariwisata</v>
          </cell>
          <cell r="D1415">
            <v>0</v>
          </cell>
          <cell r="E1415">
            <v>0</v>
          </cell>
          <cell r="F1415">
            <v>0</v>
          </cell>
          <cell r="G1415">
            <v>0</v>
          </cell>
          <cell r="H1415">
            <v>0</v>
          </cell>
          <cell r="I1415">
            <v>0</v>
          </cell>
          <cell r="J1415">
            <v>0</v>
          </cell>
        </row>
        <row r="1416">
          <cell r="B1416" t="str">
            <v>4.1.01.06.05</v>
          </cell>
          <cell r="C1416" t="str">
            <v>Pajak Wisma Pariwisata</v>
          </cell>
          <cell r="D1416">
            <v>0</v>
          </cell>
          <cell r="E1416">
            <v>0</v>
          </cell>
          <cell r="F1416">
            <v>0</v>
          </cell>
          <cell r="G1416">
            <v>0</v>
          </cell>
          <cell r="H1416">
            <v>0</v>
          </cell>
          <cell r="I1416">
            <v>0</v>
          </cell>
          <cell r="J1416">
            <v>0</v>
          </cell>
        </row>
        <row r="1417">
          <cell r="B1417" t="str">
            <v>4.1.01.06.06</v>
          </cell>
          <cell r="C1417" t="str">
            <v>Pajak Pesanggrahan</v>
          </cell>
          <cell r="D1417">
            <v>0</v>
          </cell>
          <cell r="E1417">
            <v>0</v>
          </cell>
          <cell r="F1417">
            <v>0</v>
          </cell>
          <cell r="G1417">
            <v>0</v>
          </cell>
          <cell r="H1417">
            <v>0</v>
          </cell>
          <cell r="I1417">
            <v>0</v>
          </cell>
          <cell r="J1417">
            <v>0</v>
          </cell>
        </row>
        <row r="1418">
          <cell r="B1418" t="str">
            <v>4.1.01.06.07</v>
          </cell>
          <cell r="C1418" t="str">
            <v>Pajak Rumah Penginapan dan Sejenisnya</v>
          </cell>
          <cell r="D1418">
            <v>0</v>
          </cell>
          <cell r="E1418">
            <v>0</v>
          </cell>
          <cell r="F1418">
            <v>0</v>
          </cell>
          <cell r="G1418">
            <v>0</v>
          </cell>
          <cell r="H1418">
            <v>0</v>
          </cell>
          <cell r="I1418">
            <v>0</v>
          </cell>
          <cell r="J1418">
            <v>0</v>
          </cell>
        </row>
        <row r="1419">
          <cell r="B1419" t="str">
            <v>4.1.01.06.08</v>
          </cell>
          <cell r="C1419" t="str">
            <v>Pajak Rumah Kos dengan Jumlah Kamar Lebih dari 10 (Sepuluh)</v>
          </cell>
          <cell r="D1419">
            <v>0</v>
          </cell>
          <cell r="E1419">
            <v>0</v>
          </cell>
          <cell r="F1419">
            <v>0</v>
          </cell>
          <cell r="G1419">
            <v>0</v>
          </cell>
          <cell r="H1419">
            <v>0</v>
          </cell>
          <cell r="I1419">
            <v>0</v>
          </cell>
          <cell r="J1419">
            <v>0</v>
          </cell>
        </row>
        <row r="1420">
          <cell r="B1420" t="str">
            <v>4.1.01.07</v>
          </cell>
          <cell r="C1420" t="str">
            <v>Pajak Restoran</v>
          </cell>
          <cell r="D1420">
            <v>45669116244</v>
          </cell>
          <cell r="E1420">
            <v>0</v>
          </cell>
          <cell r="F1420"/>
          <cell r="G1420"/>
          <cell r="H1420"/>
          <cell r="I1420"/>
          <cell r="J1420">
            <v>0</v>
          </cell>
        </row>
        <row r="1421">
          <cell r="B1421" t="str">
            <v>4.1.01.07.01</v>
          </cell>
          <cell r="C1421" t="str">
            <v>Pajak Restoran dan Sejenisnya</v>
          </cell>
          <cell r="D1421">
            <v>45669116244</v>
          </cell>
          <cell r="E1421">
            <v>0</v>
          </cell>
          <cell r="F1421">
            <v>0</v>
          </cell>
          <cell r="G1421">
            <v>0</v>
          </cell>
          <cell r="H1421">
            <v>0</v>
          </cell>
          <cell r="I1421">
            <v>0</v>
          </cell>
          <cell r="J1421">
            <v>0</v>
          </cell>
        </row>
        <row r="1422">
          <cell r="B1422" t="str">
            <v>4.1.01.07.02</v>
          </cell>
          <cell r="C1422" t="str">
            <v>Pajak Rumah Makan dan Sejenisnya</v>
          </cell>
          <cell r="D1422">
            <v>0</v>
          </cell>
          <cell r="E1422">
            <v>0</v>
          </cell>
          <cell r="F1422">
            <v>0</v>
          </cell>
          <cell r="G1422">
            <v>0</v>
          </cell>
          <cell r="H1422">
            <v>0</v>
          </cell>
          <cell r="I1422">
            <v>0</v>
          </cell>
          <cell r="J1422">
            <v>0</v>
          </cell>
        </row>
        <row r="1423">
          <cell r="B1423" t="str">
            <v>4.1.01.07.03</v>
          </cell>
          <cell r="C1423" t="str">
            <v>Pajak Kafetaria dan Sejenisnya</v>
          </cell>
          <cell r="D1423">
            <v>0</v>
          </cell>
          <cell r="E1423">
            <v>0</v>
          </cell>
          <cell r="F1423">
            <v>0</v>
          </cell>
          <cell r="G1423">
            <v>0</v>
          </cell>
          <cell r="H1423">
            <v>0</v>
          </cell>
          <cell r="I1423">
            <v>0</v>
          </cell>
          <cell r="J1423">
            <v>0</v>
          </cell>
        </row>
        <row r="1424">
          <cell r="B1424" t="str">
            <v>4.1.01.07.04</v>
          </cell>
          <cell r="C1424" t="str">
            <v>Pajak Kantin dan Sejenisnya</v>
          </cell>
          <cell r="D1424">
            <v>0</v>
          </cell>
          <cell r="E1424">
            <v>0</v>
          </cell>
          <cell r="F1424">
            <v>0</v>
          </cell>
          <cell r="G1424">
            <v>0</v>
          </cell>
          <cell r="H1424">
            <v>0</v>
          </cell>
          <cell r="I1424">
            <v>0</v>
          </cell>
          <cell r="J1424">
            <v>0</v>
          </cell>
        </row>
        <row r="1425">
          <cell r="B1425" t="str">
            <v>4.1.01.07.05</v>
          </cell>
          <cell r="C1425" t="str">
            <v>Pajak Warung dan Sejenisnya</v>
          </cell>
          <cell r="D1425">
            <v>0</v>
          </cell>
          <cell r="E1425">
            <v>0</v>
          </cell>
          <cell r="F1425">
            <v>0</v>
          </cell>
          <cell r="G1425">
            <v>0</v>
          </cell>
          <cell r="H1425">
            <v>0</v>
          </cell>
          <cell r="I1425">
            <v>0</v>
          </cell>
          <cell r="J1425">
            <v>0</v>
          </cell>
        </row>
        <row r="1426">
          <cell r="B1426" t="str">
            <v>4.1.01.07.06</v>
          </cell>
          <cell r="C1426" t="str">
            <v>Pajak Bar dan Sejenisnya</v>
          </cell>
          <cell r="D1426">
            <v>0</v>
          </cell>
          <cell r="E1426">
            <v>0</v>
          </cell>
          <cell r="F1426">
            <v>0</v>
          </cell>
          <cell r="G1426">
            <v>0</v>
          </cell>
          <cell r="H1426">
            <v>0</v>
          </cell>
          <cell r="I1426">
            <v>0</v>
          </cell>
          <cell r="J1426">
            <v>0</v>
          </cell>
        </row>
        <row r="1427">
          <cell r="B1427" t="str">
            <v>4.1.01.07.07</v>
          </cell>
          <cell r="C1427" t="str">
            <v>Pajak Jasa Boga/Katering dan Sejenisnya</v>
          </cell>
          <cell r="D1427">
            <v>0</v>
          </cell>
          <cell r="E1427">
            <v>0</v>
          </cell>
          <cell r="F1427">
            <v>0</v>
          </cell>
          <cell r="G1427">
            <v>0</v>
          </cell>
          <cell r="H1427">
            <v>0</v>
          </cell>
          <cell r="I1427">
            <v>0</v>
          </cell>
          <cell r="J1427">
            <v>0</v>
          </cell>
        </row>
        <row r="1428">
          <cell r="B1428" t="str">
            <v>4.1.01.08</v>
          </cell>
          <cell r="C1428" t="str">
            <v>Pajak Hiburan</v>
          </cell>
          <cell r="D1428">
            <v>13907500</v>
          </cell>
          <cell r="E1428">
            <v>0</v>
          </cell>
          <cell r="F1428"/>
          <cell r="G1428"/>
          <cell r="H1428"/>
          <cell r="I1428"/>
          <cell r="J1428">
            <v>0</v>
          </cell>
        </row>
        <row r="1429">
          <cell r="B1429" t="str">
            <v>4.1.01.08.01</v>
          </cell>
          <cell r="C1429" t="str">
            <v>Pajak Tontonan Film</v>
          </cell>
          <cell r="D1429">
            <v>0</v>
          </cell>
          <cell r="E1429">
            <v>0</v>
          </cell>
          <cell r="F1429">
            <v>0</v>
          </cell>
          <cell r="G1429">
            <v>0</v>
          </cell>
          <cell r="H1429">
            <v>0</v>
          </cell>
          <cell r="I1429">
            <v>0</v>
          </cell>
          <cell r="J1429">
            <v>0</v>
          </cell>
        </row>
        <row r="1430">
          <cell r="B1430" t="str">
            <v>4.1.01.08.02</v>
          </cell>
          <cell r="C1430" t="str">
            <v>Pajak Pagelaran Kesenian/Musik/Tari/Busana</v>
          </cell>
          <cell r="D1430">
            <v>0</v>
          </cell>
          <cell r="E1430">
            <v>0</v>
          </cell>
          <cell r="F1430">
            <v>0</v>
          </cell>
          <cell r="G1430">
            <v>0</v>
          </cell>
          <cell r="H1430">
            <v>0</v>
          </cell>
          <cell r="I1430">
            <v>0</v>
          </cell>
          <cell r="J1430">
            <v>0</v>
          </cell>
        </row>
        <row r="1431">
          <cell r="B1431" t="str">
            <v>4.1.01.08.03</v>
          </cell>
          <cell r="C1431" t="str">
            <v>Pajak Kontes Kecantikan, Binaraga, dan Sejenisnya</v>
          </cell>
          <cell r="D1431">
            <v>0</v>
          </cell>
          <cell r="E1431">
            <v>0</v>
          </cell>
          <cell r="F1431">
            <v>0</v>
          </cell>
          <cell r="G1431">
            <v>0</v>
          </cell>
          <cell r="H1431">
            <v>0</v>
          </cell>
          <cell r="I1431">
            <v>0</v>
          </cell>
          <cell r="J1431">
            <v>0</v>
          </cell>
        </row>
        <row r="1432">
          <cell r="B1432" t="str">
            <v>4.1.01.08.04</v>
          </cell>
          <cell r="C1432" t="str">
            <v>Pajak Pameran</v>
          </cell>
          <cell r="D1432">
            <v>0</v>
          </cell>
          <cell r="E1432">
            <v>0</v>
          </cell>
          <cell r="F1432">
            <v>0</v>
          </cell>
          <cell r="G1432">
            <v>0</v>
          </cell>
          <cell r="H1432">
            <v>0</v>
          </cell>
          <cell r="I1432">
            <v>0</v>
          </cell>
          <cell r="J1432">
            <v>0</v>
          </cell>
        </row>
        <row r="1433">
          <cell r="B1433" t="str">
            <v>4.1.01.08.05</v>
          </cell>
          <cell r="C1433" t="str">
            <v>Pajak Diskotik, Karaoke, Klub Malam, dan Sejenisnya</v>
          </cell>
          <cell r="D1433">
            <v>13907500</v>
          </cell>
          <cell r="E1433">
            <v>0</v>
          </cell>
          <cell r="F1433">
            <v>0</v>
          </cell>
          <cell r="G1433">
            <v>0</v>
          </cell>
          <cell r="H1433">
            <v>0</v>
          </cell>
          <cell r="I1433">
            <v>0</v>
          </cell>
          <cell r="J1433">
            <v>0</v>
          </cell>
        </row>
        <row r="1434">
          <cell r="B1434" t="str">
            <v>4.1.01.08.06</v>
          </cell>
          <cell r="C1434" t="str">
            <v>Pajak Sirkus/Akrobat/Sulap</v>
          </cell>
          <cell r="D1434">
            <v>0</v>
          </cell>
          <cell r="E1434">
            <v>0</v>
          </cell>
          <cell r="F1434">
            <v>0</v>
          </cell>
          <cell r="G1434">
            <v>0</v>
          </cell>
          <cell r="H1434">
            <v>0</v>
          </cell>
          <cell r="I1434">
            <v>0</v>
          </cell>
          <cell r="J1434">
            <v>0</v>
          </cell>
        </row>
        <row r="1435">
          <cell r="B1435" t="str">
            <v>4.1.01.08.07</v>
          </cell>
          <cell r="C1435" t="str">
            <v>Pajak Permainan Biliar dan Bowling</v>
          </cell>
          <cell r="D1435">
            <v>0</v>
          </cell>
          <cell r="E1435">
            <v>0</v>
          </cell>
          <cell r="F1435">
            <v>0</v>
          </cell>
          <cell r="G1435">
            <v>0</v>
          </cell>
          <cell r="H1435">
            <v>0</v>
          </cell>
          <cell r="I1435">
            <v>0</v>
          </cell>
          <cell r="J1435">
            <v>0</v>
          </cell>
        </row>
        <row r="1436">
          <cell r="B1436" t="str">
            <v>4.1.01.08.08</v>
          </cell>
          <cell r="C1436" t="str">
            <v>Pajak Pacuan Kuda, Kendaraan Bermotor, dan Permainan Ketangkasan</v>
          </cell>
          <cell r="D1436">
            <v>0</v>
          </cell>
          <cell r="E1436">
            <v>0</v>
          </cell>
          <cell r="F1436">
            <v>0</v>
          </cell>
          <cell r="G1436">
            <v>0</v>
          </cell>
          <cell r="H1436">
            <v>0</v>
          </cell>
          <cell r="I1436">
            <v>0</v>
          </cell>
          <cell r="J1436">
            <v>0</v>
          </cell>
        </row>
        <row r="1437">
          <cell r="B1437" t="str">
            <v>4.1.01.08.09</v>
          </cell>
          <cell r="C1437" t="str">
            <v>Pajak Panti Pijat, Refleksi, Mandi Uap/Spa dan Pusat Kebugaran (Fitness Center)</v>
          </cell>
          <cell r="D1437">
            <v>0</v>
          </cell>
          <cell r="E1437">
            <v>0</v>
          </cell>
          <cell r="F1437">
            <v>0</v>
          </cell>
          <cell r="G1437">
            <v>0</v>
          </cell>
          <cell r="H1437">
            <v>0</v>
          </cell>
          <cell r="I1437">
            <v>0</v>
          </cell>
          <cell r="J1437">
            <v>0</v>
          </cell>
        </row>
        <row r="1438">
          <cell r="B1438" t="str">
            <v>4.1.01.08.10</v>
          </cell>
          <cell r="C1438" t="str">
            <v>Pajak Pertandingan Olahraga</v>
          </cell>
          <cell r="D1438">
            <v>0</v>
          </cell>
          <cell r="E1438">
            <v>0</v>
          </cell>
          <cell r="F1438">
            <v>0</v>
          </cell>
          <cell r="G1438">
            <v>0</v>
          </cell>
          <cell r="H1438">
            <v>0</v>
          </cell>
          <cell r="I1438">
            <v>0</v>
          </cell>
          <cell r="J1438">
            <v>0</v>
          </cell>
        </row>
        <row r="1439">
          <cell r="B1439" t="str">
            <v>4.1.01.09</v>
          </cell>
          <cell r="C1439" t="str">
            <v>Pajak Reklame</v>
          </cell>
          <cell r="D1439">
            <v>791792500</v>
          </cell>
          <cell r="E1439">
            <v>749774860</v>
          </cell>
          <cell r="F1439"/>
          <cell r="G1439"/>
          <cell r="H1439"/>
          <cell r="I1439"/>
          <cell r="J1439">
            <v>749774860</v>
          </cell>
        </row>
        <row r="1440">
          <cell r="B1440" t="str">
            <v>4.1.01.09.01</v>
          </cell>
          <cell r="C1440" t="str">
            <v>Pajak Reklame Papan/Billboard/Videotron/Megatron</v>
          </cell>
          <cell r="D1440">
            <v>791792500</v>
          </cell>
          <cell r="E1440">
            <v>749774860</v>
          </cell>
          <cell r="F1440">
            <v>0</v>
          </cell>
          <cell r="G1440">
            <v>0</v>
          </cell>
          <cell r="H1440">
            <v>0</v>
          </cell>
          <cell r="I1440">
            <v>0</v>
          </cell>
          <cell r="J1440">
            <v>749774860</v>
          </cell>
        </row>
        <row r="1441">
          <cell r="B1441" t="str">
            <v>4.1.01.09.02</v>
          </cell>
          <cell r="C1441" t="str">
            <v>Pajak Reklame Kain</v>
          </cell>
          <cell r="D1441">
            <v>0</v>
          </cell>
          <cell r="E1441">
            <v>0</v>
          </cell>
          <cell r="F1441">
            <v>0</v>
          </cell>
          <cell r="G1441">
            <v>0</v>
          </cell>
          <cell r="H1441">
            <v>0</v>
          </cell>
          <cell r="I1441">
            <v>0</v>
          </cell>
          <cell r="J1441">
            <v>0</v>
          </cell>
        </row>
        <row r="1442">
          <cell r="B1442" t="str">
            <v>4.1.01.09.03</v>
          </cell>
          <cell r="C1442" t="str">
            <v>Pajak Reklame Melekat/Stiker</v>
          </cell>
          <cell r="D1442">
            <v>0</v>
          </cell>
          <cell r="E1442">
            <v>0</v>
          </cell>
          <cell r="F1442">
            <v>0</v>
          </cell>
          <cell r="G1442">
            <v>0</v>
          </cell>
          <cell r="H1442">
            <v>0</v>
          </cell>
          <cell r="I1442">
            <v>0</v>
          </cell>
          <cell r="J1442">
            <v>0</v>
          </cell>
        </row>
        <row r="1443">
          <cell r="B1443" t="str">
            <v>4.1.01.09.04</v>
          </cell>
          <cell r="C1443" t="str">
            <v>Pajak Reklame Selebaran</v>
          </cell>
          <cell r="D1443">
            <v>0</v>
          </cell>
          <cell r="E1443">
            <v>0</v>
          </cell>
          <cell r="F1443">
            <v>0</v>
          </cell>
          <cell r="G1443">
            <v>0</v>
          </cell>
          <cell r="H1443">
            <v>0</v>
          </cell>
          <cell r="I1443">
            <v>0</v>
          </cell>
          <cell r="J1443">
            <v>0</v>
          </cell>
        </row>
        <row r="1444">
          <cell r="B1444" t="str">
            <v>4.1.01.09.05</v>
          </cell>
          <cell r="C1444" t="str">
            <v>Pajak Reklame Berjalan</v>
          </cell>
          <cell r="D1444">
            <v>0</v>
          </cell>
          <cell r="E1444">
            <v>0</v>
          </cell>
          <cell r="F1444">
            <v>0</v>
          </cell>
          <cell r="G1444">
            <v>0</v>
          </cell>
          <cell r="H1444">
            <v>0</v>
          </cell>
          <cell r="I1444">
            <v>0</v>
          </cell>
          <cell r="J1444">
            <v>0</v>
          </cell>
        </row>
        <row r="1445">
          <cell r="B1445" t="str">
            <v>4.1.01.09.06</v>
          </cell>
          <cell r="C1445" t="str">
            <v>Pajak Reklame Udara</v>
          </cell>
          <cell r="D1445">
            <v>0</v>
          </cell>
          <cell r="E1445">
            <v>0</v>
          </cell>
          <cell r="F1445">
            <v>0</v>
          </cell>
          <cell r="G1445">
            <v>0</v>
          </cell>
          <cell r="H1445">
            <v>0</v>
          </cell>
          <cell r="I1445">
            <v>0</v>
          </cell>
          <cell r="J1445">
            <v>0</v>
          </cell>
        </row>
        <row r="1446">
          <cell r="B1446" t="str">
            <v>4.1.01.09.07</v>
          </cell>
          <cell r="C1446" t="str">
            <v>Pajak Reklame Apung</v>
          </cell>
          <cell r="D1446">
            <v>0</v>
          </cell>
          <cell r="E1446">
            <v>0</v>
          </cell>
          <cell r="F1446">
            <v>0</v>
          </cell>
          <cell r="G1446">
            <v>0</v>
          </cell>
          <cell r="H1446">
            <v>0</v>
          </cell>
          <cell r="I1446">
            <v>0</v>
          </cell>
          <cell r="J1446">
            <v>0</v>
          </cell>
        </row>
        <row r="1447">
          <cell r="B1447" t="str">
            <v>4.1.01.09.08</v>
          </cell>
          <cell r="C1447" t="str">
            <v>Pajak Reklame Suara</v>
          </cell>
          <cell r="D1447">
            <v>0</v>
          </cell>
          <cell r="E1447">
            <v>0</v>
          </cell>
          <cell r="F1447">
            <v>0</v>
          </cell>
          <cell r="G1447">
            <v>0</v>
          </cell>
          <cell r="H1447">
            <v>0</v>
          </cell>
          <cell r="I1447">
            <v>0</v>
          </cell>
          <cell r="J1447">
            <v>0</v>
          </cell>
        </row>
        <row r="1448">
          <cell r="B1448" t="str">
            <v>4.1.01.09.09</v>
          </cell>
          <cell r="C1448" t="str">
            <v>Pajak Reklame Film/Slide</v>
          </cell>
          <cell r="D1448">
            <v>0</v>
          </cell>
          <cell r="E1448">
            <v>0</v>
          </cell>
          <cell r="F1448">
            <v>0</v>
          </cell>
          <cell r="G1448">
            <v>0</v>
          </cell>
          <cell r="H1448">
            <v>0</v>
          </cell>
          <cell r="I1448">
            <v>0</v>
          </cell>
          <cell r="J1448">
            <v>0</v>
          </cell>
        </row>
        <row r="1449">
          <cell r="B1449" t="str">
            <v>4.1.01.09.10</v>
          </cell>
          <cell r="C1449" t="str">
            <v>Pajak Reklame Peragaan</v>
          </cell>
          <cell r="D1449">
            <v>0</v>
          </cell>
          <cell r="E1449">
            <v>0</v>
          </cell>
          <cell r="F1449">
            <v>0</v>
          </cell>
          <cell r="G1449">
            <v>0</v>
          </cell>
          <cell r="H1449">
            <v>0</v>
          </cell>
          <cell r="I1449">
            <v>0</v>
          </cell>
          <cell r="J1449">
            <v>0</v>
          </cell>
        </row>
        <row r="1450">
          <cell r="B1450" t="str">
            <v>4.1.01.10</v>
          </cell>
          <cell r="C1450" t="str">
            <v>Pajak Penerangan Jalan</v>
          </cell>
          <cell r="D1450">
            <v>21791793995</v>
          </cell>
          <cell r="E1450">
            <v>0</v>
          </cell>
          <cell r="F1450"/>
          <cell r="G1450"/>
          <cell r="H1450"/>
          <cell r="I1450"/>
          <cell r="J1450">
            <v>0</v>
          </cell>
        </row>
        <row r="1451">
          <cell r="B1451" t="str">
            <v>4.1.01.10.01</v>
          </cell>
          <cell r="C1451" t="str">
            <v>Pajak Penerangan Jalan Dihasilkan Sendiri</v>
          </cell>
          <cell r="D1451">
            <v>21791793995</v>
          </cell>
          <cell r="E1451">
            <v>0</v>
          </cell>
          <cell r="F1451">
            <v>0</v>
          </cell>
          <cell r="G1451">
            <v>0</v>
          </cell>
          <cell r="H1451">
            <v>0</v>
          </cell>
          <cell r="I1451">
            <v>0</v>
          </cell>
          <cell r="J1451">
            <v>0</v>
          </cell>
        </row>
        <row r="1452">
          <cell r="B1452" t="str">
            <v>4.1.01.10.02</v>
          </cell>
          <cell r="C1452" t="str">
            <v>Pajak Penerangan Jalan Sumber Lain</v>
          </cell>
          <cell r="D1452">
            <v>0</v>
          </cell>
          <cell r="E1452">
            <v>0</v>
          </cell>
          <cell r="F1452">
            <v>0</v>
          </cell>
          <cell r="G1452">
            <v>0</v>
          </cell>
          <cell r="H1452">
            <v>0</v>
          </cell>
          <cell r="I1452">
            <v>0</v>
          </cell>
          <cell r="J1452">
            <v>0</v>
          </cell>
        </row>
        <row r="1453">
          <cell r="B1453" t="str">
            <v>4.1.01.11</v>
          </cell>
          <cell r="C1453" t="str">
            <v>Pajak Parkir</v>
          </cell>
          <cell r="D1453">
            <v>208394050</v>
          </cell>
          <cell r="E1453">
            <v>193292280</v>
          </cell>
          <cell r="F1453"/>
          <cell r="G1453"/>
          <cell r="H1453"/>
          <cell r="I1453"/>
          <cell r="J1453">
            <v>193292280</v>
          </cell>
        </row>
        <row r="1454">
          <cell r="B1454" t="str">
            <v>4.1.01.11.01</v>
          </cell>
          <cell r="C1454" t="str">
            <v>Pajak Parkir</v>
          </cell>
          <cell r="D1454">
            <v>208394050</v>
          </cell>
          <cell r="E1454">
            <v>193292280</v>
          </cell>
          <cell r="F1454">
            <v>0</v>
          </cell>
          <cell r="G1454">
            <v>0</v>
          </cell>
          <cell r="H1454">
            <v>0</v>
          </cell>
          <cell r="I1454">
            <v>0</v>
          </cell>
          <cell r="J1454">
            <v>193292280</v>
          </cell>
        </row>
        <row r="1455">
          <cell r="B1455" t="str">
            <v>4.1.01.12</v>
          </cell>
          <cell r="C1455" t="str">
            <v>Pajak Air Tanah</v>
          </cell>
          <cell r="D1455">
            <v>4137954621</v>
          </cell>
          <cell r="E1455">
            <v>7452498347</v>
          </cell>
          <cell r="F1455"/>
          <cell r="G1455"/>
          <cell r="H1455"/>
          <cell r="I1455"/>
          <cell r="J1455">
            <v>7452498347</v>
          </cell>
        </row>
        <row r="1456">
          <cell r="B1456" t="str">
            <v>4.1.01.12.01</v>
          </cell>
          <cell r="C1456" t="str">
            <v>Pajak Air Tanah</v>
          </cell>
          <cell r="D1456">
            <v>4137954621</v>
          </cell>
          <cell r="E1456">
            <v>7452498347</v>
          </cell>
          <cell r="F1456">
            <v>0</v>
          </cell>
          <cell r="G1456">
            <v>0</v>
          </cell>
          <cell r="H1456">
            <v>0</v>
          </cell>
          <cell r="I1456">
            <v>0</v>
          </cell>
          <cell r="J1456">
            <v>7452498347</v>
          </cell>
        </row>
        <row r="1457">
          <cell r="B1457" t="str">
            <v>4.1.01.13</v>
          </cell>
          <cell r="C1457" t="str">
            <v>Pajak Sarang Burung Walet</v>
          </cell>
          <cell r="D1457">
            <v>0</v>
          </cell>
          <cell r="E1457">
            <v>10485000</v>
          </cell>
          <cell r="F1457"/>
          <cell r="G1457"/>
          <cell r="H1457"/>
          <cell r="I1457"/>
          <cell r="J1457">
            <v>10485000</v>
          </cell>
        </row>
        <row r="1458">
          <cell r="B1458" t="str">
            <v>4.1.01.13.01</v>
          </cell>
          <cell r="C1458" t="str">
            <v>Pajak Sarang Burung Walet</v>
          </cell>
          <cell r="D1458">
            <v>0</v>
          </cell>
          <cell r="E1458">
            <v>10485000</v>
          </cell>
          <cell r="F1458">
            <v>0</v>
          </cell>
          <cell r="G1458">
            <v>0</v>
          </cell>
          <cell r="H1458">
            <v>0</v>
          </cell>
          <cell r="I1458">
            <v>0</v>
          </cell>
          <cell r="J1458">
            <v>10485000</v>
          </cell>
        </row>
        <row r="1459">
          <cell r="B1459" t="str">
            <v>4.1.01.14</v>
          </cell>
          <cell r="C1459" t="str">
            <v>Pajak Mineral Bukan Logam dan Batuan</v>
          </cell>
          <cell r="D1459">
            <v>14678356143</v>
          </cell>
          <cell r="E1459">
            <v>9792256290</v>
          </cell>
          <cell r="F1459"/>
          <cell r="G1459"/>
          <cell r="H1459"/>
          <cell r="I1459"/>
          <cell r="J1459">
            <v>9792256290</v>
          </cell>
        </row>
        <row r="1460">
          <cell r="B1460" t="str">
            <v>4.1.01.14.01</v>
          </cell>
          <cell r="C1460" t="str">
            <v>Pajak Asbes</v>
          </cell>
          <cell r="D1460">
            <v>0</v>
          </cell>
          <cell r="E1460">
            <v>0</v>
          </cell>
          <cell r="F1460">
            <v>0</v>
          </cell>
          <cell r="G1460">
            <v>0</v>
          </cell>
          <cell r="H1460">
            <v>0</v>
          </cell>
          <cell r="I1460">
            <v>0</v>
          </cell>
          <cell r="J1460">
            <v>0</v>
          </cell>
        </row>
        <row r="1461">
          <cell r="B1461" t="str">
            <v>4.1.01.14.02</v>
          </cell>
          <cell r="C1461" t="str">
            <v>Pajak Batu Tulis</v>
          </cell>
          <cell r="D1461">
            <v>0</v>
          </cell>
          <cell r="E1461">
            <v>0</v>
          </cell>
          <cell r="F1461">
            <v>0</v>
          </cell>
          <cell r="G1461">
            <v>0</v>
          </cell>
          <cell r="H1461">
            <v>0</v>
          </cell>
          <cell r="I1461">
            <v>0</v>
          </cell>
          <cell r="J1461">
            <v>0</v>
          </cell>
        </row>
        <row r="1462">
          <cell r="B1462" t="str">
            <v>4.1.01.14.03</v>
          </cell>
          <cell r="C1462" t="str">
            <v>Pajak Batu Setengah Permata</v>
          </cell>
          <cell r="D1462">
            <v>0</v>
          </cell>
          <cell r="E1462">
            <v>0</v>
          </cell>
          <cell r="F1462">
            <v>0</v>
          </cell>
          <cell r="G1462">
            <v>0</v>
          </cell>
          <cell r="H1462">
            <v>0</v>
          </cell>
          <cell r="I1462">
            <v>0</v>
          </cell>
          <cell r="J1462">
            <v>0</v>
          </cell>
        </row>
        <row r="1463">
          <cell r="B1463" t="str">
            <v>4.1.01.14.04</v>
          </cell>
          <cell r="C1463" t="str">
            <v>Pajak Batu Kapur</v>
          </cell>
          <cell r="D1463">
            <v>0</v>
          </cell>
          <cell r="E1463">
            <v>0</v>
          </cell>
          <cell r="F1463">
            <v>0</v>
          </cell>
          <cell r="G1463">
            <v>0</v>
          </cell>
          <cell r="H1463">
            <v>0</v>
          </cell>
          <cell r="I1463">
            <v>0</v>
          </cell>
          <cell r="J1463">
            <v>0</v>
          </cell>
        </row>
        <row r="1464">
          <cell r="B1464" t="str">
            <v>4.1.01.14.05</v>
          </cell>
          <cell r="C1464" t="str">
            <v>Pajak Batu Apung</v>
          </cell>
          <cell r="D1464">
            <v>0</v>
          </cell>
          <cell r="E1464">
            <v>0</v>
          </cell>
          <cell r="F1464">
            <v>0</v>
          </cell>
          <cell r="G1464">
            <v>0</v>
          </cell>
          <cell r="H1464">
            <v>0</v>
          </cell>
          <cell r="I1464">
            <v>0</v>
          </cell>
          <cell r="J1464">
            <v>0</v>
          </cell>
        </row>
        <row r="1465">
          <cell r="B1465" t="str">
            <v>4.1.01.14.06</v>
          </cell>
          <cell r="C1465" t="str">
            <v>Pajak Batu Permata</v>
          </cell>
          <cell r="D1465">
            <v>0</v>
          </cell>
          <cell r="E1465">
            <v>0</v>
          </cell>
          <cell r="F1465">
            <v>0</v>
          </cell>
          <cell r="G1465">
            <v>0</v>
          </cell>
          <cell r="H1465">
            <v>0</v>
          </cell>
          <cell r="I1465">
            <v>0</v>
          </cell>
          <cell r="J1465">
            <v>0</v>
          </cell>
        </row>
        <row r="1466">
          <cell r="B1466" t="str">
            <v>4.1.01.14.07</v>
          </cell>
          <cell r="C1466" t="str">
            <v>Pajak Bentonit</v>
          </cell>
          <cell r="D1466">
            <v>0</v>
          </cell>
          <cell r="E1466">
            <v>0</v>
          </cell>
          <cell r="F1466">
            <v>0</v>
          </cell>
          <cell r="G1466">
            <v>0</v>
          </cell>
          <cell r="H1466">
            <v>0</v>
          </cell>
          <cell r="I1466">
            <v>0</v>
          </cell>
          <cell r="J1466">
            <v>0</v>
          </cell>
        </row>
        <row r="1467">
          <cell r="B1467" t="str">
            <v>4.1.01.14.08</v>
          </cell>
          <cell r="C1467" t="str">
            <v>Pajak Dolomit</v>
          </cell>
          <cell r="D1467">
            <v>0</v>
          </cell>
          <cell r="E1467">
            <v>0</v>
          </cell>
          <cell r="F1467">
            <v>0</v>
          </cell>
          <cell r="G1467">
            <v>0</v>
          </cell>
          <cell r="H1467">
            <v>0</v>
          </cell>
          <cell r="I1467">
            <v>0</v>
          </cell>
          <cell r="J1467">
            <v>0</v>
          </cell>
        </row>
        <row r="1468">
          <cell r="B1468" t="str">
            <v>4.1.01.14.09</v>
          </cell>
          <cell r="C1468" t="str">
            <v>Pajak Felspar</v>
          </cell>
          <cell r="D1468">
            <v>0</v>
          </cell>
          <cell r="E1468">
            <v>0</v>
          </cell>
          <cell r="F1468">
            <v>0</v>
          </cell>
          <cell r="G1468">
            <v>0</v>
          </cell>
          <cell r="H1468">
            <v>0</v>
          </cell>
          <cell r="I1468">
            <v>0</v>
          </cell>
          <cell r="J1468">
            <v>0</v>
          </cell>
        </row>
        <row r="1469">
          <cell r="B1469" t="str">
            <v>4.1.01.14.10</v>
          </cell>
          <cell r="C1469" t="str">
            <v>Pajak Garam Batu (Halite)</v>
          </cell>
          <cell r="D1469">
            <v>0</v>
          </cell>
          <cell r="E1469">
            <v>0</v>
          </cell>
          <cell r="F1469">
            <v>0</v>
          </cell>
          <cell r="G1469">
            <v>0</v>
          </cell>
          <cell r="H1469">
            <v>0</v>
          </cell>
          <cell r="I1469">
            <v>0</v>
          </cell>
          <cell r="J1469">
            <v>0</v>
          </cell>
        </row>
        <row r="1470">
          <cell r="B1470" t="str">
            <v>4.1.01.14.11</v>
          </cell>
          <cell r="C1470" t="str">
            <v>Pajak Grafit</v>
          </cell>
          <cell r="D1470">
            <v>0</v>
          </cell>
          <cell r="E1470">
            <v>0</v>
          </cell>
          <cell r="F1470">
            <v>0</v>
          </cell>
          <cell r="G1470">
            <v>0</v>
          </cell>
          <cell r="H1470">
            <v>0</v>
          </cell>
          <cell r="I1470">
            <v>0</v>
          </cell>
          <cell r="J1470">
            <v>0</v>
          </cell>
        </row>
        <row r="1471">
          <cell r="B1471" t="str">
            <v>4.1.01.14.12</v>
          </cell>
          <cell r="C1471" t="str">
            <v>Pajak Granit/Andesit</v>
          </cell>
          <cell r="D1471">
            <v>0</v>
          </cell>
          <cell r="E1471">
            <v>0</v>
          </cell>
          <cell r="F1471">
            <v>0</v>
          </cell>
          <cell r="G1471">
            <v>0</v>
          </cell>
          <cell r="H1471">
            <v>0</v>
          </cell>
          <cell r="I1471">
            <v>0</v>
          </cell>
          <cell r="J1471">
            <v>0</v>
          </cell>
        </row>
        <row r="1472">
          <cell r="B1472" t="str">
            <v>4.1.01.14.13</v>
          </cell>
          <cell r="C1472" t="str">
            <v>Pajak Gips</v>
          </cell>
          <cell r="D1472">
            <v>0</v>
          </cell>
          <cell r="E1472">
            <v>0</v>
          </cell>
          <cell r="F1472">
            <v>0</v>
          </cell>
          <cell r="G1472">
            <v>0</v>
          </cell>
          <cell r="H1472">
            <v>0</v>
          </cell>
          <cell r="I1472">
            <v>0</v>
          </cell>
          <cell r="J1472">
            <v>0</v>
          </cell>
        </row>
        <row r="1473">
          <cell r="B1473" t="str">
            <v>4.1.01.14.14</v>
          </cell>
          <cell r="C1473" t="str">
            <v>Pajak Kalsit</v>
          </cell>
          <cell r="D1473">
            <v>0</v>
          </cell>
          <cell r="E1473">
            <v>0</v>
          </cell>
          <cell r="F1473">
            <v>0</v>
          </cell>
          <cell r="G1473">
            <v>0</v>
          </cell>
          <cell r="H1473">
            <v>0</v>
          </cell>
          <cell r="I1473">
            <v>0</v>
          </cell>
          <cell r="J1473">
            <v>0</v>
          </cell>
        </row>
        <row r="1474">
          <cell r="B1474" t="str">
            <v>4.1.01.14.15</v>
          </cell>
          <cell r="C1474" t="str">
            <v>Pajak Kaolin</v>
          </cell>
          <cell r="D1474">
            <v>0</v>
          </cell>
          <cell r="E1474">
            <v>0</v>
          </cell>
          <cell r="F1474">
            <v>0</v>
          </cell>
          <cell r="G1474">
            <v>0</v>
          </cell>
          <cell r="H1474">
            <v>0</v>
          </cell>
          <cell r="I1474">
            <v>0</v>
          </cell>
          <cell r="J1474">
            <v>0</v>
          </cell>
        </row>
        <row r="1475">
          <cell r="B1475" t="str">
            <v>4.1.01.14.16</v>
          </cell>
          <cell r="C1475" t="str">
            <v>Pajak Leusit</v>
          </cell>
          <cell r="D1475">
            <v>0</v>
          </cell>
          <cell r="E1475">
            <v>0</v>
          </cell>
          <cell r="F1475">
            <v>0</v>
          </cell>
          <cell r="G1475">
            <v>0</v>
          </cell>
          <cell r="H1475">
            <v>0</v>
          </cell>
          <cell r="I1475">
            <v>0</v>
          </cell>
          <cell r="J1475">
            <v>0</v>
          </cell>
        </row>
        <row r="1476">
          <cell r="B1476" t="str">
            <v>4.1.01.14.17</v>
          </cell>
          <cell r="C1476" t="str">
            <v>Pajak Magnesit</v>
          </cell>
          <cell r="D1476">
            <v>0</v>
          </cell>
          <cell r="E1476">
            <v>0</v>
          </cell>
          <cell r="F1476">
            <v>0</v>
          </cell>
          <cell r="G1476">
            <v>0</v>
          </cell>
          <cell r="H1476">
            <v>0</v>
          </cell>
          <cell r="I1476">
            <v>0</v>
          </cell>
          <cell r="J1476">
            <v>0</v>
          </cell>
        </row>
        <row r="1477">
          <cell r="B1477" t="str">
            <v>4.1.01.14.18</v>
          </cell>
          <cell r="C1477" t="str">
            <v>Pajak Mika</v>
          </cell>
          <cell r="D1477">
            <v>0</v>
          </cell>
          <cell r="E1477">
            <v>0</v>
          </cell>
          <cell r="F1477">
            <v>0</v>
          </cell>
          <cell r="G1477">
            <v>0</v>
          </cell>
          <cell r="H1477">
            <v>0</v>
          </cell>
          <cell r="I1477">
            <v>0</v>
          </cell>
          <cell r="J1477">
            <v>0</v>
          </cell>
        </row>
        <row r="1478">
          <cell r="B1478" t="str">
            <v>4.1.01.14.19</v>
          </cell>
          <cell r="C1478" t="str">
            <v>Pajak Marmer</v>
          </cell>
          <cell r="D1478">
            <v>0</v>
          </cell>
          <cell r="E1478">
            <v>0</v>
          </cell>
          <cell r="F1478">
            <v>0</v>
          </cell>
          <cell r="G1478">
            <v>0</v>
          </cell>
          <cell r="H1478">
            <v>0</v>
          </cell>
          <cell r="I1478">
            <v>0</v>
          </cell>
          <cell r="J1478">
            <v>0</v>
          </cell>
        </row>
        <row r="1479">
          <cell r="B1479" t="str">
            <v>4.1.01.14.20</v>
          </cell>
          <cell r="C1479" t="str">
            <v>Pajak Nitrat</v>
          </cell>
          <cell r="D1479">
            <v>0</v>
          </cell>
          <cell r="E1479">
            <v>0</v>
          </cell>
          <cell r="F1479">
            <v>0</v>
          </cell>
          <cell r="G1479">
            <v>0</v>
          </cell>
          <cell r="H1479">
            <v>0</v>
          </cell>
          <cell r="I1479">
            <v>0</v>
          </cell>
          <cell r="J1479">
            <v>0</v>
          </cell>
        </row>
        <row r="1480">
          <cell r="B1480" t="str">
            <v>4.1.01.14.21</v>
          </cell>
          <cell r="C1480" t="str">
            <v>Pajak Opsidien</v>
          </cell>
          <cell r="D1480">
            <v>0</v>
          </cell>
          <cell r="E1480">
            <v>0</v>
          </cell>
          <cell r="F1480">
            <v>0</v>
          </cell>
          <cell r="G1480">
            <v>0</v>
          </cell>
          <cell r="H1480">
            <v>0</v>
          </cell>
          <cell r="I1480">
            <v>0</v>
          </cell>
          <cell r="J1480">
            <v>0</v>
          </cell>
        </row>
        <row r="1481">
          <cell r="B1481" t="str">
            <v>4.1.01.14.22</v>
          </cell>
          <cell r="C1481" t="str">
            <v>Pajak Oker</v>
          </cell>
          <cell r="D1481">
            <v>0</v>
          </cell>
          <cell r="E1481">
            <v>0</v>
          </cell>
          <cell r="F1481">
            <v>0</v>
          </cell>
          <cell r="G1481">
            <v>0</v>
          </cell>
          <cell r="H1481">
            <v>0</v>
          </cell>
          <cell r="I1481">
            <v>0</v>
          </cell>
          <cell r="J1481">
            <v>0</v>
          </cell>
        </row>
        <row r="1482">
          <cell r="B1482" t="str">
            <v>4.1.01.14.23</v>
          </cell>
          <cell r="C1482" t="str">
            <v>Pajak Pasir dan Kerikil</v>
          </cell>
          <cell r="D1482">
            <v>0</v>
          </cell>
          <cell r="E1482">
            <v>0</v>
          </cell>
          <cell r="F1482">
            <v>0</v>
          </cell>
          <cell r="G1482">
            <v>0</v>
          </cell>
          <cell r="H1482">
            <v>0</v>
          </cell>
          <cell r="I1482">
            <v>0</v>
          </cell>
          <cell r="J1482">
            <v>0</v>
          </cell>
        </row>
        <row r="1483">
          <cell r="B1483" t="str">
            <v>4.1.01.14.24</v>
          </cell>
          <cell r="C1483" t="str">
            <v>Pajak Pasir Kuarsa</v>
          </cell>
          <cell r="D1483">
            <v>0</v>
          </cell>
          <cell r="E1483">
            <v>0</v>
          </cell>
          <cell r="F1483">
            <v>0</v>
          </cell>
          <cell r="G1483">
            <v>0</v>
          </cell>
          <cell r="H1483">
            <v>0</v>
          </cell>
          <cell r="I1483">
            <v>0</v>
          </cell>
          <cell r="J1483">
            <v>0</v>
          </cell>
        </row>
        <row r="1484">
          <cell r="B1484" t="str">
            <v>4.1.01.14.25</v>
          </cell>
          <cell r="C1484" t="str">
            <v>Pajak Perlit</v>
          </cell>
          <cell r="D1484">
            <v>0</v>
          </cell>
          <cell r="E1484">
            <v>0</v>
          </cell>
          <cell r="F1484">
            <v>0</v>
          </cell>
          <cell r="G1484">
            <v>0</v>
          </cell>
          <cell r="H1484">
            <v>0</v>
          </cell>
          <cell r="I1484">
            <v>0</v>
          </cell>
          <cell r="J1484">
            <v>0</v>
          </cell>
        </row>
        <row r="1485">
          <cell r="B1485" t="str">
            <v>4.1.01.14.26</v>
          </cell>
          <cell r="C1485" t="str">
            <v>Pajak Phospat</v>
          </cell>
          <cell r="D1485">
            <v>0</v>
          </cell>
          <cell r="E1485">
            <v>0</v>
          </cell>
          <cell r="F1485">
            <v>0</v>
          </cell>
          <cell r="G1485">
            <v>0</v>
          </cell>
          <cell r="H1485">
            <v>0</v>
          </cell>
          <cell r="I1485">
            <v>0</v>
          </cell>
          <cell r="J1485">
            <v>0</v>
          </cell>
        </row>
        <row r="1486">
          <cell r="B1486" t="str">
            <v>4.1.01.14.27</v>
          </cell>
          <cell r="C1486" t="str">
            <v>Pajak Talk</v>
          </cell>
          <cell r="D1486">
            <v>0</v>
          </cell>
          <cell r="E1486">
            <v>0</v>
          </cell>
          <cell r="F1486">
            <v>0</v>
          </cell>
          <cell r="G1486">
            <v>0</v>
          </cell>
          <cell r="H1486">
            <v>0</v>
          </cell>
          <cell r="I1486">
            <v>0</v>
          </cell>
          <cell r="J1486">
            <v>0</v>
          </cell>
        </row>
        <row r="1487">
          <cell r="B1487" t="str">
            <v>4.1.01.14.28</v>
          </cell>
          <cell r="C1487" t="str">
            <v>Pajak Tanah Serap (Fullers Earth)</v>
          </cell>
          <cell r="D1487">
            <v>0</v>
          </cell>
          <cell r="E1487">
            <v>0</v>
          </cell>
          <cell r="F1487">
            <v>0</v>
          </cell>
          <cell r="G1487">
            <v>0</v>
          </cell>
          <cell r="H1487">
            <v>0</v>
          </cell>
          <cell r="I1487">
            <v>0</v>
          </cell>
          <cell r="J1487">
            <v>0</v>
          </cell>
        </row>
        <row r="1488">
          <cell r="B1488" t="str">
            <v>4.1.01.14.29</v>
          </cell>
          <cell r="C1488" t="str">
            <v>Pajak Tanah Diatome</v>
          </cell>
          <cell r="D1488">
            <v>0</v>
          </cell>
          <cell r="E1488">
            <v>0</v>
          </cell>
          <cell r="F1488">
            <v>0</v>
          </cell>
          <cell r="G1488">
            <v>0</v>
          </cell>
          <cell r="H1488">
            <v>0</v>
          </cell>
          <cell r="I1488">
            <v>0</v>
          </cell>
          <cell r="J1488">
            <v>0</v>
          </cell>
        </row>
        <row r="1489">
          <cell r="B1489" t="str">
            <v>4.1.01.14.30</v>
          </cell>
          <cell r="C1489" t="str">
            <v>Pajak Tanah Liat</v>
          </cell>
          <cell r="D1489">
            <v>0</v>
          </cell>
          <cell r="E1489">
            <v>0</v>
          </cell>
          <cell r="F1489">
            <v>0</v>
          </cell>
          <cell r="G1489">
            <v>0</v>
          </cell>
          <cell r="H1489">
            <v>0</v>
          </cell>
          <cell r="I1489">
            <v>0</v>
          </cell>
          <cell r="J1489">
            <v>0</v>
          </cell>
        </row>
        <row r="1490">
          <cell r="B1490" t="str">
            <v>4.1.01.14.31</v>
          </cell>
          <cell r="C1490" t="str">
            <v>Pajak Tawas (Alum)</v>
          </cell>
          <cell r="D1490">
            <v>0</v>
          </cell>
          <cell r="E1490">
            <v>0</v>
          </cell>
          <cell r="F1490">
            <v>0</v>
          </cell>
          <cell r="G1490">
            <v>0</v>
          </cell>
          <cell r="H1490">
            <v>0</v>
          </cell>
          <cell r="I1490">
            <v>0</v>
          </cell>
          <cell r="J1490">
            <v>0</v>
          </cell>
        </row>
        <row r="1491">
          <cell r="B1491" t="str">
            <v>4.1.01.14.32</v>
          </cell>
          <cell r="C1491" t="str">
            <v>Pajak Tras</v>
          </cell>
          <cell r="D1491">
            <v>0</v>
          </cell>
          <cell r="E1491">
            <v>0</v>
          </cell>
          <cell r="F1491">
            <v>0</v>
          </cell>
          <cell r="G1491">
            <v>0</v>
          </cell>
          <cell r="H1491">
            <v>0</v>
          </cell>
          <cell r="I1491">
            <v>0</v>
          </cell>
          <cell r="J1491">
            <v>0</v>
          </cell>
        </row>
        <row r="1492">
          <cell r="B1492" t="str">
            <v>4.1.01.14.33</v>
          </cell>
          <cell r="C1492" t="str">
            <v>Pajak Yarosif</v>
          </cell>
          <cell r="D1492">
            <v>0</v>
          </cell>
          <cell r="E1492">
            <v>0</v>
          </cell>
          <cell r="F1492">
            <v>0</v>
          </cell>
          <cell r="G1492">
            <v>0</v>
          </cell>
          <cell r="H1492">
            <v>0</v>
          </cell>
          <cell r="I1492">
            <v>0</v>
          </cell>
          <cell r="J1492">
            <v>0</v>
          </cell>
        </row>
        <row r="1493">
          <cell r="B1493" t="str">
            <v>4.1.01.14.34</v>
          </cell>
          <cell r="C1493" t="str">
            <v>Pajak Zeolit</v>
          </cell>
          <cell r="D1493">
            <v>0</v>
          </cell>
          <cell r="E1493">
            <v>0</v>
          </cell>
          <cell r="F1493">
            <v>0</v>
          </cell>
          <cell r="G1493">
            <v>0</v>
          </cell>
          <cell r="H1493">
            <v>0</v>
          </cell>
          <cell r="I1493">
            <v>0</v>
          </cell>
          <cell r="J1493">
            <v>0</v>
          </cell>
        </row>
        <row r="1494">
          <cell r="B1494" t="str">
            <v>4.1.01.14.35</v>
          </cell>
          <cell r="C1494" t="str">
            <v>Pajak Basal</v>
          </cell>
          <cell r="D1494">
            <v>0</v>
          </cell>
          <cell r="E1494">
            <v>0</v>
          </cell>
          <cell r="F1494">
            <v>0</v>
          </cell>
          <cell r="G1494">
            <v>0</v>
          </cell>
          <cell r="H1494">
            <v>0</v>
          </cell>
          <cell r="I1494">
            <v>0</v>
          </cell>
          <cell r="J1494">
            <v>0</v>
          </cell>
        </row>
        <row r="1495">
          <cell r="B1495" t="str">
            <v>4.1.01.14.36</v>
          </cell>
          <cell r="C1495" t="str">
            <v>Pajak Trakit</v>
          </cell>
          <cell r="D1495">
            <v>0</v>
          </cell>
          <cell r="E1495">
            <v>0</v>
          </cell>
          <cell r="F1495">
            <v>0</v>
          </cell>
          <cell r="G1495">
            <v>0</v>
          </cell>
          <cell r="H1495">
            <v>0</v>
          </cell>
          <cell r="I1495">
            <v>0</v>
          </cell>
          <cell r="J1495">
            <v>0</v>
          </cell>
        </row>
        <row r="1496">
          <cell r="B1496" t="str">
            <v>4.1.01.14.37</v>
          </cell>
          <cell r="C1496" t="str">
            <v>Pajak Mineral bukan Logam dan Batuan Lainnya</v>
          </cell>
          <cell r="D1496">
            <v>14678356143</v>
          </cell>
          <cell r="E1496">
            <v>9792256290</v>
          </cell>
          <cell r="F1496">
            <v>0</v>
          </cell>
          <cell r="G1496">
            <v>0</v>
          </cell>
          <cell r="H1496">
            <v>0</v>
          </cell>
          <cell r="I1496">
            <v>0</v>
          </cell>
          <cell r="J1496">
            <v>9792256290</v>
          </cell>
        </row>
        <row r="1497">
          <cell r="B1497" t="str">
            <v>4.1.01.14.38</v>
          </cell>
          <cell r="C1497" t="str">
            <v>Pajak Belerang</v>
          </cell>
          <cell r="D1497">
            <v>0</v>
          </cell>
          <cell r="E1497">
            <v>0</v>
          </cell>
          <cell r="F1497">
            <v>0</v>
          </cell>
          <cell r="G1497">
            <v>0</v>
          </cell>
          <cell r="H1497">
            <v>0</v>
          </cell>
          <cell r="I1497">
            <v>0</v>
          </cell>
          <cell r="J1497">
            <v>0</v>
          </cell>
        </row>
        <row r="1498">
          <cell r="B1498" t="str">
            <v>4.1.01.14.39</v>
          </cell>
          <cell r="C1498" t="str">
            <v>Pajak MBLB Ikutan Dalam Suatu Pertambangan Mineral</v>
          </cell>
          <cell r="D1498">
            <v>0</v>
          </cell>
          <cell r="E1498">
            <v>0</v>
          </cell>
          <cell r="F1498">
            <v>0</v>
          </cell>
          <cell r="G1498">
            <v>0</v>
          </cell>
          <cell r="H1498">
            <v>0</v>
          </cell>
          <cell r="I1498">
            <v>0</v>
          </cell>
          <cell r="J1498">
            <v>0</v>
          </cell>
        </row>
        <row r="1499">
          <cell r="B1499" t="str">
            <v>4.1.01.15</v>
          </cell>
          <cell r="C1499" t="str">
            <v>Pajak Bumi dan Bangunan Perdesaan dan Perkotaan (PBBP2)</v>
          </cell>
          <cell r="D1499">
            <v>1356104176</v>
          </cell>
          <cell r="E1499">
            <v>353999100</v>
          </cell>
          <cell r="F1499"/>
          <cell r="G1499"/>
          <cell r="H1499"/>
          <cell r="I1499"/>
          <cell r="J1499">
            <v>353999100</v>
          </cell>
        </row>
        <row r="1500">
          <cell r="B1500" t="str">
            <v>4.1.01.15.01</v>
          </cell>
          <cell r="C1500" t="str">
            <v>PBBP2</v>
          </cell>
          <cell r="D1500">
            <v>1356104176</v>
          </cell>
          <cell r="E1500">
            <v>353999100</v>
          </cell>
          <cell r="F1500">
            <v>0</v>
          </cell>
          <cell r="G1500">
            <v>0</v>
          </cell>
          <cell r="H1500">
            <v>0</v>
          </cell>
          <cell r="I1500">
            <v>0</v>
          </cell>
          <cell r="J1500">
            <v>353999100</v>
          </cell>
        </row>
        <row r="1501">
          <cell r="B1501" t="str">
            <v>4.1.01.16</v>
          </cell>
          <cell r="C1501" t="str">
            <v>Bea Perolehan Hak Atas Tanah dan Bangunan (BPHTB)</v>
          </cell>
          <cell r="D1501">
            <v>16035918252</v>
          </cell>
          <cell r="E1501">
            <v>16107853003</v>
          </cell>
          <cell r="F1501"/>
          <cell r="G1501"/>
          <cell r="H1501"/>
          <cell r="I1501"/>
          <cell r="J1501">
            <v>16107853003</v>
          </cell>
        </row>
        <row r="1502">
          <cell r="B1502" t="str">
            <v>4.1.01.16.01</v>
          </cell>
          <cell r="C1502" t="str">
            <v>BPHTB-Pemindahan Hak</v>
          </cell>
          <cell r="D1502">
            <v>16035918252</v>
          </cell>
          <cell r="E1502">
            <v>16107853003</v>
          </cell>
          <cell r="F1502">
            <v>0</v>
          </cell>
          <cell r="G1502">
            <v>0</v>
          </cell>
          <cell r="H1502">
            <v>0</v>
          </cell>
          <cell r="I1502">
            <v>0</v>
          </cell>
          <cell r="J1502">
            <v>16107853003</v>
          </cell>
        </row>
        <row r="1503">
          <cell r="B1503" t="str">
            <v>4.1.01.16.02</v>
          </cell>
          <cell r="C1503" t="str">
            <v>BPHTB-Pemberian Hak Baru</v>
          </cell>
          <cell r="D1503">
            <v>0</v>
          </cell>
          <cell r="E1503">
            <v>0</v>
          </cell>
          <cell r="F1503">
            <v>0</v>
          </cell>
          <cell r="G1503">
            <v>0</v>
          </cell>
          <cell r="H1503">
            <v>0</v>
          </cell>
          <cell r="I1503">
            <v>0</v>
          </cell>
          <cell r="J1503">
            <v>0</v>
          </cell>
        </row>
        <row r="1504">
          <cell r="B1504" t="str">
            <v>4.1.01.17</v>
          </cell>
          <cell r="C1504" t="str">
            <v>Pajak Alat Berat</v>
          </cell>
          <cell r="D1504">
            <v>0</v>
          </cell>
          <cell r="E1504">
            <v>0</v>
          </cell>
          <cell r="F1504"/>
          <cell r="G1504"/>
          <cell r="H1504"/>
          <cell r="I1504"/>
          <cell r="J1504">
            <v>0</v>
          </cell>
        </row>
        <row r="1505">
          <cell r="B1505" t="str">
            <v>4.1.01.17.01</v>
          </cell>
          <cell r="C1505" t="str">
            <v>Pajak Alat Berat</v>
          </cell>
          <cell r="D1505">
            <v>0</v>
          </cell>
          <cell r="E1505">
            <v>0</v>
          </cell>
          <cell r="F1505">
            <v>0</v>
          </cell>
          <cell r="G1505">
            <v>0</v>
          </cell>
          <cell r="H1505">
            <v>0</v>
          </cell>
          <cell r="I1505">
            <v>0</v>
          </cell>
          <cell r="J1505">
            <v>0</v>
          </cell>
        </row>
        <row r="1506">
          <cell r="B1506" t="str">
            <v>4.1.01.18</v>
          </cell>
          <cell r="C1506" t="str">
            <v>Opsen Pajak Mineral Bukan Logam dan Batuan (MBLB)</v>
          </cell>
          <cell r="D1506">
            <v>0</v>
          </cell>
          <cell r="E1506">
            <v>0</v>
          </cell>
          <cell r="F1506"/>
          <cell r="G1506"/>
          <cell r="H1506"/>
          <cell r="I1506"/>
          <cell r="J1506">
            <v>0</v>
          </cell>
        </row>
        <row r="1507">
          <cell r="B1507" t="str">
            <v>4.1.01.18.01</v>
          </cell>
          <cell r="C1507" t="str">
            <v>Opsen Pajak Mineral Bukan Logam dan Batuan (MBLB)</v>
          </cell>
          <cell r="D1507">
            <v>0</v>
          </cell>
          <cell r="E1507">
            <v>0</v>
          </cell>
          <cell r="F1507">
            <v>0</v>
          </cell>
          <cell r="G1507">
            <v>0</v>
          </cell>
          <cell r="H1507">
            <v>0</v>
          </cell>
          <cell r="I1507">
            <v>0</v>
          </cell>
          <cell r="J1507">
            <v>0</v>
          </cell>
        </row>
        <row r="1508">
          <cell r="B1508" t="str">
            <v>4.1.01.19</v>
          </cell>
          <cell r="C1508" t="str">
            <v>Pajak Barang dan Jasa Tertentu (PBJT)</v>
          </cell>
          <cell r="D1508">
            <v>0</v>
          </cell>
          <cell r="E1508">
            <v>63857597090</v>
          </cell>
          <cell r="F1508"/>
          <cell r="G1508"/>
          <cell r="H1508"/>
          <cell r="I1508"/>
          <cell r="J1508">
            <v>63857597090</v>
          </cell>
        </row>
        <row r="1509">
          <cell r="B1509" t="str">
            <v>4.1.01.19.01</v>
          </cell>
          <cell r="C1509" t="str">
            <v>PBJT-Makanan dan/atau Minuman</v>
          </cell>
          <cell r="D1509">
            <v>0</v>
          </cell>
          <cell r="E1509">
            <v>28934286808</v>
          </cell>
          <cell r="F1509">
            <v>0</v>
          </cell>
          <cell r="G1509">
            <v>0</v>
          </cell>
          <cell r="H1509">
            <v>0</v>
          </cell>
          <cell r="I1509">
            <v>0</v>
          </cell>
          <cell r="J1509">
            <v>28934286808</v>
          </cell>
        </row>
        <row r="1510">
          <cell r="B1510" t="str">
            <v>4.1.01.19.02</v>
          </cell>
          <cell r="C1510" t="str">
            <v>PBJT-Tenaga Listrik</v>
          </cell>
          <cell r="D1510">
            <v>0</v>
          </cell>
          <cell r="E1510">
            <v>29801529428</v>
          </cell>
          <cell r="F1510">
            <v>0</v>
          </cell>
          <cell r="G1510">
            <v>0</v>
          </cell>
          <cell r="H1510">
            <v>0</v>
          </cell>
          <cell r="I1510">
            <v>0</v>
          </cell>
          <cell r="J1510">
            <v>29801529428</v>
          </cell>
        </row>
        <row r="1511">
          <cell r="B1511" t="str">
            <v>4.1.01.19.03</v>
          </cell>
          <cell r="C1511" t="str">
            <v>PBJT-Jasa Perhotelan</v>
          </cell>
          <cell r="D1511">
            <v>0</v>
          </cell>
          <cell r="E1511">
            <v>5091623054</v>
          </cell>
          <cell r="F1511">
            <v>0</v>
          </cell>
          <cell r="G1511">
            <v>0</v>
          </cell>
          <cell r="H1511">
            <v>0</v>
          </cell>
          <cell r="I1511">
            <v>0</v>
          </cell>
          <cell r="J1511">
            <v>5091623054</v>
          </cell>
        </row>
        <row r="1512">
          <cell r="B1512" t="str">
            <v>4.1.01.19.04</v>
          </cell>
          <cell r="C1512" t="str">
            <v>PBJT-Jasa Parkir</v>
          </cell>
          <cell r="D1512">
            <v>0</v>
          </cell>
          <cell r="E1512">
            <v>0</v>
          </cell>
          <cell r="F1512">
            <v>0</v>
          </cell>
          <cell r="G1512">
            <v>0</v>
          </cell>
          <cell r="H1512">
            <v>0</v>
          </cell>
          <cell r="I1512">
            <v>0</v>
          </cell>
          <cell r="J1512">
            <v>0</v>
          </cell>
        </row>
        <row r="1513">
          <cell r="B1513" t="str">
            <v>4.1.01.19.05</v>
          </cell>
          <cell r="C1513" t="str">
            <v>PBJT-Jasa Kesenian dan Hiburan</v>
          </cell>
          <cell r="D1513">
            <v>0</v>
          </cell>
          <cell r="E1513">
            <v>30157800</v>
          </cell>
          <cell r="F1513">
            <v>0</v>
          </cell>
          <cell r="G1513">
            <v>0</v>
          </cell>
          <cell r="H1513">
            <v>0</v>
          </cell>
          <cell r="I1513">
            <v>0</v>
          </cell>
          <cell r="J1513">
            <v>30157800</v>
          </cell>
        </row>
        <row r="1514">
          <cell r="B1514" t="str">
            <v>4.1.01.20</v>
          </cell>
          <cell r="C1514" t="str">
            <v>Opsen Pajak Kendaraan Bermotor (PKB)</v>
          </cell>
          <cell r="D1514">
            <v>0</v>
          </cell>
          <cell r="E1514">
            <v>8464759556</v>
          </cell>
          <cell r="F1514"/>
          <cell r="G1514"/>
          <cell r="H1514"/>
          <cell r="I1514"/>
          <cell r="J1514">
            <v>8464759556</v>
          </cell>
        </row>
        <row r="1515">
          <cell r="B1515" t="str">
            <v>4.1.01.20.01</v>
          </cell>
          <cell r="C1515" t="str">
            <v>Opsen PKB</v>
          </cell>
          <cell r="D1515">
            <v>0</v>
          </cell>
          <cell r="E1515">
            <v>8464759556</v>
          </cell>
          <cell r="F1515">
            <v>0</v>
          </cell>
          <cell r="G1515">
            <v>0</v>
          </cell>
          <cell r="H1515">
            <v>0</v>
          </cell>
          <cell r="I1515">
            <v>0</v>
          </cell>
          <cell r="J1515">
            <v>8464759556</v>
          </cell>
        </row>
        <row r="1516">
          <cell r="B1516" t="str">
            <v>4.1.01.21</v>
          </cell>
          <cell r="C1516" t="str">
            <v>Opsen Bea Balik Nama Kendaraan Bermotor (BBNKB)</v>
          </cell>
          <cell r="D1516">
            <v>0</v>
          </cell>
          <cell r="E1516">
            <v>9565089930</v>
          </cell>
          <cell r="F1516"/>
          <cell r="G1516"/>
          <cell r="H1516"/>
          <cell r="I1516"/>
          <cell r="J1516">
            <v>9565089930</v>
          </cell>
        </row>
        <row r="1517">
          <cell r="B1517" t="str">
            <v>4.1.01.21.01</v>
          </cell>
          <cell r="C1517" t="str">
            <v>Opsen BBNKB</v>
          </cell>
          <cell r="D1517">
            <v>0</v>
          </cell>
          <cell r="E1517">
            <v>9565089930</v>
          </cell>
          <cell r="F1517">
            <v>0</v>
          </cell>
          <cell r="G1517">
            <v>0</v>
          </cell>
          <cell r="H1517">
            <v>0</v>
          </cell>
          <cell r="I1517">
            <v>0</v>
          </cell>
          <cell r="J1517">
            <v>9565089930</v>
          </cell>
        </row>
        <row r="1518">
          <cell r="B1518"/>
          <cell r="C1518"/>
          <cell r="D1518"/>
          <cell r="E1518"/>
          <cell r="F1518"/>
          <cell r="G1518"/>
          <cell r="H1518"/>
          <cell r="I1518"/>
          <cell r="J1518"/>
        </row>
        <row r="1519">
          <cell r="B1519" t="str">
            <v>4.1.02</v>
          </cell>
          <cell r="C1519" t="str">
            <v>Retribusi Daerah</v>
          </cell>
          <cell r="D1519">
            <v>8061317063</v>
          </cell>
          <cell r="E1519">
            <v>12110315742</v>
          </cell>
          <cell r="F1519"/>
          <cell r="G1519"/>
          <cell r="H1519"/>
          <cell r="I1519"/>
          <cell r="J1519">
            <v>12110315742</v>
          </cell>
        </row>
        <row r="1520">
          <cell r="B1520" t="str">
            <v>4.1.02.01</v>
          </cell>
          <cell r="C1520" t="str">
            <v>Retribusi Jasa Umum</v>
          </cell>
          <cell r="D1520">
            <v>2763566340</v>
          </cell>
          <cell r="E1520">
            <v>5089718788</v>
          </cell>
          <cell r="F1520"/>
          <cell r="G1520"/>
          <cell r="H1520"/>
          <cell r="I1520"/>
          <cell r="J1520">
            <v>5089718788</v>
          </cell>
        </row>
        <row r="1521">
          <cell r="B1521" t="str">
            <v>4.1.02.01.01</v>
          </cell>
          <cell r="C1521" t="str">
            <v>Retribusi Pelayanan Kesehatan</v>
          </cell>
          <cell r="D1521">
            <v>2187587740</v>
          </cell>
          <cell r="E1521">
            <v>4541435788</v>
          </cell>
          <cell r="F1521">
            <v>0</v>
          </cell>
          <cell r="G1521">
            <v>0</v>
          </cell>
          <cell r="H1521">
            <v>0</v>
          </cell>
          <cell r="I1521">
            <v>0</v>
          </cell>
          <cell r="J1521">
            <v>4541435788</v>
          </cell>
        </row>
        <row r="1522">
          <cell r="B1522" t="str">
            <v>4.1.02.01.02</v>
          </cell>
          <cell r="C1522" t="str">
            <v>Retribusi Pelayanan Persampahan/Kebersihan</v>
          </cell>
          <cell r="D1522">
            <v>20459000</v>
          </cell>
          <cell r="E1522">
            <v>317816000</v>
          </cell>
          <cell r="F1522">
            <v>0</v>
          </cell>
          <cell r="G1522">
            <v>0</v>
          </cell>
          <cell r="H1522">
            <v>0</v>
          </cell>
          <cell r="I1522">
            <v>0</v>
          </cell>
          <cell r="J1522">
            <v>317816000</v>
          </cell>
        </row>
        <row r="1523">
          <cell r="B1523" t="str">
            <v>4.1.02.01.03</v>
          </cell>
          <cell r="C1523" t="str">
            <v>Retribusi Pelayanan Pemakaman dan Pengabuan Mayat</v>
          </cell>
          <cell r="D1523">
            <v>0</v>
          </cell>
          <cell r="E1523">
            <v>0</v>
          </cell>
          <cell r="F1523">
            <v>0</v>
          </cell>
          <cell r="G1523">
            <v>0</v>
          </cell>
          <cell r="H1523">
            <v>0</v>
          </cell>
          <cell r="I1523">
            <v>0</v>
          </cell>
          <cell r="J1523">
            <v>0</v>
          </cell>
        </row>
        <row r="1524">
          <cell r="B1524" t="str">
            <v>4.1.02.01.04</v>
          </cell>
          <cell r="C1524" t="str">
            <v>Retribusi Pelayanan Parkir di Tepi Jalan Umum</v>
          </cell>
          <cell r="D1524">
            <v>41770000</v>
          </cell>
          <cell r="E1524">
            <v>48155000</v>
          </cell>
          <cell r="F1524">
            <v>0</v>
          </cell>
          <cell r="G1524">
            <v>0</v>
          </cell>
          <cell r="H1524">
            <v>0</v>
          </cell>
          <cell r="I1524">
            <v>0</v>
          </cell>
          <cell r="J1524">
            <v>48155000</v>
          </cell>
        </row>
        <row r="1525">
          <cell r="B1525" t="str">
            <v>4.1.02.01.05</v>
          </cell>
          <cell r="C1525" t="str">
            <v>Retribusi Pelayanan Pasar</v>
          </cell>
          <cell r="D1525">
            <v>0</v>
          </cell>
          <cell r="E1525">
            <v>0</v>
          </cell>
          <cell r="F1525">
            <v>0</v>
          </cell>
          <cell r="G1525">
            <v>0</v>
          </cell>
          <cell r="H1525">
            <v>0</v>
          </cell>
          <cell r="I1525">
            <v>0</v>
          </cell>
          <cell r="J1525">
            <v>0</v>
          </cell>
        </row>
        <row r="1526">
          <cell r="B1526" t="str">
            <v>4.1.02.01.06</v>
          </cell>
          <cell r="C1526" t="str">
            <v>Retribusi Pengujian Kendaraan Bermotor</v>
          </cell>
          <cell r="D1526">
            <v>0</v>
          </cell>
          <cell r="E1526">
            <v>0</v>
          </cell>
          <cell r="F1526">
            <v>0</v>
          </cell>
          <cell r="G1526">
            <v>0</v>
          </cell>
          <cell r="H1526">
            <v>0</v>
          </cell>
          <cell r="I1526">
            <v>0</v>
          </cell>
          <cell r="J1526">
            <v>0</v>
          </cell>
        </row>
        <row r="1527">
          <cell r="B1527" t="str">
            <v>4.1.02.01.07</v>
          </cell>
          <cell r="C1527" t="str">
            <v>Retribusi Pemeriksaan Alat Pemadam Kebakaran</v>
          </cell>
          <cell r="D1527">
            <v>0</v>
          </cell>
          <cell r="E1527">
            <v>0</v>
          </cell>
          <cell r="F1527">
            <v>0</v>
          </cell>
          <cell r="G1527">
            <v>0</v>
          </cell>
          <cell r="H1527">
            <v>0</v>
          </cell>
          <cell r="I1527">
            <v>0</v>
          </cell>
          <cell r="J1527">
            <v>0</v>
          </cell>
        </row>
        <row r="1528">
          <cell r="B1528" t="str">
            <v>4.1.02.01.08</v>
          </cell>
          <cell r="C1528" t="str">
            <v>Retribusi Penggantian Biaya Cetak Peta</v>
          </cell>
          <cell r="D1528">
            <v>0</v>
          </cell>
          <cell r="E1528">
            <v>0</v>
          </cell>
          <cell r="F1528">
            <v>0</v>
          </cell>
          <cell r="G1528">
            <v>0</v>
          </cell>
          <cell r="H1528">
            <v>0</v>
          </cell>
          <cell r="I1528">
            <v>0</v>
          </cell>
          <cell r="J1528">
            <v>0</v>
          </cell>
        </row>
        <row r="1529">
          <cell r="B1529" t="str">
            <v>4.1.02.01.09</v>
          </cell>
          <cell r="C1529" t="str">
            <v>Retribusi Penyediaan dan/atau Penyedotan Kakus</v>
          </cell>
          <cell r="D1529">
            <v>105752500</v>
          </cell>
          <cell r="E1529">
            <v>182312000</v>
          </cell>
          <cell r="F1529">
            <v>0</v>
          </cell>
          <cell r="G1529">
            <v>0</v>
          </cell>
          <cell r="H1529">
            <v>0</v>
          </cell>
          <cell r="I1529">
            <v>0</v>
          </cell>
          <cell r="J1529">
            <v>182312000</v>
          </cell>
        </row>
        <row r="1530">
          <cell r="B1530" t="str">
            <v>4.1.02.01.10</v>
          </cell>
          <cell r="C1530" t="str">
            <v>Retribusi Pengolahan Limbah Cair</v>
          </cell>
          <cell r="D1530">
            <v>0</v>
          </cell>
          <cell r="E1530">
            <v>0</v>
          </cell>
          <cell r="F1530">
            <v>0</v>
          </cell>
          <cell r="G1530">
            <v>0</v>
          </cell>
          <cell r="H1530">
            <v>0</v>
          </cell>
          <cell r="I1530">
            <v>0</v>
          </cell>
          <cell r="J1530">
            <v>0</v>
          </cell>
        </row>
        <row r="1531">
          <cell r="B1531" t="str">
            <v>4.1.02.01.11</v>
          </cell>
          <cell r="C1531" t="str">
            <v>Retribusi Pelayanan Tera/Tera Ulang</v>
          </cell>
          <cell r="D1531">
            <v>0</v>
          </cell>
          <cell r="E1531">
            <v>0</v>
          </cell>
          <cell r="F1531">
            <v>0</v>
          </cell>
          <cell r="G1531">
            <v>0</v>
          </cell>
          <cell r="H1531">
            <v>0</v>
          </cell>
          <cell r="I1531">
            <v>0</v>
          </cell>
          <cell r="J1531">
            <v>0</v>
          </cell>
        </row>
        <row r="1532">
          <cell r="B1532" t="str">
            <v>4.1.02.01.12</v>
          </cell>
          <cell r="C1532" t="str">
            <v>Retribusi Pelayanan Pendidikan</v>
          </cell>
          <cell r="D1532">
            <v>0</v>
          </cell>
          <cell r="E1532">
            <v>0</v>
          </cell>
          <cell r="F1532">
            <v>0</v>
          </cell>
          <cell r="G1532">
            <v>0</v>
          </cell>
          <cell r="H1532">
            <v>0</v>
          </cell>
          <cell r="I1532">
            <v>0</v>
          </cell>
          <cell r="J1532">
            <v>0</v>
          </cell>
        </row>
        <row r="1533">
          <cell r="B1533" t="str">
            <v>4.1.02.01.13</v>
          </cell>
          <cell r="C1533" t="str">
            <v>Retribusi Pengawasan dan Pengendalian Menara Telekomunikasi</v>
          </cell>
          <cell r="D1533">
            <v>407997100</v>
          </cell>
          <cell r="E1533">
            <v>0</v>
          </cell>
          <cell r="F1533">
            <v>0</v>
          </cell>
          <cell r="G1533">
            <v>0</v>
          </cell>
          <cell r="H1533">
            <v>0</v>
          </cell>
          <cell r="I1533">
            <v>0</v>
          </cell>
          <cell r="J1533">
            <v>0</v>
          </cell>
        </row>
        <row r="1534">
          <cell r="B1534" t="str">
            <v>4.1.02.01.14</v>
          </cell>
          <cell r="C1534" t="str">
            <v>Retribusi Pelayanan Kebersihan</v>
          </cell>
          <cell r="D1534">
            <v>0</v>
          </cell>
          <cell r="E1534">
            <v>0</v>
          </cell>
          <cell r="F1534">
            <v>0</v>
          </cell>
          <cell r="G1534">
            <v>0</v>
          </cell>
          <cell r="H1534">
            <v>0</v>
          </cell>
          <cell r="I1534">
            <v>0</v>
          </cell>
          <cell r="J1534">
            <v>0</v>
          </cell>
        </row>
        <row r="1535">
          <cell r="B1535" t="str">
            <v>4.1.02.01.15</v>
          </cell>
          <cell r="C1535" t="str">
            <v>Retribusi Pengendalian Lalu Lintas</v>
          </cell>
          <cell r="D1535">
            <v>0</v>
          </cell>
          <cell r="E1535">
            <v>0</v>
          </cell>
          <cell r="F1535">
            <v>0</v>
          </cell>
          <cell r="G1535">
            <v>0</v>
          </cell>
          <cell r="H1535">
            <v>0</v>
          </cell>
          <cell r="I1535">
            <v>0</v>
          </cell>
          <cell r="J1535">
            <v>0</v>
          </cell>
        </row>
        <row r="1536">
          <cell r="B1536" t="str">
            <v>4.1.02.02</v>
          </cell>
          <cell r="C1536" t="str">
            <v>Retribusi Jasa Usaha</v>
          </cell>
          <cell r="D1536">
            <v>1790785660</v>
          </cell>
          <cell r="E1536">
            <v>2293480480</v>
          </cell>
          <cell r="F1536"/>
          <cell r="G1536"/>
          <cell r="H1536"/>
          <cell r="I1536"/>
          <cell r="J1536">
            <v>2293480480</v>
          </cell>
        </row>
        <row r="1537">
          <cell r="B1537" t="str">
            <v>4.1.02.02.01</v>
          </cell>
          <cell r="C1537" t="str">
            <v>Retribusi Pemakaian Kekayaan Daerah</v>
          </cell>
          <cell r="D1537">
            <v>920543400</v>
          </cell>
          <cell r="E1537">
            <v>1224549600</v>
          </cell>
          <cell r="F1537">
            <v>0</v>
          </cell>
          <cell r="G1537">
            <v>0</v>
          </cell>
          <cell r="H1537">
            <v>0</v>
          </cell>
          <cell r="I1537">
            <v>0</v>
          </cell>
          <cell r="J1537">
            <v>1224549600</v>
          </cell>
        </row>
        <row r="1538">
          <cell r="B1538" t="str">
            <v>4.1.02.02.02</v>
          </cell>
          <cell r="C1538" t="str">
            <v>Retribusi Pasar Grosir dan/atau Pertokoan</v>
          </cell>
          <cell r="D1538">
            <v>603273000</v>
          </cell>
          <cell r="E1538">
            <v>590655000</v>
          </cell>
          <cell r="F1538">
            <v>0</v>
          </cell>
          <cell r="G1538">
            <v>0</v>
          </cell>
          <cell r="H1538">
            <v>0</v>
          </cell>
          <cell r="I1538">
            <v>0</v>
          </cell>
          <cell r="J1538">
            <v>590655000</v>
          </cell>
        </row>
        <row r="1539">
          <cell r="B1539" t="str">
            <v>4.1.02.02.03</v>
          </cell>
          <cell r="C1539" t="str">
            <v>Retribusi Tempat Pelelangan</v>
          </cell>
          <cell r="D1539">
            <v>0</v>
          </cell>
          <cell r="E1539">
            <v>0</v>
          </cell>
          <cell r="F1539">
            <v>0</v>
          </cell>
          <cell r="G1539">
            <v>0</v>
          </cell>
          <cell r="H1539">
            <v>0</v>
          </cell>
          <cell r="I1539">
            <v>0</v>
          </cell>
          <cell r="J1539">
            <v>0</v>
          </cell>
        </row>
        <row r="1540">
          <cell r="B1540" t="str">
            <v>4.1.02.02.04</v>
          </cell>
          <cell r="C1540" t="str">
            <v>Retribusi Terminal</v>
          </cell>
          <cell r="D1540">
            <v>0</v>
          </cell>
          <cell r="E1540">
            <v>0</v>
          </cell>
          <cell r="F1540">
            <v>0</v>
          </cell>
          <cell r="G1540">
            <v>0</v>
          </cell>
          <cell r="H1540">
            <v>0</v>
          </cell>
          <cell r="I1540">
            <v>0</v>
          </cell>
          <cell r="J1540">
            <v>0</v>
          </cell>
        </row>
        <row r="1541">
          <cell r="B1541" t="str">
            <v>4.1.02.02.05</v>
          </cell>
          <cell r="C1541" t="str">
            <v>Retribusi Tempat Khusus Parkir</v>
          </cell>
          <cell r="D1541">
            <v>0</v>
          </cell>
          <cell r="E1541">
            <v>0</v>
          </cell>
          <cell r="F1541">
            <v>0</v>
          </cell>
          <cell r="G1541">
            <v>0</v>
          </cell>
          <cell r="H1541">
            <v>0</v>
          </cell>
          <cell r="I1541">
            <v>0</v>
          </cell>
          <cell r="J1541">
            <v>0</v>
          </cell>
        </row>
        <row r="1542">
          <cell r="B1542" t="str">
            <v>4.1.02.02.06</v>
          </cell>
          <cell r="C1542" t="str">
            <v>Retribusi Tempat Penginapan/Pesanggrahan/Vila</v>
          </cell>
          <cell r="D1542">
            <v>0</v>
          </cell>
          <cell r="E1542">
            <v>0</v>
          </cell>
          <cell r="F1542">
            <v>0</v>
          </cell>
          <cell r="G1542">
            <v>0</v>
          </cell>
          <cell r="H1542">
            <v>0</v>
          </cell>
          <cell r="I1542">
            <v>0</v>
          </cell>
          <cell r="J1542">
            <v>0</v>
          </cell>
        </row>
        <row r="1543">
          <cell r="B1543" t="str">
            <v>4.1.02.02.07</v>
          </cell>
          <cell r="C1543" t="str">
            <v>Retribusi Rumah Potong Hewan</v>
          </cell>
          <cell r="D1543">
            <v>105280000</v>
          </cell>
          <cell r="E1543">
            <v>172290000</v>
          </cell>
          <cell r="F1543">
            <v>0</v>
          </cell>
          <cell r="G1543">
            <v>0</v>
          </cell>
          <cell r="H1543">
            <v>0</v>
          </cell>
          <cell r="I1543">
            <v>0</v>
          </cell>
          <cell r="J1543">
            <v>172290000</v>
          </cell>
        </row>
        <row r="1544">
          <cell r="B1544" t="str">
            <v>4.1.02.02.08</v>
          </cell>
          <cell r="C1544" t="str">
            <v>Retribusi Pelayanan Kepelabuhanan</v>
          </cell>
          <cell r="D1544">
            <v>2526260</v>
          </cell>
          <cell r="E1544">
            <v>374880</v>
          </cell>
          <cell r="F1544">
            <v>0</v>
          </cell>
          <cell r="G1544">
            <v>0</v>
          </cell>
          <cell r="H1544">
            <v>0</v>
          </cell>
          <cell r="I1544">
            <v>0</v>
          </cell>
          <cell r="J1544">
            <v>374880</v>
          </cell>
        </row>
        <row r="1545">
          <cell r="B1545" t="str">
            <v>4.1.02.02.09</v>
          </cell>
          <cell r="C1545" t="str">
            <v>Retribusi Tempat Rekreasi dan Olahraga</v>
          </cell>
          <cell r="D1545">
            <v>0</v>
          </cell>
          <cell r="E1545">
            <v>0</v>
          </cell>
          <cell r="F1545">
            <v>0</v>
          </cell>
          <cell r="G1545">
            <v>0</v>
          </cell>
          <cell r="H1545">
            <v>0</v>
          </cell>
          <cell r="I1545">
            <v>0</v>
          </cell>
          <cell r="J1545">
            <v>0</v>
          </cell>
        </row>
        <row r="1546">
          <cell r="B1546" t="str">
            <v>4.1.02.02.10</v>
          </cell>
          <cell r="C1546" t="str">
            <v>Retribusi Penyeberangan di Air</v>
          </cell>
          <cell r="D1546">
            <v>0</v>
          </cell>
          <cell r="E1546">
            <v>0</v>
          </cell>
          <cell r="F1546">
            <v>0</v>
          </cell>
          <cell r="G1546">
            <v>0</v>
          </cell>
          <cell r="H1546">
            <v>0</v>
          </cell>
          <cell r="I1546">
            <v>0</v>
          </cell>
          <cell r="J1546">
            <v>0</v>
          </cell>
        </row>
        <row r="1547">
          <cell r="B1547" t="str">
            <v>4.1.02.02.11</v>
          </cell>
          <cell r="C1547" t="str">
            <v>Retribusi Penjualan Produksi Usaha Daerah</v>
          </cell>
          <cell r="D1547">
            <v>97575000</v>
          </cell>
          <cell r="E1547">
            <v>117200000</v>
          </cell>
          <cell r="F1547">
            <v>0</v>
          </cell>
          <cell r="G1547">
            <v>0</v>
          </cell>
          <cell r="H1547">
            <v>0</v>
          </cell>
          <cell r="I1547">
            <v>0</v>
          </cell>
          <cell r="J1547">
            <v>117200000</v>
          </cell>
        </row>
        <row r="1548">
          <cell r="B1548" t="str">
            <v>4.1.02.02.12</v>
          </cell>
          <cell r="C1548" t="str">
            <v>Retribusi Penyediaan Tempat Kegiatan Usaha berupa Pasar, Grosir, Pertokoan, dan Tempat Kegiatan Usaha Lainnya</v>
          </cell>
          <cell r="D1548">
            <v>61588000</v>
          </cell>
          <cell r="E1548">
            <v>188411000</v>
          </cell>
          <cell r="F1548">
            <v>0</v>
          </cell>
          <cell r="G1548">
            <v>0</v>
          </cell>
          <cell r="H1548">
            <v>0</v>
          </cell>
          <cell r="I1548">
            <v>0</v>
          </cell>
          <cell r="J1548">
            <v>188411000</v>
          </cell>
        </row>
        <row r="1549">
          <cell r="B1549" t="str">
            <v>4.1.02.02.13</v>
          </cell>
          <cell r="C1549" t="str">
            <v>Retribusi Penyediaan Tempat Pelelangan Ikan, Ternak, Hasil Bumi, dan Hasil Hutan Termasuk Fasilitas Lainnya dalam Lingkungan Tempat Pelelangan</v>
          </cell>
          <cell r="D1549">
            <v>0</v>
          </cell>
          <cell r="E1549">
            <v>0</v>
          </cell>
          <cell r="F1549">
            <v>0</v>
          </cell>
          <cell r="G1549">
            <v>0</v>
          </cell>
          <cell r="H1549">
            <v>0</v>
          </cell>
          <cell r="I1549">
            <v>0</v>
          </cell>
          <cell r="J1549">
            <v>0</v>
          </cell>
        </row>
        <row r="1550">
          <cell r="B1550" t="str">
            <v>4.1.02.02.14</v>
          </cell>
          <cell r="C1550" t="str">
            <v>Retribusi Penyediaan Tempat Khusus Parkir Diluar Badan Jalan</v>
          </cell>
          <cell r="D1550">
            <v>0</v>
          </cell>
          <cell r="E1550">
            <v>0</v>
          </cell>
          <cell r="F1550">
            <v>0</v>
          </cell>
          <cell r="G1550">
            <v>0</v>
          </cell>
          <cell r="H1550">
            <v>0</v>
          </cell>
          <cell r="I1550">
            <v>0</v>
          </cell>
          <cell r="J1550">
            <v>0</v>
          </cell>
        </row>
        <row r="1551">
          <cell r="B1551" t="str">
            <v>4.1.02.02.15</v>
          </cell>
          <cell r="C1551" t="str">
            <v>Retribusi Pelayanan Rumah Pemotongan Hewan Ternak</v>
          </cell>
          <cell r="D1551">
            <v>0</v>
          </cell>
          <cell r="E1551">
            <v>0</v>
          </cell>
          <cell r="F1551">
            <v>0</v>
          </cell>
          <cell r="G1551">
            <v>0</v>
          </cell>
          <cell r="H1551">
            <v>0</v>
          </cell>
          <cell r="I1551">
            <v>0</v>
          </cell>
          <cell r="J1551">
            <v>0</v>
          </cell>
        </row>
        <row r="1552">
          <cell r="B1552" t="str">
            <v>4.1.02.02.16</v>
          </cell>
          <cell r="C1552" t="str">
            <v>Retribusi Pelayanan Jasa Kepelabuhanan</v>
          </cell>
          <cell r="D1552">
            <v>0</v>
          </cell>
          <cell r="E1552">
            <v>0</v>
          </cell>
          <cell r="F1552">
            <v>0</v>
          </cell>
          <cell r="G1552">
            <v>0</v>
          </cell>
          <cell r="H1552">
            <v>0</v>
          </cell>
          <cell r="I1552">
            <v>0</v>
          </cell>
          <cell r="J1552">
            <v>0</v>
          </cell>
        </row>
        <row r="1553">
          <cell r="B1553" t="str">
            <v>4.1.02.02.17</v>
          </cell>
          <cell r="C1553" t="str">
            <v>Retribusi Pelayanan Tempat Rekreasi, Pariwisata, dan Olahraga</v>
          </cell>
          <cell r="D1553">
            <v>0</v>
          </cell>
          <cell r="E1553">
            <v>0</v>
          </cell>
          <cell r="F1553">
            <v>0</v>
          </cell>
          <cell r="G1553">
            <v>0</v>
          </cell>
          <cell r="H1553">
            <v>0</v>
          </cell>
          <cell r="I1553">
            <v>0</v>
          </cell>
          <cell r="J1553">
            <v>0</v>
          </cell>
        </row>
        <row r="1554">
          <cell r="B1554" t="str">
            <v>4.1.02.02.18</v>
          </cell>
          <cell r="C1554" t="str">
            <v>Retribusi Pelayanan Penyeberangan Orang atau Barang dengan Menggunakan Kendaraan di Air</v>
          </cell>
          <cell r="D1554">
            <v>0</v>
          </cell>
          <cell r="E1554">
            <v>0</v>
          </cell>
          <cell r="F1554">
            <v>0</v>
          </cell>
          <cell r="G1554">
            <v>0</v>
          </cell>
          <cell r="H1554">
            <v>0</v>
          </cell>
          <cell r="I1554">
            <v>0</v>
          </cell>
          <cell r="J1554">
            <v>0</v>
          </cell>
        </row>
        <row r="1555">
          <cell r="B1555" t="str">
            <v>4.1.02.02.19</v>
          </cell>
          <cell r="C1555" t="str">
            <v>Retribusi Penjualan Hasil Produksi Usaha Pemerintah Daerah</v>
          </cell>
          <cell r="D1555">
            <v>0</v>
          </cell>
          <cell r="E1555">
            <v>0</v>
          </cell>
          <cell r="F1555">
            <v>0</v>
          </cell>
          <cell r="G1555">
            <v>0</v>
          </cell>
          <cell r="H1555">
            <v>0</v>
          </cell>
          <cell r="I1555">
            <v>0</v>
          </cell>
          <cell r="J1555">
            <v>0</v>
          </cell>
        </row>
        <row r="1556">
          <cell r="B1556" t="str">
            <v>4.1.02.02.20</v>
          </cell>
          <cell r="C1556" t="str">
            <v>Retribusi Pemanfaatan Aset Daerah</v>
          </cell>
          <cell r="D1556">
            <v>0</v>
          </cell>
          <cell r="E1556">
            <v>0</v>
          </cell>
          <cell r="F1556">
            <v>0</v>
          </cell>
          <cell r="G1556">
            <v>0</v>
          </cell>
          <cell r="H1556">
            <v>0</v>
          </cell>
          <cell r="I1556">
            <v>0</v>
          </cell>
          <cell r="J1556">
            <v>0</v>
          </cell>
        </row>
        <row r="1557">
          <cell r="B1557" t="str">
            <v>4.1.02.03</v>
          </cell>
          <cell r="C1557" t="str">
            <v>Retribusi Perizinan Tertentu</v>
          </cell>
          <cell r="D1557">
            <v>3506965063</v>
          </cell>
          <cell r="E1557">
            <v>4727116474</v>
          </cell>
          <cell r="F1557"/>
          <cell r="G1557"/>
          <cell r="H1557"/>
          <cell r="I1557"/>
          <cell r="J1557">
            <v>4727116474</v>
          </cell>
        </row>
        <row r="1558">
          <cell r="B1558" t="str">
            <v>4.1.02.03.01</v>
          </cell>
          <cell r="C1558" t="str">
            <v>Retribusi Izin Mendirikan Bangunan</v>
          </cell>
          <cell r="D1558">
            <v>0</v>
          </cell>
          <cell r="E1558">
            <v>0</v>
          </cell>
          <cell r="F1558">
            <v>0</v>
          </cell>
          <cell r="G1558">
            <v>0</v>
          </cell>
          <cell r="H1558">
            <v>0</v>
          </cell>
          <cell r="I1558">
            <v>0</v>
          </cell>
          <cell r="J1558">
            <v>0</v>
          </cell>
        </row>
        <row r="1559">
          <cell r="B1559" t="str">
            <v>4.1.02.03.02</v>
          </cell>
          <cell r="C1559" t="str">
            <v>Retribusi Izin Tempat Penjualan Minuman Beralkohol</v>
          </cell>
          <cell r="D1559">
            <v>0</v>
          </cell>
          <cell r="E1559">
            <v>0</v>
          </cell>
          <cell r="F1559">
            <v>0</v>
          </cell>
          <cell r="G1559">
            <v>0</v>
          </cell>
          <cell r="H1559">
            <v>0</v>
          </cell>
          <cell r="I1559">
            <v>0</v>
          </cell>
          <cell r="J1559">
            <v>0</v>
          </cell>
        </row>
        <row r="1560">
          <cell r="B1560" t="str">
            <v>4.1.02.03.03</v>
          </cell>
          <cell r="C1560" t="str">
            <v>Retribusi Izin Trayek untuk Menyediakan Pelayanan Angkutan Umum</v>
          </cell>
          <cell r="D1560">
            <v>0</v>
          </cell>
          <cell r="E1560">
            <v>0</v>
          </cell>
          <cell r="F1560">
            <v>0</v>
          </cell>
          <cell r="G1560">
            <v>0</v>
          </cell>
          <cell r="H1560">
            <v>0</v>
          </cell>
          <cell r="I1560">
            <v>0</v>
          </cell>
          <cell r="J1560">
            <v>0</v>
          </cell>
        </row>
        <row r="1561">
          <cell r="B1561" t="str">
            <v>4.1.02.03.04</v>
          </cell>
          <cell r="C1561" t="str">
            <v>Retribusi Izin Usaha Perikanan</v>
          </cell>
          <cell r="D1561">
            <v>0</v>
          </cell>
          <cell r="E1561">
            <v>0</v>
          </cell>
          <cell r="F1561">
            <v>0</v>
          </cell>
          <cell r="G1561">
            <v>0</v>
          </cell>
          <cell r="H1561">
            <v>0</v>
          </cell>
          <cell r="I1561">
            <v>0</v>
          </cell>
          <cell r="J1561">
            <v>0</v>
          </cell>
        </row>
        <row r="1562">
          <cell r="B1562" t="str">
            <v>4.1.02.03.05</v>
          </cell>
          <cell r="C1562" t="str">
            <v>Retribusi Pengendalian Lalu Lintas</v>
          </cell>
          <cell r="D1562">
            <v>0</v>
          </cell>
          <cell r="E1562">
            <v>0</v>
          </cell>
          <cell r="F1562">
            <v>0</v>
          </cell>
          <cell r="G1562">
            <v>0</v>
          </cell>
          <cell r="H1562">
            <v>0</v>
          </cell>
          <cell r="I1562">
            <v>0</v>
          </cell>
          <cell r="J1562">
            <v>0</v>
          </cell>
        </row>
        <row r="1563">
          <cell r="B1563" t="str">
            <v>4.1.02.03.06</v>
          </cell>
          <cell r="C1563" t="str">
            <v>Retribusi Perpanjangan Izin Mempekerjakan Tenaga Kerja Asing (IMTA)</v>
          </cell>
          <cell r="D1563">
            <v>0</v>
          </cell>
          <cell r="E1563">
            <v>0</v>
          </cell>
          <cell r="F1563">
            <v>0</v>
          </cell>
          <cell r="G1563">
            <v>0</v>
          </cell>
          <cell r="H1563">
            <v>0</v>
          </cell>
          <cell r="I1563">
            <v>0</v>
          </cell>
          <cell r="J1563">
            <v>0</v>
          </cell>
        </row>
        <row r="1564">
          <cell r="B1564" t="str">
            <v>4.1.02.03.07</v>
          </cell>
          <cell r="C1564" t="str">
            <v>Retribusi Persetujuan Bangunan Gedung</v>
          </cell>
          <cell r="D1564">
            <v>221117935</v>
          </cell>
          <cell r="E1564">
            <v>257978919</v>
          </cell>
          <cell r="F1564">
            <v>0</v>
          </cell>
          <cell r="G1564">
            <v>0</v>
          </cell>
          <cell r="H1564">
            <v>0</v>
          </cell>
          <cell r="I1564">
            <v>0</v>
          </cell>
          <cell r="J1564">
            <v>257978919</v>
          </cell>
        </row>
        <row r="1565">
          <cell r="B1565" t="str">
            <v>4.1.02.03.08</v>
          </cell>
          <cell r="C1565" t="str">
            <v>Retribusi Penggunaan Tenaga Kerja Asing (TKA)</v>
          </cell>
          <cell r="D1565">
            <v>3285847128</v>
          </cell>
          <cell r="E1565">
            <v>4469137555</v>
          </cell>
          <cell r="F1565">
            <v>0</v>
          </cell>
          <cell r="G1565">
            <v>0</v>
          </cell>
          <cell r="H1565">
            <v>0</v>
          </cell>
          <cell r="I1565">
            <v>0</v>
          </cell>
          <cell r="J1565">
            <v>4469137555</v>
          </cell>
        </row>
        <row r="1566">
          <cell r="B1566" t="str">
            <v>4.1.02.03.09</v>
          </cell>
          <cell r="C1566" t="str">
            <v>Retribusi Pertambangan Rakyat</v>
          </cell>
          <cell r="D1566">
            <v>0</v>
          </cell>
          <cell r="E1566">
            <v>0</v>
          </cell>
          <cell r="F1566">
            <v>0</v>
          </cell>
          <cell r="G1566">
            <v>0</v>
          </cell>
          <cell r="H1566">
            <v>0</v>
          </cell>
          <cell r="I1566">
            <v>0</v>
          </cell>
          <cell r="J1566">
            <v>0</v>
          </cell>
        </row>
        <row r="1567">
          <cell r="B1567"/>
          <cell r="C1567"/>
          <cell r="D1567">
            <v>0</v>
          </cell>
          <cell r="E1567">
            <v>0</v>
          </cell>
          <cell r="F1567"/>
          <cell r="G1567"/>
          <cell r="H1567"/>
          <cell r="I1567"/>
          <cell r="J1567"/>
        </row>
        <row r="1568">
          <cell r="B1568" t="str">
            <v>4.1.03</v>
          </cell>
          <cell r="C1568" t="str">
            <v>Hasil Pengelolaan Kekayaan Daerah yang Dipisahkan</v>
          </cell>
          <cell r="D1568">
            <v>7673963553</v>
          </cell>
          <cell r="E1568">
            <v>7754789855</v>
          </cell>
          <cell r="F1568"/>
          <cell r="G1568"/>
          <cell r="H1568"/>
          <cell r="I1568"/>
          <cell r="J1568">
            <v>7754789855</v>
          </cell>
        </row>
        <row r="1569">
          <cell r="B1569" t="str">
            <v>4.1.03.01</v>
          </cell>
          <cell r="C1569" t="str">
            <v>Bagian Laba yang Dibagikan kepada Pemerintah Daerah (Dividen) atas Penyertaan Modal pada BUMN</v>
          </cell>
          <cell r="D1569">
            <v>0</v>
          </cell>
          <cell r="E1569">
            <v>0</v>
          </cell>
          <cell r="F1569"/>
          <cell r="G1569"/>
          <cell r="H1569"/>
          <cell r="I1569"/>
          <cell r="J1569">
            <v>0</v>
          </cell>
        </row>
        <row r="1570">
          <cell r="B1570" t="str">
            <v>4.1.03.01.01</v>
          </cell>
          <cell r="C1570" t="str">
            <v>Bagian Laba yang Dibagikan kepada Pemerintah Daerah (Dividen) atas Penyertaan Modal pada BUMN</v>
          </cell>
          <cell r="D1570">
            <v>0</v>
          </cell>
          <cell r="E1570">
            <v>0</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7673963553</v>
          </cell>
          <cell r="E1571">
            <v>7754789855</v>
          </cell>
          <cell r="F1571"/>
          <cell r="G1571"/>
          <cell r="H1571"/>
          <cell r="I1571"/>
          <cell r="J1571">
            <v>7754789855</v>
          </cell>
        </row>
        <row r="1572">
          <cell r="B1572" t="str">
            <v>4.1.03.02.01</v>
          </cell>
          <cell r="C1572" t="str">
            <v>Bagian Laba yang Dibagikan kepada Pemerintah Daerah (Dividen) atas Penyertaan Modal pada BUMD (Lembaga Keuangan)</v>
          </cell>
          <cell r="D1572">
            <v>7673963553</v>
          </cell>
          <cell r="E1572">
            <v>7754789855</v>
          </cell>
          <cell r="F1572">
            <v>0</v>
          </cell>
          <cell r="G1572">
            <v>0</v>
          </cell>
          <cell r="H1572">
            <v>0</v>
          </cell>
          <cell r="I1572">
            <v>0</v>
          </cell>
          <cell r="J1572">
            <v>7754789855</v>
          </cell>
        </row>
        <row r="1573">
          <cell r="B1573" t="str">
            <v>4.1.03.02.02</v>
          </cell>
          <cell r="C1573" t="str">
            <v>Bagian Laba yang Dibagikan kepada Pemerintah Daerah (Dividen) atas Penyertaan Modal pada BUMD (Aneka Usaha)</v>
          </cell>
          <cell r="D1573">
            <v>0</v>
          </cell>
          <cell r="E1573">
            <v>0</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D1574">
            <v>0</v>
          </cell>
          <cell r="E1574">
            <v>0</v>
          </cell>
          <cell r="F1574">
            <v>0</v>
          </cell>
          <cell r="G1574">
            <v>0</v>
          </cell>
          <cell r="H1574">
            <v>0</v>
          </cell>
          <cell r="I1574">
            <v>0</v>
          </cell>
          <cell r="J1574">
            <v>0</v>
          </cell>
        </row>
        <row r="1575">
          <cell r="B1575" t="str">
            <v>4.1.03.02.04</v>
          </cell>
          <cell r="C1575" t="str">
            <v>Bagian Laba yang Dibagikan kepada Pemerintah Daerah (Dividen) atas Penyertaan Modal pada BUMD (Bidang Limbah)</v>
          </cell>
          <cell r="D1575">
            <v>0</v>
          </cell>
          <cell r="E1575">
            <v>0</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D1576">
            <v>0</v>
          </cell>
          <cell r="E1576">
            <v>0</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F1577"/>
          <cell r="G1577"/>
          <cell r="H1577"/>
          <cell r="I1577"/>
          <cell r="J1577">
            <v>0</v>
          </cell>
        </row>
        <row r="1578">
          <cell r="B1578" t="str">
            <v>4.1.03.03.01</v>
          </cell>
          <cell r="C1578" t="str">
            <v>Bagian Laba yang Dibagikan kepada Pemerintah Daerah (Dividen) atas Penyertaan Modal pada Perusahaan Milik Swasta</v>
          </cell>
          <cell r="D1578">
            <v>0</v>
          </cell>
          <cell r="E1578">
            <v>0</v>
          </cell>
          <cell r="F1578">
            <v>0</v>
          </cell>
          <cell r="G1578">
            <v>0</v>
          </cell>
          <cell r="H1578">
            <v>0</v>
          </cell>
          <cell r="I1578">
            <v>0</v>
          </cell>
          <cell r="J1578">
            <v>0</v>
          </cell>
        </row>
        <row r="1579">
          <cell r="B1579"/>
          <cell r="C1579"/>
          <cell r="D1579"/>
          <cell r="E1579"/>
          <cell r="F1579"/>
          <cell r="G1579"/>
          <cell r="H1579"/>
          <cell r="I1579"/>
          <cell r="J1579"/>
        </row>
        <row r="1580">
          <cell r="B1580" t="str">
            <v>4.1.04</v>
          </cell>
          <cell r="C1580" t="str">
            <v>Lain-lain PAD yang Sah</v>
          </cell>
          <cell r="D1580">
            <v>88265357446.809998</v>
          </cell>
          <cell r="E1580">
            <v>95100103269.440002</v>
          </cell>
          <cell r="F1580"/>
          <cell r="G1580"/>
          <cell r="H1580"/>
          <cell r="I1580"/>
          <cell r="J1580">
            <v>95100103269.440002</v>
          </cell>
        </row>
        <row r="1581">
          <cell r="B1581" t="str">
            <v>4.1.04.01</v>
          </cell>
          <cell r="C1581" t="str">
            <v>Hasil Penjualan BMD yang Tidak Dipisahkan</v>
          </cell>
          <cell r="D1581">
            <v>0</v>
          </cell>
          <cell r="E1581">
            <v>606468577</v>
          </cell>
          <cell r="F1581"/>
          <cell r="G1581"/>
          <cell r="H1581"/>
          <cell r="I1581"/>
          <cell r="J1581">
            <v>606468577</v>
          </cell>
        </row>
        <row r="1582">
          <cell r="B1582" t="str">
            <v>4.1.04.01.01</v>
          </cell>
          <cell r="C1582" t="str">
            <v>Hasil Penjualan Tanah</v>
          </cell>
          <cell r="D1582">
            <v>0</v>
          </cell>
          <cell r="E1582">
            <v>181170000</v>
          </cell>
          <cell r="F1582">
            <v>0</v>
          </cell>
          <cell r="G1582">
            <v>0</v>
          </cell>
          <cell r="H1582">
            <v>0</v>
          </cell>
          <cell r="I1582">
            <v>0</v>
          </cell>
          <cell r="J1582">
            <v>181170000</v>
          </cell>
        </row>
        <row r="1583">
          <cell r="B1583" t="str">
            <v>4.1.04.01.02</v>
          </cell>
          <cell r="C1583" t="str">
            <v>Hasil Penjualan Peralatan dan Mesin</v>
          </cell>
          <cell r="D1583">
            <v>0</v>
          </cell>
          <cell r="E1583">
            <v>49965577</v>
          </cell>
          <cell r="F1583">
            <v>0</v>
          </cell>
          <cell r="G1583">
            <v>0</v>
          </cell>
          <cell r="H1583">
            <v>0</v>
          </cell>
          <cell r="I1583">
            <v>0</v>
          </cell>
          <cell r="J1583">
            <v>49965577</v>
          </cell>
        </row>
        <row r="1584">
          <cell r="B1584" t="str">
            <v>4.1.04.01.03</v>
          </cell>
          <cell r="C1584" t="str">
            <v>Hasil Penjualan Gedung dan Bangunan</v>
          </cell>
          <cell r="D1584">
            <v>0</v>
          </cell>
          <cell r="E1584">
            <v>0</v>
          </cell>
          <cell r="F1584">
            <v>0</v>
          </cell>
          <cell r="G1584">
            <v>0</v>
          </cell>
          <cell r="H1584">
            <v>0</v>
          </cell>
          <cell r="I1584">
            <v>0</v>
          </cell>
          <cell r="J1584">
            <v>0</v>
          </cell>
        </row>
        <row r="1585">
          <cell r="B1585" t="str">
            <v>4.1.04.01.04</v>
          </cell>
          <cell r="C1585" t="str">
            <v>Hasil Penjualan Jalan, Jaringan, dan Irigasi</v>
          </cell>
          <cell r="D1585">
            <v>0</v>
          </cell>
          <cell r="E1585">
            <v>0</v>
          </cell>
          <cell r="F1585">
            <v>0</v>
          </cell>
          <cell r="G1585">
            <v>0</v>
          </cell>
          <cell r="H1585">
            <v>0</v>
          </cell>
          <cell r="I1585">
            <v>0</v>
          </cell>
          <cell r="J1585">
            <v>0</v>
          </cell>
        </row>
        <row r="1586">
          <cell r="B1586" t="str">
            <v>4.1.04.01.05</v>
          </cell>
          <cell r="C1586" t="str">
            <v>Hasil Penjualan Aset Tetap Lainnya</v>
          </cell>
          <cell r="D1586">
            <v>0</v>
          </cell>
          <cell r="E1586">
            <v>0</v>
          </cell>
          <cell r="F1586">
            <v>0</v>
          </cell>
          <cell r="G1586">
            <v>0</v>
          </cell>
          <cell r="H1586">
            <v>0</v>
          </cell>
          <cell r="I1586">
            <v>0</v>
          </cell>
          <cell r="J1586">
            <v>0</v>
          </cell>
        </row>
        <row r="1587">
          <cell r="B1587" t="str">
            <v>4.1.04.01.06</v>
          </cell>
          <cell r="C1587" t="str">
            <v>Hasil Penjualan Aset Lainnya</v>
          </cell>
          <cell r="D1587">
            <v>0</v>
          </cell>
          <cell r="E1587">
            <v>0</v>
          </cell>
          <cell r="F1587">
            <v>0</v>
          </cell>
          <cell r="G1587">
            <v>0</v>
          </cell>
          <cell r="H1587">
            <v>0</v>
          </cell>
          <cell r="I1587">
            <v>0</v>
          </cell>
          <cell r="J1587">
            <v>0</v>
          </cell>
        </row>
        <row r="1588">
          <cell r="B1588" t="str">
            <v>4.1.04.01.07</v>
          </cell>
          <cell r="C1588" t="str">
            <v>Hasil Penjualan Aset Tidak Berwujud</v>
          </cell>
          <cell r="D1588">
            <v>0</v>
          </cell>
          <cell r="E1588">
            <v>0</v>
          </cell>
          <cell r="F1588">
            <v>0</v>
          </cell>
          <cell r="G1588">
            <v>0</v>
          </cell>
          <cell r="H1588">
            <v>0</v>
          </cell>
          <cell r="I1588">
            <v>0</v>
          </cell>
          <cell r="J1588">
            <v>0</v>
          </cell>
        </row>
        <row r="1589">
          <cell r="B1589" t="str">
            <v>4.1.04.01.08</v>
          </cell>
          <cell r="C1589" t="str">
            <v>Hasil Penjualan Aset Lain-Lain</v>
          </cell>
          <cell r="D1589">
            <v>0</v>
          </cell>
          <cell r="E1589">
            <v>375333000</v>
          </cell>
          <cell r="F1589">
            <v>0</v>
          </cell>
          <cell r="G1589">
            <v>0</v>
          </cell>
          <cell r="H1589">
            <v>0</v>
          </cell>
          <cell r="I1589">
            <v>0</v>
          </cell>
          <cell r="J1589">
            <v>375333000</v>
          </cell>
        </row>
        <row r="1590">
          <cell r="B1590" t="str">
            <v>4.1.04.02</v>
          </cell>
          <cell r="C1590" t="str">
            <v>Hasil Selisih Lebih Tukar Menukar BMD yang Tidak Dipisahkan</v>
          </cell>
          <cell r="D1590">
            <v>0</v>
          </cell>
          <cell r="E1590">
            <v>0</v>
          </cell>
          <cell r="F1590"/>
          <cell r="G1590"/>
          <cell r="H1590"/>
          <cell r="I1590"/>
          <cell r="J1590">
            <v>0</v>
          </cell>
        </row>
        <row r="1591">
          <cell r="B1591" t="str">
            <v>4.1.04.02.01</v>
          </cell>
          <cell r="C1591" t="str">
            <v>Hasil Selisih Lebih Tukar Menukar Tanah</v>
          </cell>
          <cell r="D1591">
            <v>0</v>
          </cell>
          <cell r="E1591">
            <v>0</v>
          </cell>
          <cell r="F1591">
            <v>0</v>
          </cell>
          <cell r="G1591">
            <v>0</v>
          </cell>
          <cell r="H1591">
            <v>0</v>
          </cell>
          <cell r="I1591">
            <v>0</v>
          </cell>
          <cell r="J1591">
            <v>0</v>
          </cell>
        </row>
        <row r="1592">
          <cell r="B1592" t="str">
            <v>4.1.04.02.02</v>
          </cell>
          <cell r="C1592" t="str">
            <v>Hasil Selisih Lebih Tukar Menukar Peralatan dan Mesin</v>
          </cell>
          <cell r="D1592">
            <v>0</v>
          </cell>
          <cell r="E1592">
            <v>0</v>
          </cell>
          <cell r="F1592">
            <v>0</v>
          </cell>
          <cell r="G1592">
            <v>0</v>
          </cell>
          <cell r="H1592">
            <v>0</v>
          </cell>
          <cell r="I1592">
            <v>0</v>
          </cell>
          <cell r="J1592">
            <v>0</v>
          </cell>
        </row>
        <row r="1593">
          <cell r="B1593" t="str">
            <v>4.1.04.02.03</v>
          </cell>
          <cell r="C1593" t="str">
            <v>Hasil Selisih Lebih Tukar Menukar Gedung dan Bangunan</v>
          </cell>
          <cell r="D1593">
            <v>0</v>
          </cell>
          <cell r="E1593">
            <v>0</v>
          </cell>
          <cell r="F1593">
            <v>0</v>
          </cell>
          <cell r="G1593">
            <v>0</v>
          </cell>
          <cell r="H1593">
            <v>0</v>
          </cell>
          <cell r="I1593">
            <v>0</v>
          </cell>
          <cell r="J1593">
            <v>0</v>
          </cell>
        </row>
        <row r="1594">
          <cell r="B1594" t="str">
            <v>4.1.04.02.04</v>
          </cell>
          <cell r="C1594" t="str">
            <v>Hasil Selisih Lebih Tukar Menukar Jalan, Jaringan, dan Irigasi</v>
          </cell>
          <cell r="D1594">
            <v>0</v>
          </cell>
          <cell r="E1594">
            <v>0</v>
          </cell>
          <cell r="F1594">
            <v>0</v>
          </cell>
          <cell r="G1594">
            <v>0</v>
          </cell>
          <cell r="H1594">
            <v>0</v>
          </cell>
          <cell r="I1594">
            <v>0</v>
          </cell>
          <cell r="J1594">
            <v>0</v>
          </cell>
        </row>
        <row r="1595">
          <cell r="B1595" t="str">
            <v>4.1.04.02.05</v>
          </cell>
          <cell r="C1595" t="str">
            <v>Hasil Selisih Lebih Tukar Menukar Aset Tetap Lainnya</v>
          </cell>
          <cell r="D1595">
            <v>0</v>
          </cell>
          <cell r="E1595">
            <v>0</v>
          </cell>
          <cell r="F1595">
            <v>0</v>
          </cell>
          <cell r="G1595">
            <v>0</v>
          </cell>
          <cell r="H1595">
            <v>0</v>
          </cell>
          <cell r="I1595">
            <v>0</v>
          </cell>
          <cell r="J1595">
            <v>0</v>
          </cell>
        </row>
        <row r="1596">
          <cell r="B1596" t="str">
            <v>4.1.04.02.06</v>
          </cell>
          <cell r="C1596" t="str">
            <v>Hasil Selisih Lebih Tukar Menukar Aset Lainnya</v>
          </cell>
          <cell r="D1596">
            <v>0</v>
          </cell>
          <cell r="E1596">
            <v>0</v>
          </cell>
          <cell r="F1596">
            <v>0</v>
          </cell>
          <cell r="G1596">
            <v>0</v>
          </cell>
          <cell r="H1596">
            <v>0</v>
          </cell>
          <cell r="I1596">
            <v>0</v>
          </cell>
          <cell r="J1596">
            <v>0</v>
          </cell>
        </row>
        <row r="1597">
          <cell r="B1597" t="str">
            <v>4.1.04.02.07</v>
          </cell>
          <cell r="C1597" t="str">
            <v>Hasil Selisih Lebih Tukar Menukar Aset Tidak Berwujud</v>
          </cell>
          <cell r="D1597">
            <v>0</v>
          </cell>
          <cell r="E1597">
            <v>0</v>
          </cell>
          <cell r="F1597">
            <v>0</v>
          </cell>
          <cell r="G1597">
            <v>0</v>
          </cell>
          <cell r="H1597">
            <v>0</v>
          </cell>
          <cell r="I1597">
            <v>0</v>
          </cell>
          <cell r="J1597">
            <v>0</v>
          </cell>
        </row>
        <row r="1598">
          <cell r="B1598" t="str">
            <v>4.1.04.02.08</v>
          </cell>
          <cell r="C1598" t="str">
            <v>Hasil Selisih Lebih Tukar Menukar Aset Lain-Lain</v>
          </cell>
          <cell r="D1598">
            <v>0</v>
          </cell>
          <cell r="E1598">
            <v>0</v>
          </cell>
          <cell r="F1598">
            <v>0</v>
          </cell>
          <cell r="G1598">
            <v>0</v>
          </cell>
          <cell r="H1598">
            <v>0</v>
          </cell>
          <cell r="I1598">
            <v>0</v>
          </cell>
          <cell r="J1598">
            <v>0</v>
          </cell>
        </row>
        <row r="1599">
          <cell r="B1599" t="str">
            <v>4.1.04.03</v>
          </cell>
          <cell r="C1599" t="str">
            <v>Hasil Pemanfaatan BMD yang Tidak Dipisahkan</v>
          </cell>
          <cell r="D1599">
            <v>0</v>
          </cell>
          <cell r="E1599">
            <v>0</v>
          </cell>
          <cell r="F1599"/>
          <cell r="G1599"/>
          <cell r="H1599"/>
          <cell r="I1599"/>
          <cell r="J1599">
            <v>0</v>
          </cell>
        </row>
        <row r="1600">
          <cell r="B1600" t="str">
            <v>4.1.04.03.01</v>
          </cell>
          <cell r="C1600" t="str">
            <v>Hasil Sewa BMD</v>
          </cell>
          <cell r="D1600">
            <v>0</v>
          </cell>
          <cell r="E1600">
            <v>0</v>
          </cell>
          <cell r="F1600">
            <v>0</v>
          </cell>
          <cell r="G1600">
            <v>0</v>
          </cell>
          <cell r="H1600">
            <v>0</v>
          </cell>
          <cell r="I1600">
            <v>0</v>
          </cell>
          <cell r="J1600">
            <v>0</v>
          </cell>
        </row>
        <row r="1601">
          <cell r="B1601" t="str">
            <v>4.1.04.03.02</v>
          </cell>
          <cell r="C1601" t="str">
            <v>Hasil Kerja Sama Pemanfaatan BMD</v>
          </cell>
          <cell r="D1601">
            <v>0</v>
          </cell>
          <cell r="E1601">
            <v>0</v>
          </cell>
          <cell r="F1601">
            <v>0</v>
          </cell>
          <cell r="G1601">
            <v>0</v>
          </cell>
          <cell r="H1601">
            <v>0</v>
          </cell>
          <cell r="I1601">
            <v>0</v>
          </cell>
          <cell r="J1601">
            <v>0</v>
          </cell>
        </row>
        <row r="1602">
          <cell r="B1602" t="str">
            <v>4.1.04.03.03</v>
          </cell>
          <cell r="C1602" t="str">
            <v>Hasil dari Bangun Guna Serah</v>
          </cell>
          <cell r="D1602">
            <v>0</v>
          </cell>
          <cell r="E1602">
            <v>0</v>
          </cell>
          <cell r="F1602">
            <v>0</v>
          </cell>
          <cell r="G1602">
            <v>0</v>
          </cell>
          <cell r="H1602">
            <v>0</v>
          </cell>
          <cell r="I1602">
            <v>0</v>
          </cell>
          <cell r="J1602">
            <v>0</v>
          </cell>
        </row>
        <row r="1603">
          <cell r="B1603" t="str">
            <v>4.1.04.03.04</v>
          </cell>
          <cell r="C1603" t="str">
            <v>Hasil dari Bangun Serah Guna</v>
          </cell>
          <cell r="D1603">
            <v>0</v>
          </cell>
          <cell r="E1603">
            <v>0</v>
          </cell>
          <cell r="F1603">
            <v>0</v>
          </cell>
          <cell r="G1603">
            <v>0</v>
          </cell>
          <cell r="H1603">
            <v>0</v>
          </cell>
          <cell r="I1603">
            <v>0</v>
          </cell>
          <cell r="J1603">
            <v>0</v>
          </cell>
        </row>
        <row r="1604">
          <cell r="B1604" t="str">
            <v>4.1.04.03.05</v>
          </cell>
          <cell r="C1604" t="str">
            <v>Hasil dari Kerja Sama Penyediaan Infrastruktur</v>
          </cell>
          <cell r="D1604">
            <v>0</v>
          </cell>
          <cell r="E1604">
            <v>0</v>
          </cell>
          <cell r="F1604">
            <v>0</v>
          </cell>
          <cell r="G1604">
            <v>0</v>
          </cell>
          <cell r="H1604">
            <v>0</v>
          </cell>
          <cell r="I1604">
            <v>0</v>
          </cell>
          <cell r="J1604">
            <v>0</v>
          </cell>
        </row>
        <row r="1605">
          <cell r="B1605" t="str">
            <v>4.1.04.04</v>
          </cell>
          <cell r="C1605" t="str">
            <v>Hasil Kerja Sama Daerah</v>
          </cell>
          <cell r="D1605">
            <v>0</v>
          </cell>
          <cell r="E1605">
            <v>0</v>
          </cell>
          <cell r="F1605"/>
          <cell r="G1605"/>
          <cell r="H1605"/>
          <cell r="I1605"/>
          <cell r="J1605">
            <v>0</v>
          </cell>
        </row>
        <row r="1606">
          <cell r="B1606" t="str">
            <v>4.1.04.04.01</v>
          </cell>
          <cell r="C1606" t="str">
            <v>Hasil Kerja Sama Daerah</v>
          </cell>
          <cell r="D1606">
            <v>0</v>
          </cell>
          <cell r="E1606">
            <v>0</v>
          </cell>
          <cell r="F1606">
            <v>0</v>
          </cell>
          <cell r="G1606">
            <v>0</v>
          </cell>
          <cell r="H1606">
            <v>0</v>
          </cell>
          <cell r="I1606">
            <v>0</v>
          </cell>
          <cell r="J1606">
            <v>0</v>
          </cell>
        </row>
        <row r="1607">
          <cell r="B1607" t="str">
            <v>4.1.04.05</v>
          </cell>
          <cell r="C1607" t="str">
            <v>Jasa Giro</v>
          </cell>
          <cell r="D1607">
            <v>26120048091.810001</v>
          </cell>
          <cell r="E1607">
            <v>24260754002.98</v>
          </cell>
          <cell r="F1607"/>
          <cell r="G1607"/>
          <cell r="H1607"/>
          <cell r="I1607"/>
          <cell r="J1607">
            <v>24260754002.98</v>
          </cell>
        </row>
        <row r="1608">
          <cell r="B1608" t="str">
            <v>4.1.04.05.01</v>
          </cell>
          <cell r="C1608" t="str">
            <v>Jasa Giro pada Kas Daerah</v>
          </cell>
          <cell r="D1608">
            <v>26005611310.720001</v>
          </cell>
          <cell r="E1608">
            <v>24191417348.369999</v>
          </cell>
          <cell r="F1608">
            <v>0</v>
          </cell>
          <cell r="G1608">
            <v>0</v>
          </cell>
          <cell r="H1608">
            <v>0</v>
          </cell>
          <cell r="I1608">
            <v>0</v>
          </cell>
          <cell r="J1608">
            <v>24191417348.369999</v>
          </cell>
        </row>
        <row r="1609">
          <cell r="B1609" t="str">
            <v>4.1.04.05.02</v>
          </cell>
          <cell r="C1609" t="str">
            <v>Jasa Giro pada Kas di Bendahara</v>
          </cell>
          <cell r="D1609">
            <v>114436781.09</v>
          </cell>
          <cell r="E1609">
            <v>69336654.609999999</v>
          </cell>
          <cell r="F1609">
            <v>0</v>
          </cell>
          <cell r="G1609">
            <v>0</v>
          </cell>
          <cell r="H1609">
            <v>0</v>
          </cell>
          <cell r="I1609">
            <v>0</v>
          </cell>
          <cell r="J1609">
            <v>69336654.609999999</v>
          </cell>
        </row>
        <row r="1610">
          <cell r="B1610" t="str">
            <v>4.1.04.05.03</v>
          </cell>
          <cell r="C1610" t="str">
            <v>Jasa Giro pada Rekening Dana Cadangan</v>
          </cell>
          <cell r="D1610">
            <v>0</v>
          </cell>
          <cell r="E1610">
            <v>0</v>
          </cell>
          <cell r="F1610">
            <v>0</v>
          </cell>
          <cell r="G1610">
            <v>0</v>
          </cell>
          <cell r="H1610">
            <v>0</v>
          </cell>
          <cell r="I1610">
            <v>0</v>
          </cell>
          <cell r="J1610">
            <v>0</v>
          </cell>
        </row>
        <row r="1611">
          <cell r="B1611" t="str">
            <v>4.1.04.05.04</v>
          </cell>
          <cell r="C1611" t="str">
            <v>Jasa Giro pada Rekening Dana BOS</v>
          </cell>
          <cell r="D1611">
            <v>0</v>
          </cell>
          <cell r="E1611">
            <v>0</v>
          </cell>
          <cell r="F1611">
            <v>0</v>
          </cell>
          <cell r="G1611">
            <v>0</v>
          </cell>
          <cell r="H1611">
            <v>0</v>
          </cell>
          <cell r="I1611">
            <v>0</v>
          </cell>
          <cell r="J1611">
            <v>0</v>
          </cell>
        </row>
        <row r="1612">
          <cell r="B1612" t="str">
            <v>4.1.04.05.05</v>
          </cell>
          <cell r="C1612" t="str">
            <v>Jasa Giro Dana Kapitasi pada FKTP</v>
          </cell>
          <cell r="D1612">
            <v>0</v>
          </cell>
          <cell r="E1612">
            <v>0</v>
          </cell>
          <cell r="F1612">
            <v>0</v>
          </cell>
          <cell r="G1612">
            <v>0</v>
          </cell>
          <cell r="H1612">
            <v>0</v>
          </cell>
          <cell r="I1612">
            <v>0</v>
          </cell>
          <cell r="J1612">
            <v>0</v>
          </cell>
        </row>
        <row r="1613">
          <cell r="B1613" t="str">
            <v>4.1.04.05.06</v>
          </cell>
          <cell r="C1613" t="str">
            <v>Pendapatan Jasa Giro pada Rekening Dana BOSP</v>
          </cell>
          <cell r="D1613">
            <v>0</v>
          </cell>
          <cell r="E1613">
            <v>0</v>
          </cell>
          <cell r="F1613">
            <v>0</v>
          </cell>
          <cell r="G1613">
            <v>0</v>
          </cell>
          <cell r="H1613">
            <v>0</v>
          </cell>
          <cell r="I1613">
            <v>0</v>
          </cell>
          <cell r="J1613">
            <v>0</v>
          </cell>
        </row>
        <row r="1614">
          <cell r="B1614" t="str">
            <v>4.1.04.05.07</v>
          </cell>
          <cell r="C1614" t="str">
            <v>Pendapatan Jasa Giro pada Rekening Dana BOK Puskesmas</v>
          </cell>
          <cell r="D1614">
            <v>0</v>
          </cell>
          <cell r="E1614">
            <v>0</v>
          </cell>
          <cell r="F1614">
            <v>0</v>
          </cell>
          <cell r="G1614">
            <v>0</v>
          </cell>
          <cell r="H1614">
            <v>0</v>
          </cell>
          <cell r="I1614">
            <v>0</v>
          </cell>
          <cell r="J1614">
            <v>0</v>
          </cell>
        </row>
        <row r="1615">
          <cell r="B1615" t="str">
            <v>4.1.04.05.08</v>
          </cell>
          <cell r="C1615" t="str">
            <v>Jasa Giro pada Rekening Kas Otonomi Khusus</v>
          </cell>
          <cell r="D1615">
            <v>0</v>
          </cell>
          <cell r="E1615">
            <v>0</v>
          </cell>
          <cell r="F1615">
            <v>0</v>
          </cell>
          <cell r="G1615">
            <v>0</v>
          </cell>
          <cell r="H1615">
            <v>0</v>
          </cell>
          <cell r="I1615">
            <v>0</v>
          </cell>
          <cell r="J1615">
            <v>0</v>
          </cell>
        </row>
        <row r="1616">
          <cell r="B1616" t="str">
            <v>4.1.04.05.09</v>
          </cell>
          <cell r="C1616" t="str">
            <v>Jasa Giro pada Rekening Kas Dana Abadi Daerah</v>
          </cell>
          <cell r="D1616">
            <v>0</v>
          </cell>
          <cell r="E1616">
            <v>0</v>
          </cell>
          <cell r="F1616">
            <v>0</v>
          </cell>
          <cell r="G1616">
            <v>0</v>
          </cell>
          <cell r="H1616">
            <v>0</v>
          </cell>
          <cell r="I1616">
            <v>0</v>
          </cell>
          <cell r="J1616">
            <v>0</v>
          </cell>
        </row>
        <row r="1617">
          <cell r="B1617" t="str">
            <v>4.1.04.06</v>
          </cell>
          <cell r="C1617" t="str">
            <v>Hasil Pengelolaan Dana Bergulir</v>
          </cell>
          <cell r="D1617">
            <v>0</v>
          </cell>
          <cell r="E1617">
            <v>0</v>
          </cell>
          <cell r="F1617"/>
          <cell r="G1617"/>
          <cell r="H1617"/>
          <cell r="I1617"/>
          <cell r="J1617">
            <v>0</v>
          </cell>
        </row>
        <row r="1618">
          <cell r="B1618" t="str">
            <v>4.1.04.06.01</v>
          </cell>
          <cell r="C1618" t="str">
            <v>Hasil Pengelolaan Dana Bergulir</v>
          </cell>
          <cell r="D1618">
            <v>0</v>
          </cell>
          <cell r="E1618">
            <v>0</v>
          </cell>
          <cell r="F1618">
            <v>0</v>
          </cell>
          <cell r="G1618">
            <v>0</v>
          </cell>
          <cell r="H1618">
            <v>0</v>
          </cell>
          <cell r="I1618">
            <v>0</v>
          </cell>
          <cell r="J1618">
            <v>0</v>
          </cell>
        </row>
        <row r="1619">
          <cell r="B1619" t="str">
            <v>4.1.04.07</v>
          </cell>
          <cell r="C1619" t="str">
            <v>Pendapatan Bunga</v>
          </cell>
          <cell r="D1619">
            <v>11619951532.93</v>
          </cell>
          <cell r="E1619">
            <v>13121092383.43</v>
          </cell>
          <cell r="F1619"/>
          <cell r="G1619"/>
          <cell r="H1619"/>
          <cell r="I1619"/>
          <cell r="J1619">
            <v>13121092383.43</v>
          </cell>
        </row>
        <row r="1620">
          <cell r="B1620" t="str">
            <v>4.1.04.07.01</v>
          </cell>
          <cell r="C1620" t="str">
            <v>Pendapatan Bunga atas Penempatan Uang Pemerintah Daerah</v>
          </cell>
          <cell r="D1620">
            <v>11619951532.93</v>
          </cell>
          <cell r="E1620">
            <v>13121092383.43</v>
          </cell>
          <cell r="F1620">
            <v>0</v>
          </cell>
          <cell r="G1620">
            <v>0</v>
          </cell>
          <cell r="H1620">
            <v>0</v>
          </cell>
          <cell r="I1620">
            <v>0</v>
          </cell>
          <cell r="J1620">
            <v>13121092383.43</v>
          </cell>
        </row>
        <row r="1621">
          <cell r="B1621" t="str">
            <v>4.1.04.08</v>
          </cell>
          <cell r="C1621" t="str">
            <v>Penerimaan atas Tuntutan Ganti Kerugian Keuangan Daerah</v>
          </cell>
          <cell r="D1621">
            <v>1470701124</v>
          </cell>
          <cell r="E1621">
            <v>164645125</v>
          </cell>
          <cell r="F1621"/>
          <cell r="G1621"/>
          <cell r="H1621"/>
          <cell r="I1621"/>
          <cell r="J1621">
            <v>164645125</v>
          </cell>
        </row>
        <row r="1622">
          <cell r="B1622" t="str">
            <v>4.1.04.08.01</v>
          </cell>
          <cell r="C1622" t="str">
            <v>Tuntutan Ganti Kerugian Daerah terhadap Bendahara</v>
          </cell>
          <cell r="D1622">
            <v>0</v>
          </cell>
          <cell r="E1622">
            <v>164645125</v>
          </cell>
          <cell r="F1622">
            <v>0</v>
          </cell>
          <cell r="G1622">
            <v>0</v>
          </cell>
          <cell r="H1622">
            <v>0</v>
          </cell>
          <cell r="I1622">
            <v>0</v>
          </cell>
          <cell r="J1622">
            <v>164645125</v>
          </cell>
        </row>
        <row r="1623">
          <cell r="B1623" t="str">
            <v>4.1.04.08.02</v>
          </cell>
          <cell r="C1623" t="str">
            <v>Tuntutan Ganti Kerugian Daerah terhadap Pegawai Negeri Bukan Bendahara atau Pejabat Lain</v>
          </cell>
          <cell r="D1623">
            <v>1470701124</v>
          </cell>
          <cell r="E1623">
            <v>0</v>
          </cell>
          <cell r="F1623">
            <v>0</v>
          </cell>
          <cell r="G1623">
            <v>0</v>
          </cell>
          <cell r="H1623">
            <v>0</v>
          </cell>
          <cell r="I1623">
            <v>0</v>
          </cell>
          <cell r="J1623">
            <v>0</v>
          </cell>
        </row>
        <row r="1624">
          <cell r="B1624" t="str">
            <v>4.1.04.09</v>
          </cell>
          <cell r="C1624" t="str">
            <v>Penerimaan Komisi, Potongan, atau Bentuk Lain</v>
          </cell>
          <cell r="D1624">
            <v>0</v>
          </cell>
          <cell r="E1624">
            <v>0</v>
          </cell>
          <cell r="F1624"/>
          <cell r="G1624"/>
          <cell r="H1624"/>
          <cell r="I1624"/>
          <cell r="J1624">
            <v>0</v>
          </cell>
        </row>
        <row r="1625">
          <cell r="B1625" t="str">
            <v>4.1.04.09.01</v>
          </cell>
          <cell r="C1625" t="str">
            <v>Penerimaan Komisi, Potongan, atau Bentuk Lain</v>
          </cell>
          <cell r="D1625">
            <v>0</v>
          </cell>
          <cell r="E1625">
            <v>0</v>
          </cell>
          <cell r="F1625">
            <v>0</v>
          </cell>
          <cell r="G1625">
            <v>0</v>
          </cell>
          <cell r="H1625">
            <v>0</v>
          </cell>
          <cell r="I1625">
            <v>0</v>
          </cell>
          <cell r="J1625">
            <v>0</v>
          </cell>
        </row>
        <row r="1626">
          <cell r="B1626" t="str">
            <v>4.1.04.10</v>
          </cell>
          <cell r="C1626" t="str">
            <v>Penerimaan Keuntungan dari Selisih Nilai Tukar Rupiah terhadap Mata Uang Asing</v>
          </cell>
          <cell r="D1626">
            <v>0</v>
          </cell>
          <cell r="E1626">
            <v>0</v>
          </cell>
          <cell r="F1626"/>
          <cell r="G1626"/>
          <cell r="H1626"/>
          <cell r="I1626"/>
          <cell r="J1626">
            <v>0</v>
          </cell>
        </row>
        <row r="1627">
          <cell r="B1627" t="str">
            <v>4.1.04.10.01</v>
          </cell>
          <cell r="C1627" t="str">
            <v>Penerimaan Keuntungan dari Selisih Nilai Tukar Rupiah terhadap Mata Uang Asing</v>
          </cell>
          <cell r="D1627">
            <v>0</v>
          </cell>
          <cell r="E1627">
            <v>0</v>
          </cell>
          <cell r="F1627">
            <v>0</v>
          </cell>
          <cell r="G1627">
            <v>0</v>
          </cell>
          <cell r="H1627">
            <v>0</v>
          </cell>
          <cell r="I1627">
            <v>0</v>
          </cell>
          <cell r="J1627">
            <v>0</v>
          </cell>
        </row>
        <row r="1628">
          <cell r="B1628" t="str">
            <v>4.1.04.11</v>
          </cell>
          <cell r="C1628" t="str">
            <v>Pendapatan Denda atas Keterlambatan Pelaksanaan Pekerjaan</v>
          </cell>
          <cell r="D1628">
            <v>1204673874</v>
          </cell>
          <cell r="E1628">
            <v>3087448465</v>
          </cell>
          <cell r="F1628"/>
          <cell r="G1628"/>
          <cell r="H1628"/>
          <cell r="I1628"/>
          <cell r="J1628">
            <v>3087448465</v>
          </cell>
        </row>
        <row r="1629">
          <cell r="B1629" t="str">
            <v>4.1.04.11.01</v>
          </cell>
          <cell r="C1629" t="str">
            <v>Pendapatan Denda atas Keterlambatan Pelaksanaan Pekerjaan</v>
          </cell>
          <cell r="D1629">
            <v>1204673874</v>
          </cell>
          <cell r="E1629">
            <v>3087448465</v>
          </cell>
          <cell r="F1629">
            <v>0</v>
          </cell>
          <cell r="G1629">
            <v>0</v>
          </cell>
          <cell r="H1629">
            <v>0</v>
          </cell>
          <cell r="I1629">
            <v>0</v>
          </cell>
          <cell r="J1629">
            <v>3087448465</v>
          </cell>
        </row>
        <row r="1630">
          <cell r="B1630" t="str">
            <v>4.1.04.12</v>
          </cell>
          <cell r="C1630" t="str">
            <v>Pendapatan Denda Pajak Daerah</v>
          </cell>
          <cell r="D1630">
            <v>211575812</v>
          </cell>
          <cell r="E1630">
            <v>1503092744</v>
          </cell>
          <cell r="F1630"/>
          <cell r="G1630"/>
          <cell r="H1630"/>
          <cell r="I1630"/>
          <cell r="J1630">
            <v>1503092744</v>
          </cell>
        </row>
        <row r="1631">
          <cell r="B1631" t="str">
            <v>4.1.04.12.01</v>
          </cell>
          <cell r="C1631" t="str">
            <v>Pendapatan Denda Pajak Kendaraan Bermotor (PKB)</v>
          </cell>
          <cell r="D1631">
            <v>0</v>
          </cell>
          <cell r="E1631">
            <v>0</v>
          </cell>
          <cell r="F1631">
            <v>0</v>
          </cell>
          <cell r="G1631">
            <v>0</v>
          </cell>
          <cell r="H1631">
            <v>0</v>
          </cell>
          <cell r="I1631">
            <v>0</v>
          </cell>
          <cell r="J1631">
            <v>0</v>
          </cell>
        </row>
        <row r="1632">
          <cell r="B1632" t="str">
            <v>4.1.04.12.02</v>
          </cell>
          <cell r="C1632" t="str">
            <v>Pendapatan Denda Bea Balik Nama Kendaraan Bermotor (BBNKB)</v>
          </cell>
          <cell r="D1632">
            <v>0</v>
          </cell>
          <cell r="E1632">
            <v>0</v>
          </cell>
          <cell r="F1632">
            <v>0</v>
          </cell>
          <cell r="G1632">
            <v>0</v>
          </cell>
          <cell r="H1632">
            <v>0</v>
          </cell>
          <cell r="I1632">
            <v>0</v>
          </cell>
          <cell r="J1632">
            <v>0</v>
          </cell>
        </row>
        <row r="1633">
          <cell r="B1633" t="str">
            <v>4.1.04.12.03</v>
          </cell>
          <cell r="C1633" t="str">
            <v>Pendapatan Denda Pajak Bahan Bakar Kendaraan Bermotor (PBBKB)</v>
          </cell>
          <cell r="D1633">
            <v>0</v>
          </cell>
          <cell r="E1633">
            <v>0</v>
          </cell>
          <cell r="F1633">
            <v>0</v>
          </cell>
          <cell r="G1633">
            <v>0</v>
          </cell>
          <cell r="H1633">
            <v>0</v>
          </cell>
          <cell r="I1633">
            <v>0</v>
          </cell>
          <cell r="J1633">
            <v>0</v>
          </cell>
        </row>
        <row r="1634">
          <cell r="B1634" t="str">
            <v>4.1.04.12.04</v>
          </cell>
          <cell r="C1634" t="str">
            <v>Pendapatan Denda Pajak Air Permukaan</v>
          </cell>
          <cell r="D1634">
            <v>0</v>
          </cell>
          <cell r="E1634">
            <v>0</v>
          </cell>
          <cell r="F1634">
            <v>0</v>
          </cell>
          <cell r="G1634">
            <v>0</v>
          </cell>
          <cell r="H1634">
            <v>0</v>
          </cell>
          <cell r="I1634">
            <v>0</v>
          </cell>
          <cell r="J1634">
            <v>0</v>
          </cell>
        </row>
        <row r="1635">
          <cell r="B1635" t="str">
            <v>4.1.04.12.05</v>
          </cell>
          <cell r="C1635" t="str">
            <v>Pendapatan Denda Pajak Rokok</v>
          </cell>
          <cell r="D1635">
            <v>0</v>
          </cell>
          <cell r="E1635">
            <v>0</v>
          </cell>
          <cell r="F1635">
            <v>0</v>
          </cell>
          <cell r="G1635">
            <v>0</v>
          </cell>
          <cell r="H1635">
            <v>0</v>
          </cell>
          <cell r="I1635">
            <v>0</v>
          </cell>
          <cell r="J1635">
            <v>0</v>
          </cell>
        </row>
        <row r="1636">
          <cell r="B1636" t="str">
            <v>4.1.04.12.06</v>
          </cell>
          <cell r="C1636" t="str">
            <v>Pendapatan Denda Pajak Hotel</v>
          </cell>
          <cell r="D1636">
            <v>4727869</v>
          </cell>
          <cell r="E1636">
            <v>0</v>
          </cell>
          <cell r="F1636">
            <v>0</v>
          </cell>
          <cell r="G1636">
            <v>0</v>
          </cell>
          <cell r="H1636">
            <v>0</v>
          </cell>
          <cell r="I1636">
            <v>0</v>
          </cell>
          <cell r="J1636">
            <v>0</v>
          </cell>
        </row>
        <row r="1637">
          <cell r="B1637" t="str">
            <v>4.1.04.12.07</v>
          </cell>
          <cell r="C1637" t="str">
            <v>Pendapatan Denda Pajak Restoran</v>
          </cell>
          <cell r="D1637">
            <v>126279461</v>
          </cell>
          <cell r="E1637">
            <v>0</v>
          </cell>
          <cell r="F1637">
            <v>0</v>
          </cell>
          <cell r="G1637">
            <v>0</v>
          </cell>
          <cell r="H1637">
            <v>0</v>
          </cell>
          <cell r="I1637">
            <v>0</v>
          </cell>
          <cell r="J1637">
            <v>0</v>
          </cell>
        </row>
        <row r="1638">
          <cell r="B1638" t="str">
            <v>4.1.04.12.08</v>
          </cell>
          <cell r="C1638" t="str">
            <v>Pendapatan Denda Pajak Hiburan</v>
          </cell>
          <cell r="D1638">
            <v>15000</v>
          </cell>
          <cell r="E1638">
            <v>0</v>
          </cell>
          <cell r="F1638">
            <v>0</v>
          </cell>
          <cell r="G1638">
            <v>0</v>
          </cell>
          <cell r="H1638">
            <v>0</v>
          </cell>
          <cell r="I1638">
            <v>0</v>
          </cell>
          <cell r="J1638">
            <v>0</v>
          </cell>
        </row>
        <row r="1639">
          <cell r="B1639" t="str">
            <v>4.1.04.12.09</v>
          </cell>
          <cell r="C1639" t="str">
            <v>Pendapatan Denda Pajak Reklame</v>
          </cell>
          <cell r="D1639">
            <v>0</v>
          </cell>
          <cell r="E1639">
            <v>991250</v>
          </cell>
          <cell r="F1639">
            <v>0</v>
          </cell>
          <cell r="G1639">
            <v>0</v>
          </cell>
          <cell r="H1639">
            <v>0</v>
          </cell>
          <cell r="I1639">
            <v>0</v>
          </cell>
          <cell r="J1639">
            <v>991250</v>
          </cell>
        </row>
        <row r="1640">
          <cell r="B1640" t="str">
            <v>4.1.04.12.10</v>
          </cell>
          <cell r="C1640" t="str">
            <v>Pendapatan Denda Pajak Penerangan Jalan</v>
          </cell>
          <cell r="D1640">
            <v>0</v>
          </cell>
          <cell r="E1640">
            <v>0</v>
          </cell>
          <cell r="F1640">
            <v>0</v>
          </cell>
          <cell r="G1640">
            <v>0</v>
          </cell>
          <cell r="H1640">
            <v>0</v>
          </cell>
          <cell r="I1640">
            <v>0</v>
          </cell>
          <cell r="J1640">
            <v>0</v>
          </cell>
        </row>
        <row r="1641">
          <cell r="B1641" t="str">
            <v>4.1.04.12.11</v>
          </cell>
          <cell r="C1641" t="str">
            <v>Pendapatan Denda Pajak Parkir</v>
          </cell>
          <cell r="D1641">
            <v>267399</v>
          </cell>
          <cell r="E1641">
            <v>470373</v>
          </cell>
          <cell r="F1641">
            <v>0</v>
          </cell>
          <cell r="G1641">
            <v>0</v>
          </cell>
          <cell r="H1641">
            <v>0</v>
          </cell>
          <cell r="I1641">
            <v>0</v>
          </cell>
          <cell r="J1641">
            <v>470373</v>
          </cell>
        </row>
        <row r="1642">
          <cell r="B1642" t="str">
            <v>4.1.04.12.12</v>
          </cell>
          <cell r="C1642" t="str">
            <v>Pendapatan Denda Pajak Air Tanah</v>
          </cell>
          <cell r="D1642">
            <v>40190</v>
          </cell>
          <cell r="E1642">
            <v>180684203</v>
          </cell>
          <cell r="F1642">
            <v>0</v>
          </cell>
          <cell r="G1642">
            <v>0</v>
          </cell>
          <cell r="H1642">
            <v>0</v>
          </cell>
          <cell r="I1642">
            <v>0</v>
          </cell>
          <cell r="J1642">
            <v>180684203</v>
          </cell>
        </row>
        <row r="1643">
          <cell r="B1643" t="str">
            <v>4.1.04.12.13</v>
          </cell>
          <cell r="C1643" t="str">
            <v>Pendapatan Denda Pajak Sarang Burung Walet</v>
          </cell>
          <cell r="D1643">
            <v>0</v>
          </cell>
          <cell r="E1643">
            <v>0</v>
          </cell>
          <cell r="F1643">
            <v>0</v>
          </cell>
          <cell r="G1643">
            <v>0</v>
          </cell>
          <cell r="H1643">
            <v>0</v>
          </cell>
          <cell r="I1643">
            <v>0</v>
          </cell>
          <cell r="J1643">
            <v>0</v>
          </cell>
        </row>
        <row r="1644">
          <cell r="B1644" t="str">
            <v>4.1.04.12.14</v>
          </cell>
          <cell r="C1644" t="str">
            <v>Pendapatan Denda Pajak Mineral Bukan Logam dan Batuan</v>
          </cell>
          <cell r="D1644">
            <v>2146440</v>
          </cell>
          <cell r="E1644">
            <v>5797956</v>
          </cell>
          <cell r="F1644">
            <v>0</v>
          </cell>
          <cell r="G1644">
            <v>0</v>
          </cell>
          <cell r="H1644">
            <v>0</v>
          </cell>
          <cell r="I1644">
            <v>0</v>
          </cell>
          <cell r="J1644">
            <v>5797956</v>
          </cell>
        </row>
        <row r="1645">
          <cell r="B1645" t="str">
            <v>4.1.04.12.15</v>
          </cell>
          <cell r="C1645" t="str">
            <v>Pendapatan Denda Pajak Bumi dan Bangunan Perdesaan dan Perkotaan (PBBP2)</v>
          </cell>
          <cell r="D1645">
            <v>78099453</v>
          </cell>
          <cell r="E1645">
            <v>38812567</v>
          </cell>
          <cell r="F1645">
            <v>0</v>
          </cell>
          <cell r="G1645">
            <v>0</v>
          </cell>
          <cell r="H1645">
            <v>0</v>
          </cell>
          <cell r="I1645">
            <v>0</v>
          </cell>
          <cell r="J1645">
            <v>38812567</v>
          </cell>
        </row>
        <row r="1646">
          <cell r="B1646" t="str">
            <v>4.1.04.12.16</v>
          </cell>
          <cell r="C1646" t="str">
            <v>Pendapatan Denda Bea Perolehan Hak atas Tanah dan Bangunan (BPHTB)</v>
          </cell>
          <cell r="D1646">
            <v>0</v>
          </cell>
          <cell r="E1646">
            <v>0</v>
          </cell>
          <cell r="F1646">
            <v>0</v>
          </cell>
          <cell r="G1646">
            <v>0</v>
          </cell>
          <cell r="H1646">
            <v>0</v>
          </cell>
          <cell r="I1646">
            <v>0</v>
          </cell>
          <cell r="J1646">
            <v>0</v>
          </cell>
        </row>
        <row r="1647">
          <cell r="B1647" t="str">
            <v>4.1.04.12.17</v>
          </cell>
          <cell r="C1647" t="str">
            <v>Pendapatan Denda Pajak Alat Berat</v>
          </cell>
          <cell r="D1647">
            <v>0</v>
          </cell>
          <cell r="E1647">
            <v>0</v>
          </cell>
          <cell r="F1647">
            <v>0</v>
          </cell>
          <cell r="G1647">
            <v>0</v>
          </cell>
          <cell r="H1647">
            <v>0</v>
          </cell>
          <cell r="I1647">
            <v>0</v>
          </cell>
          <cell r="J1647">
            <v>0</v>
          </cell>
        </row>
        <row r="1648">
          <cell r="B1648" t="str">
            <v>4.1.04.12.18</v>
          </cell>
          <cell r="C1648" t="str">
            <v>Pendapatan Denda Opsen Pajak Mineral Bukan Logam dan Batuan (MBLB)</v>
          </cell>
          <cell r="D1648">
            <v>0</v>
          </cell>
          <cell r="E1648">
            <v>0</v>
          </cell>
          <cell r="F1648">
            <v>0</v>
          </cell>
          <cell r="G1648">
            <v>0</v>
          </cell>
          <cell r="H1648">
            <v>0</v>
          </cell>
          <cell r="I1648">
            <v>0</v>
          </cell>
          <cell r="J1648">
            <v>0</v>
          </cell>
        </row>
        <row r="1649">
          <cell r="B1649" t="str">
            <v>4.1.04.12.19</v>
          </cell>
          <cell r="C1649" t="str">
            <v>Pendapatan Denda Pajak Barang dan Jasa Tertentu (PBJT)</v>
          </cell>
          <cell r="D1649">
            <v>0</v>
          </cell>
          <cell r="E1649">
            <v>1189207282</v>
          </cell>
          <cell r="F1649">
            <v>0</v>
          </cell>
          <cell r="G1649">
            <v>0</v>
          </cell>
          <cell r="H1649">
            <v>0</v>
          </cell>
          <cell r="I1649">
            <v>0</v>
          </cell>
          <cell r="J1649">
            <v>1189207282</v>
          </cell>
        </row>
        <row r="1650">
          <cell r="B1650" t="str">
            <v>4.1.04.12.20</v>
          </cell>
          <cell r="C1650" t="str">
            <v>Pendapatan Denda Opsen Pajak Kendaraan Bermotor (PKB)</v>
          </cell>
          <cell r="D1650">
            <v>0</v>
          </cell>
          <cell r="E1650">
            <v>85465925</v>
          </cell>
          <cell r="F1650">
            <v>0</v>
          </cell>
          <cell r="G1650">
            <v>0</v>
          </cell>
          <cell r="H1650">
            <v>0</v>
          </cell>
          <cell r="I1650">
            <v>0</v>
          </cell>
          <cell r="J1650">
            <v>85465925</v>
          </cell>
        </row>
        <row r="1651">
          <cell r="B1651" t="str">
            <v>4.1.04.12.21</v>
          </cell>
          <cell r="C1651" t="str">
            <v>Pendapatan Denda Opsen Bea Balik Nama Kendaraan Bermotor (BBNKB)</v>
          </cell>
          <cell r="D1651">
            <v>0</v>
          </cell>
          <cell r="E1651">
            <v>1663188</v>
          </cell>
          <cell r="F1651">
            <v>0</v>
          </cell>
          <cell r="G1651">
            <v>0</v>
          </cell>
          <cell r="H1651">
            <v>0</v>
          </cell>
          <cell r="I1651">
            <v>0</v>
          </cell>
          <cell r="J1651">
            <v>1663188</v>
          </cell>
        </row>
        <row r="1652">
          <cell r="B1652" t="str">
            <v>4.1.04.13</v>
          </cell>
          <cell r="C1652" t="str">
            <v>Pendapatan Denda Retribusi Daerah</v>
          </cell>
          <cell r="D1652">
            <v>70000000</v>
          </cell>
          <cell r="E1652">
            <v>0</v>
          </cell>
          <cell r="F1652"/>
          <cell r="G1652"/>
          <cell r="H1652"/>
          <cell r="I1652"/>
          <cell r="J1652">
            <v>0</v>
          </cell>
        </row>
        <row r="1653">
          <cell r="B1653" t="str">
            <v>4.1.04.13.01</v>
          </cell>
          <cell r="C1653" t="str">
            <v>Pendapatan Denda Retribusi Jasa Umum</v>
          </cell>
          <cell r="D1653">
            <v>0</v>
          </cell>
          <cell r="E1653">
            <v>0</v>
          </cell>
          <cell r="F1653">
            <v>0</v>
          </cell>
          <cell r="G1653">
            <v>0</v>
          </cell>
          <cell r="H1653">
            <v>0</v>
          </cell>
          <cell r="I1653">
            <v>0</v>
          </cell>
          <cell r="J1653">
            <v>0</v>
          </cell>
        </row>
        <row r="1654">
          <cell r="B1654" t="str">
            <v>4.1.04.13.02</v>
          </cell>
          <cell r="C1654" t="str">
            <v>Pendapatan Denda Retribusi Jasa Usaha</v>
          </cell>
          <cell r="D1654">
            <v>0</v>
          </cell>
          <cell r="E1654">
            <v>0</v>
          </cell>
          <cell r="F1654">
            <v>0</v>
          </cell>
          <cell r="G1654">
            <v>0</v>
          </cell>
          <cell r="H1654">
            <v>0</v>
          </cell>
          <cell r="I1654">
            <v>0</v>
          </cell>
          <cell r="J1654">
            <v>0</v>
          </cell>
        </row>
        <row r="1655">
          <cell r="B1655" t="str">
            <v>4.1.04.13.03</v>
          </cell>
          <cell r="C1655" t="str">
            <v>Pendapatan Denda Retribusi Perizinan Tertentu</v>
          </cell>
          <cell r="D1655">
            <v>70000000</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F1656"/>
          <cell r="G1656"/>
          <cell r="H1656"/>
          <cell r="I1656"/>
          <cell r="J1656">
            <v>0</v>
          </cell>
        </row>
        <row r="1657">
          <cell r="B1657" t="str">
            <v>4.1.04.14.01</v>
          </cell>
          <cell r="C1657" t="str">
            <v>Hasil Eksekusi atas Jaminan atas Pengadaan Barang/Jasa</v>
          </cell>
          <cell r="D1657">
            <v>0</v>
          </cell>
          <cell r="E1657">
            <v>0</v>
          </cell>
          <cell r="F1657">
            <v>0</v>
          </cell>
          <cell r="G1657">
            <v>0</v>
          </cell>
          <cell r="H1657">
            <v>0</v>
          </cell>
          <cell r="I1657">
            <v>0</v>
          </cell>
          <cell r="J1657">
            <v>0</v>
          </cell>
        </row>
        <row r="1658">
          <cell r="B1658" t="str">
            <v>4.1.04.15</v>
          </cell>
          <cell r="C1658" t="str">
            <v>Pendapatan dari Pengembalian</v>
          </cell>
          <cell r="D1658">
            <v>1888571840</v>
          </cell>
          <cell r="E1658">
            <v>2068877664.3099999</v>
          </cell>
          <cell r="F1658"/>
          <cell r="G1658"/>
          <cell r="H1658"/>
          <cell r="I1658"/>
          <cell r="J1658">
            <v>2068877664.3099999</v>
          </cell>
        </row>
        <row r="1659">
          <cell r="B1659" t="str">
            <v>4.1.04.15.01</v>
          </cell>
          <cell r="C1659" t="str">
            <v>Pendapatan dari Pengembalian Kelebihan Pembayaran Pajak Penghasilan Pasal 21</v>
          </cell>
          <cell r="D1659">
            <v>0</v>
          </cell>
          <cell r="E1659">
            <v>0</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D1660">
            <v>0</v>
          </cell>
          <cell r="E1660">
            <v>0</v>
          </cell>
          <cell r="F1660">
            <v>0</v>
          </cell>
          <cell r="G1660">
            <v>0</v>
          </cell>
          <cell r="H1660">
            <v>0</v>
          </cell>
          <cell r="I1660">
            <v>0</v>
          </cell>
          <cell r="J1660">
            <v>0</v>
          </cell>
        </row>
        <row r="1661">
          <cell r="B1661" t="str">
            <v>4.1.04.15.03</v>
          </cell>
          <cell r="C1661" t="str">
            <v>Pendapatan dari Pengembalian Kelebihan Pembayaran Gaji dan Tunjangan</v>
          </cell>
          <cell r="D1661">
            <v>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0</v>
          </cell>
          <cell r="E1662">
            <v>0</v>
          </cell>
          <cell r="F1662">
            <v>0</v>
          </cell>
          <cell r="G1662">
            <v>0</v>
          </cell>
          <cell r="H1662">
            <v>0</v>
          </cell>
          <cell r="I1662">
            <v>0</v>
          </cell>
          <cell r="J1662">
            <v>0</v>
          </cell>
        </row>
        <row r="1663">
          <cell r="B1663" t="str">
            <v>4.1.04.15.05</v>
          </cell>
          <cell r="C1663" t="str">
            <v>Pendapatan dari Pengembalian Kelebihan Pembayaran Jaminan Kecelakaan Kerja (JKK)</v>
          </cell>
          <cell r="D1663">
            <v>0</v>
          </cell>
          <cell r="E1663">
            <v>0</v>
          </cell>
          <cell r="F1663">
            <v>0</v>
          </cell>
          <cell r="G1663">
            <v>0</v>
          </cell>
          <cell r="H1663">
            <v>0</v>
          </cell>
          <cell r="I1663">
            <v>0</v>
          </cell>
          <cell r="J1663">
            <v>0</v>
          </cell>
        </row>
        <row r="1664">
          <cell r="B1664" t="str">
            <v>4.1.04.15.06</v>
          </cell>
          <cell r="C1664" t="str">
            <v>Pendapatan dari Pengembalian Kelebihan Pembayaran Jaminan Kematian (JKM)</v>
          </cell>
          <cell r="D1664">
            <v>0</v>
          </cell>
          <cell r="E1664">
            <v>0</v>
          </cell>
          <cell r="F1664">
            <v>0</v>
          </cell>
          <cell r="G1664">
            <v>0</v>
          </cell>
          <cell r="H1664">
            <v>0</v>
          </cell>
          <cell r="I1664">
            <v>0</v>
          </cell>
          <cell r="J1664">
            <v>0</v>
          </cell>
        </row>
        <row r="1665">
          <cell r="B1665" t="str">
            <v>4.1.04.15.07</v>
          </cell>
          <cell r="C1665" t="str">
            <v>Pendapatan dari Pengembalian Kelebihan Pembayaran Jaminan Kesehatan Nasional (JKN)</v>
          </cell>
          <cell r="D1665">
            <v>0</v>
          </cell>
          <cell r="E1665">
            <v>0</v>
          </cell>
          <cell r="F1665">
            <v>0</v>
          </cell>
          <cell r="G1665">
            <v>0</v>
          </cell>
          <cell r="H1665">
            <v>0</v>
          </cell>
          <cell r="I1665">
            <v>0</v>
          </cell>
          <cell r="J1665">
            <v>0</v>
          </cell>
        </row>
        <row r="1666">
          <cell r="B1666" t="str">
            <v>4.1.04.15.08</v>
          </cell>
          <cell r="C1666" t="str">
            <v>Pendapatan dari Pengembalian Kelebihan Pembayaran Belanja Gaji dan Tunjangan ASN</v>
          </cell>
          <cell r="D1666">
            <v>1000000</v>
          </cell>
          <cell r="E1666">
            <v>0</v>
          </cell>
          <cell r="F1666">
            <v>0</v>
          </cell>
          <cell r="G1666">
            <v>0</v>
          </cell>
          <cell r="H1666">
            <v>0</v>
          </cell>
          <cell r="I1666">
            <v>0</v>
          </cell>
          <cell r="J1666">
            <v>0</v>
          </cell>
        </row>
        <row r="1667">
          <cell r="B1667" t="str">
            <v>4.1.04.15.09</v>
          </cell>
          <cell r="C1667" t="str">
            <v>Pendapatan dari Pengembalian Kelebihan Pembayaran Belanja Tambahan Penghasilan ASN</v>
          </cell>
          <cell r="D1667">
            <v>0</v>
          </cell>
          <cell r="E1667">
            <v>0</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D1668">
            <v>0</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D1669">
            <v>0</v>
          </cell>
          <cell r="E1669">
            <v>0</v>
          </cell>
          <cell r="F1669">
            <v>0</v>
          </cell>
          <cell r="G1669">
            <v>0</v>
          </cell>
          <cell r="H1669">
            <v>0</v>
          </cell>
          <cell r="I1669">
            <v>0</v>
          </cell>
          <cell r="J1669">
            <v>0</v>
          </cell>
        </row>
        <row r="1670">
          <cell r="B1670" t="str">
            <v>4.1.04.15.12</v>
          </cell>
          <cell r="C1670" t="str">
            <v>Pendapatan dari Pengembalian Kelebihan Pembayaran Belanja Gaji dan Tunjangan KDH/WKDH</v>
          </cell>
          <cell r="D1670">
            <v>0</v>
          </cell>
          <cell r="E1670">
            <v>0</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D1671">
            <v>0</v>
          </cell>
          <cell r="E1671">
            <v>0</v>
          </cell>
          <cell r="F1671">
            <v>0</v>
          </cell>
          <cell r="G1671">
            <v>0</v>
          </cell>
          <cell r="H1671">
            <v>0</v>
          </cell>
          <cell r="I1671">
            <v>0</v>
          </cell>
          <cell r="J1671">
            <v>0</v>
          </cell>
        </row>
        <row r="1672">
          <cell r="B1672" t="str">
            <v>4.1.04.15.14</v>
          </cell>
          <cell r="C1672" t="str">
            <v>Pendapatan dari Pengembalian Kelebihan Pembayaran Belanja Gaji dan Tunjangan MRP</v>
          </cell>
          <cell r="D1672">
            <v>0</v>
          </cell>
          <cell r="E1672">
            <v>0</v>
          </cell>
          <cell r="F1672">
            <v>0</v>
          </cell>
          <cell r="G1672">
            <v>0</v>
          </cell>
          <cell r="H1672">
            <v>0</v>
          </cell>
          <cell r="I1672">
            <v>0</v>
          </cell>
          <cell r="J1672">
            <v>0</v>
          </cell>
        </row>
        <row r="1673">
          <cell r="B1673" t="str">
            <v>4.1.04.15.15</v>
          </cell>
          <cell r="C1673" t="str">
            <v>Pendapatan dari Pengembalian Kelebihan Pembayaran Belanja Barang</v>
          </cell>
          <cell r="D1673">
            <v>389857060</v>
          </cell>
          <cell r="E1673">
            <v>486207629.27999997</v>
          </cell>
          <cell r="F1673">
            <v>0</v>
          </cell>
          <cell r="G1673">
            <v>0</v>
          </cell>
          <cell r="H1673">
            <v>0</v>
          </cell>
          <cell r="I1673">
            <v>0</v>
          </cell>
          <cell r="J1673">
            <v>486207629.27999997</v>
          </cell>
        </row>
        <row r="1674">
          <cell r="B1674" t="str">
            <v>4.1.04.15.16</v>
          </cell>
          <cell r="C1674" t="str">
            <v>Pendapatan dari Pengembalian Kelebihan Pembayaran Belanja Jasa</v>
          </cell>
          <cell r="D1674">
            <v>4000000</v>
          </cell>
          <cell r="E1674">
            <v>27422370</v>
          </cell>
          <cell r="F1674">
            <v>0</v>
          </cell>
          <cell r="G1674">
            <v>0</v>
          </cell>
          <cell r="H1674">
            <v>0</v>
          </cell>
          <cell r="I1674">
            <v>0</v>
          </cell>
          <cell r="J1674">
            <v>27422370</v>
          </cell>
        </row>
        <row r="1675">
          <cell r="B1675" t="str">
            <v>4.1.04.15.17</v>
          </cell>
          <cell r="C1675" t="str">
            <v>Pendapatan dari Pengembalian Kelebihan Pembayaran Belanja Pemeliharaan</v>
          </cell>
          <cell r="D1675">
            <v>0</v>
          </cell>
          <cell r="E1675">
            <v>0</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D1676">
            <v>0</v>
          </cell>
          <cell r="E1676">
            <v>1000000</v>
          </cell>
          <cell r="F1676">
            <v>0</v>
          </cell>
          <cell r="G1676">
            <v>0</v>
          </cell>
          <cell r="H1676">
            <v>0</v>
          </cell>
          <cell r="I1676">
            <v>0</v>
          </cell>
          <cell r="J1676">
            <v>1000000</v>
          </cell>
        </row>
        <row r="1677">
          <cell r="B1677" t="str">
            <v>4.1.04.15.19</v>
          </cell>
          <cell r="C1677" t="str">
            <v>Pendapatan dari Pengembalian Kelebihan Pembayaran Belanja Penunjang Otonomi Khusus*)</v>
          </cell>
          <cell r="D1677">
            <v>0</v>
          </cell>
          <cell r="E1677">
            <v>0</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D1678">
            <v>0</v>
          </cell>
          <cell r="E1678">
            <v>0</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D1679">
            <v>0</v>
          </cell>
          <cell r="E1679">
            <v>0</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D1680">
            <v>0</v>
          </cell>
          <cell r="E1680">
            <v>0</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D1681">
            <v>0</v>
          </cell>
          <cell r="E1681">
            <v>0</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D1682">
            <v>0</v>
          </cell>
          <cell r="E1682">
            <v>0</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D1683">
            <v>0</v>
          </cell>
          <cell r="E1683">
            <v>0</v>
          </cell>
          <cell r="F1683">
            <v>0</v>
          </cell>
          <cell r="G1683">
            <v>0</v>
          </cell>
          <cell r="H1683">
            <v>0</v>
          </cell>
          <cell r="I1683">
            <v>0</v>
          </cell>
          <cell r="J1683">
            <v>0</v>
          </cell>
        </row>
        <row r="1684">
          <cell r="B1684" t="str">
            <v>4.1.04.15.26</v>
          </cell>
          <cell r="C1684" t="str">
            <v>Pendapatan dari Pengembalian Kelebihan Pembayaran Belanja Subsidi kepada BUMN</v>
          </cell>
          <cell r="D1684">
            <v>0</v>
          </cell>
          <cell r="E1684">
            <v>0</v>
          </cell>
          <cell r="F1684">
            <v>0</v>
          </cell>
          <cell r="G1684">
            <v>0</v>
          </cell>
          <cell r="H1684">
            <v>0</v>
          </cell>
          <cell r="I1684">
            <v>0</v>
          </cell>
          <cell r="J1684">
            <v>0</v>
          </cell>
        </row>
        <row r="1685">
          <cell r="B1685" t="str">
            <v>4.1.04.15.27</v>
          </cell>
          <cell r="C1685" t="str">
            <v>Pendapatan dari Pengembalian Kelebihan Pembayaran Belanja Subsidi kepada BUMD</v>
          </cell>
          <cell r="D1685">
            <v>0</v>
          </cell>
          <cell r="E1685">
            <v>0</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D1686">
            <v>0</v>
          </cell>
          <cell r="E1686">
            <v>0</v>
          </cell>
          <cell r="F1686">
            <v>0</v>
          </cell>
          <cell r="G1686">
            <v>0</v>
          </cell>
          <cell r="H1686">
            <v>0</v>
          </cell>
          <cell r="I1686">
            <v>0</v>
          </cell>
          <cell r="J1686">
            <v>0</v>
          </cell>
        </row>
        <row r="1687">
          <cell r="B1687" t="str">
            <v>4.1.04.15.29</v>
          </cell>
          <cell r="C1687" t="str">
            <v>Pendapatan dari Pengembalian Kelebihan Pembayaran Belanja Subsidi kepada Koperasi</v>
          </cell>
          <cell r="D1687">
            <v>0</v>
          </cell>
          <cell r="E1687">
            <v>0</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0</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D1689">
            <v>0</v>
          </cell>
          <cell r="E1689">
            <v>0</v>
          </cell>
          <cell r="F1689">
            <v>0</v>
          </cell>
          <cell r="G1689">
            <v>0</v>
          </cell>
          <cell r="H1689">
            <v>0</v>
          </cell>
          <cell r="I1689">
            <v>0</v>
          </cell>
          <cell r="J1689">
            <v>0</v>
          </cell>
        </row>
        <row r="1690">
          <cell r="B1690" t="str">
            <v>4.1.04.15.32</v>
          </cell>
          <cell r="C1690" t="str">
            <v>Pendapatan dari Pengembalian Kelebihan Pembayaran Belanja Hibah kepada BUMN</v>
          </cell>
          <cell r="D1690">
            <v>0</v>
          </cell>
          <cell r="E1690">
            <v>0</v>
          </cell>
          <cell r="F1690">
            <v>0</v>
          </cell>
          <cell r="G1690">
            <v>0</v>
          </cell>
          <cell r="H1690">
            <v>0</v>
          </cell>
          <cell r="I1690">
            <v>0</v>
          </cell>
          <cell r="J1690">
            <v>0</v>
          </cell>
        </row>
        <row r="1691">
          <cell r="B1691" t="str">
            <v>4.1.04.15.33</v>
          </cell>
          <cell r="C1691" t="str">
            <v>Pendapatan dari Pengembalian Kelebihan Pembayaran Belanja Hibah kepada BUMD</v>
          </cell>
          <cell r="D1691">
            <v>0</v>
          </cell>
          <cell r="E1691">
            <v>0</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0</v>
          </cell>
          <cell r="E1692">
            <v>209000000</v>
          </cell>
          <cell r="F1692">
            <v>0</v>
          </cell>
          <cell r="G1692">
            <v>0</v>
          </cell>
          <cell r="H1692">
            <v>0</v>
          </cell>
          <cell r="I1692">
            <v>0</v>
          </cell>
          <cell r="J1692">
            <v>209000000</v>
          </cell>
        </row>
        <row r="1693">
          <cell r="B1693" t="str">
            <v>4.1.04.15.35</v>
          </cell>
          <cell r="C1693" t="str">
            <v>Pendapatan dari Pengembalian Kelebihan Pembayaran Belanja Hibah Dana BOS</v>
          </cell>
          <cell r="D1693">
            <v>0</v>
          </cell>
          <cell r="E1693">
            <v>0</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D1694">
            <v>0</v>
          </cell>
          <cell r="E1694">
            <v>0</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750000</v>
          </cell>
          <cell r="F1695">
            <v>0</v>
          </cell>
          <cell r="G1695">
            <v>0</v>
          </cell>
          <cell r="H1695">
            <v>0</v>
          </cell>
          <cell r="I1695">
            <v>0</v>
          </cell>
          <cell r="J1695">
            <v>750000</v>
          </cell>
        </row>
        <row r="1696">
          <cell r="B1696" t="str">
            <v>4.1.04.15.38</v>
          </cell>
          <cell r="C1696" t="str">
            <v>Pendapatan dari Pengembalian Kelebihan Pembayaran Belanja Bantuan Sosial kepada Keluarga</v>
          </cell>
          <cell r="D1696">
            <v>0</v>
          </cell>
          <cell r="E1696">
            <v>64460000</v>
          </cell>
          <cell r="F1696">
            <v>0</v>
          </cell>
          <cell r="G1696">
            <v>0</v>
          </cell>
          <cell r="H1696">
            <v>0</v>
          </cell>
          <cell r="I1696">
            <v>0</v>
          </cell>
          <cell r="J1696">
            <v>64460000</v>
          </cell>
        </row>
        <row r="1697">
          <cell r="B1697" t="str">
            <v>4.1.04.15.39</v>
          </cell>
          <cell r="C1697" t="str">
            <v>Pendapatan dari Pengembalian Kelebihan Pembayaran Belanja Bantuan Sosial kepada Kelompok Masyarakat</v>
          </cell>
          <cell r="D1697">
            <v>329360000</v>
          </cell>
          <cell r="E1697">
            <v>116030100</v>
          </cell>
          <cell r="F1697">
            <v>0</v>
          </cell>
          <cell r="G1697">
            <v>0</v>
          </cell>
          <cell r="H1697">
            <v>0</v>
          </cell>
          <cell r="I1697">
            <v>0</v>
          </cell>
          <cell r="J1697">
            <v>116030100</v>
          </cell>
        </row>
        <row r="1698">
          <cell r="B1698" t="str">
            <v>4.1.04.15.40</v>
          </cell>
          <cell r="C1698" t="str">
            <v>Pendapatan dari Pengembalian Kelebihan Pembayaran Belanja Bantuan Sosial-Bantuan Sosial kepada Lembaga Non Pemerintahan (Bidang Pendidikan, Keagamaan dan Bidang Lainnya)</v>
          </cell>
          <cell r="D1698">
            <v>0</v>
          </cell>
          <cell r="E1698">
            <v>0</v>
          </cell>
          <cell r="F1698">
            <v>0</v>
          </cell>
          <cell r="G1698">
            <v>0</v>
          </cell>
          <cell r="H1698">
            <v>0</v>
          </cell>
          <cell r="I1698">
            <v>0</v>
          </cell>
          <cell r="J1698">
            <v>0</v>
          </cell>
        </row>
        <row r="1699">
          <cell r="B1699" t="str">
            <v>4.1.04.15.41</v>
          </cell>
          <cell r="C1699" t="str">
            <v>Pendapatan dari Pengembalian Kelebihan Pembayaran Belanja Modal Tanah</v>
          </cell>
          <cell r="D1699">
            <v>0</v>
          </cell>
          <cell r="E1699">
            <v>0</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D1700">
            <v>0</v>
          </cell>
          <cell r="E1700">
            <v>0</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0</v>
          </cell>
          <cell r="E1701">
            <v>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D1702">
            <v>0</v>
          </cell>
          <cell r="E1702">
            <v>0</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D1703">
            <v>0</v>
          </cell>
          <cell r="E1703">
            <v>0</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0</v>
          </cell>
          <cell r="E1704">
            <v>38362691</v>
          </cell>
          <cell r="F1704">
            <v>0</v>
          </cell>
          <cell r="G1704">
            <v>0</v>
          </cell>
          <cell r="H1704">
            <v>0</v>
          </cell>
          <cell r="I1704">
            <v>0</v>
          </cell>
          <cell r="J1704">
            <v>38362691</v>
          </cell>
        </row>
        <row r="1705">
          <cell r="B1705" t="str">
            <v>4.1.04.15.47</v>
          </cell>
          <cell r="C1705" t="str">
            <v>Pendapatan dari Pengembalian Kelebihan Pembayaran Belanja Modal Peralatan dan Mesin-Alat Studio, Komunikasi, dan Pemancar</v>
          </cell>
          <cell r="D1705">
            <v>0</v>
          </cell>
          <cell r="E1705">
            <v>0</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0</v>
          </cell>
          <cell r="E1706">
            <v>0</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D1707">
            <v>0</v>
          </cell>
          <cell r="E1707">
            <v>0</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0</v>
          </cell>
          <cell r="E1708">
            <v>0</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D1709">
            <v>0</v>
          </cell>
          <cell r="E1709">
            <v>0</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D1710">
            <v>0</v>
          </cell>
          <cell r="E1710">
            <v>0</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D1711">
            <v>3717780</v>
          </cell>
          <cell r="E1711">
            <v>0</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D1712">
            <v>0</v>
          </cell>
          <cell r="E1712">
            <v>0</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D1713">
            <v>0</v>
          </cell>
          <cell r="E1713">
            <v>0</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D1714">
            <v>0</v>
          </cell>
          <cell r="E1714">
            <v>0</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D1715">
            <v>0</v>
          </cell>
          <cell r="E1715">
            <v>0</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D1716">
            <v>0</v>
          </cell>
          <cell r="E1716">
            <v>0</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D1717">
            <v>0</v>
          </cell>
          <cell r="E1717">
            <v>0</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D1718">
            <v>218143000</v>
          </cell>
          <cell r="E1718">
            <v>106718540.62</v>
          </cell>
          <cell r="F1718">
            <v>0</v>
          </cell>
          <cell r="G1718">
            <v>0</v>
          </cell>
          <cell r="H1718">
            <v>0</v>
          </cell>
          <cell r="I1718">
            <v>0</v>
          </cell>
          <cell r="J1718">
            <v>106718540.62</v>
          </cell>
        </row>
        <row r="1719">
          <cell r="B1719" t="str">
            <v>4.1.04.15.62</v>
          </cell>
          <cell r="C1719" t="str">
            <v>Pendapatan dari Pengembalian Kelebihan Pembayaran Belanja Modal Gedung dan Bangunan-Monumen</v>
          </cell>
          <cell r="D1719">
            <v>0</v>
          </cell>
          <cell r="E1719">
            <v>0</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D1720">
            <v>0</v>
          </cell>
          <cell r="E1720">
            <v>0</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D1721">
            <v>28409000</v>
          </cell>
          <cell r="E1721">
            <v>0</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914085000</v>
          </cell>
          <cell r="E1722">
            <v>732290704.40999997</v>
          </cell>
          <cell r="F1722">
            <v>0</v>
          </cell>
          <cell r="G1722">
            <v>0</v>
          </cell>
          <cell r="H1722">
            <v>0</v>
          </cell>
          <cell r="I1722">
            <v>0</v>
          </cell>
          <cell r="J1722">
            <v>732290704.40999997</v>
          </cell>
        </row>
        <row r="1723">
          <cell r="B1723" t="str">
            <v>4.1.04.15.66</v>
          </cell>
          <cell r="C1723" t="str">
            <v>Pendapatan dari Pengembalian Kelebihan Pembayaran Belanja Modal Jalan, Jaringan, dan Irigasi-Bangunan Air</v>
          </cell>
          <cell r="D1723">
            <v>0</v>
          </cell>
          <cell r="E1723">
            <v>0</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D1724">
            <v>0</v>
          </cell>
          <cell r="E1724">
            <v>0</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D1725">
            <v>0</v>
          </cell>
          <cell r="E1725">
            <v>0</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D1726">
            <v>0</v>
          </cell>
          <cell r="E1726">
            <v>0</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D1727">
            <v>0</v>
          </cell>
          <cell r="E1727">
            <v>0</v>
          </cell>
          <cell r="F1727">
            <v>0</v>
          </cell>
          <cell r="G1727">
            <v>0</v>
          </cell>
          <cell r="H1727">
            <v>0</v>
          </cell>
          <cell r="I1727">
            <v>0</v>
          </cell>
          <cell r="J1727">
            <v>0</v>
          </cell>
        </row>
        <row r="1728">
          <cell r="B1728" t="str">
            <v>4.1.04.15.71</v>
          </cell>
          <cell r="C1728" t="str">
            <v>Pendapatan dari Pengembalian Kelebihan Pembayaran Belanja Modal Aset Tetap Lainnya-Hewan</v>
          </cell>
          <cell r="D1728">
            <v>0</v>
          </cell>
          <cell r="E1728">
            <v>0</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D1729">
            <v>0</v>
          </cell>
          <cell r="E1729">
            <v>0</v>
          </cell>
          <cell r="F1729">
            <v>0</v>
          </cell>
          <cell r="G1729">
            <v>0</v>
          </cell>
          <cell r="H1729">
            <v>0</v>
          </cell>
          <cell r="I1729">
            <v>0</v>
          </cell>
          <cell r="J1729">
            <v>0</v>
          </cell>
        </row>
        <row r="1730">
          <cell r="B1730" t="str">
            <v>4.1.04.15.73</v>
          </cell>
          <cell r="C1730" t="str">
            <v>Pendapatan dari Pengembalian Kelebihan Pembayaran Belanja Modal Aset Tetap Lainnya-Tanaman</v>
          </cell>
          <cell r="D1730">
            <v>0</v>
          </cell>
          <cell r="E1730">
            <v>0</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D1731">
            <v>0</v>
          </cell>
          <cell r="E1731">
            <v>0</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D1732">
            <v>0</v>
          </cell>
          <cell r="E1732">
            <v>0</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D1733">
            <v>0</v>
          </cell>
          <cell r="E1733">
            <v>0</v>
          </cell>
          <cell r="F1733">
            <v>0</v>
          </cell>
          <cell r="G1733">
            <v>0</v>
          </cell>
          <cell r="H1733">
            <v>0</v>
          </cell>
          <cell r="I1733">
            <v>0</v>
          </cell>
          <cell r="J1733">
            <v>0</v>
          </cell>
        </row>
        <row r="1734">
          <cell r="B1734" t="str">
            <v>4.1.04.15.77</v>
          </cell>
          <cell r="C1734" t="str">
            <v>Pendapatan dari Pengembalian Kelebihan Pembayaran Belanja Tidak Terduga</v>
          </cell>
          <cell r="D1734">
            <v>0</v>
          </cell>
          <cell r="E1734">
            <v>0</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D1735">
            <v>0</v>
          </cell>
          <cell r="E1735">
            <v>1000000</v>
          </cell>
          <cell r="F1735">
            <v>0</v>
          </cell>
          <cell r="G1735">
            <v>0</v>
          </cell>
          <cell r="H1735">
            <v>0</v>
          </cell>
          <cell r="I1735">
            <v>0</v>
          </cell>
          <cell r="J1735">
            <v>1000000</v>
          </cell>
        </row>
        <row r="1736">
          <cell r="B1736" t="str">
            <v>4.1.04.15.79</v>
          </cell>
          <cell r="C1736" t="str">
            <v>Pendapatan dari Pengembalian Kelebihan Pembayaran Belanja Bagi Hasil Retribusi Daerah Kabupaten/Kota Kepada Pemerintah Desa</v>
          </cell>
          <cell r="D1736">
            <v>0</v>
          </cell>
          <cell r="E1736">
            <v>0</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D1737">
            <v>0</v>
          </cell>
          <cell r="E1737">
            <v>0</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D1738">
            <v>0</v>
          </cell>
          <cell r="E1738">
            <v>0</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D1739">
            <v>0</v>
          </cell>
          <cell r="E1739">
            <v>0</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D1740">
            <v>0</v>
          </cell>
          <cell r="E1740">
            <v>0</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D1741">
            <v>0</v>
          </cell>
          <cell r="E1741">
            <v>0</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D1742">
            <v>0</v>
          </cell>
          <cell r="E1742">
            <v>0</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D1743">
            <v>0</v>
          </cell>
          <cell r="E1743">
            <v>0</v>
          </cell>
          <cell r="F1743">
            <v>0</v>
          </cell>
          <cell r="G1743">
            <v>0</v>
          </cell>
          <cell r="H1743">
            <v>0</v>
          </cell>
          <cell r="I1743">
            <v>0</v>
          </cell>
          <cell r="J1743">
            <v>0</v>
          </cell>
        </row>
        <row r="1744">
          <cell r="B1744" t="str">
            <v>4.1.04.15.87</v>
          </cell>
          <cell r="C1744" t="str">
            <v>Pendapatan dari Pengembalian Kelebihan Pembayaran Belanja Hibah Dana BOSP</v>
          </cell>
          <cell r="D1744">
            <v>0</v>
          </cell>
          <cell r="E1744">
            <v>285635629</v>
          </cell>
          <cell r="F1744">
            <v>0</v>
          </cell>
          <cell r="G1744">
            <v>0</v>
          </cell>
          <cell r="H1744">
            <v>0</v>
          </cell>
          <cell r="I1744">
            <v>0</v>
          </cell>
          <cell r="J1744">
            <v>285635629</v>
          </cell>
        </row>
        <row r="1745">
          <cell r="B1745" t="str">
            <v>4.1.04.15.88</v>
          </cell>
          <cell r="C1745" t="str">
            <v>Pendapatan dari Pengembalian Kelebihan Pembayaran Belanja Pegawai BOS, Belanja Barang dan Jasa BOS, Belanja Modal Peralatan dan Mesin BOS, serta Belanja Modal Aset Tetap Lainnya BOS</v>
          </cell>
          <cell r="D1745">
            <v>0</v>
          </cell>
          <cell r="E1745">
            <v>0</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0</v>
          </cell>
          <cell r="E1746">
            <v>0</v>
          </cell>
          <cell r="F1746">
            <v>0</v>
          </cell>
          <cell r="G1746">
            <v>0</v>
          </cell>
          <cell r="H1746">
            <v>0</v>
          </cell>
          <cell r="I1746">
            <v>0</v>
          </cell>
          <cell r="J1746">
            <v>0</v>
          </cell>
        </row>
        <row r="1747">
          <cell r="B1747" t="str">
            <v>4.1.04.15.90</v>
          </cell>
          <cell r="C1747" t="str">
            <v>Pendapatan dari Pengembalian Kelebihan Pembayaran Belanja Barang dan Jasa BOK Puskesmas</v>
          </cell>
          <cell r="D1747">
            <v>0</v>
          </cell>
          <cell r="E1747">
            <v>0</v>
          </cell>
          <cell r="F1747">
            <v>0</v>
          </cell>
          <cell r="G1747">
            <v>0</v>
          </cell>
          <cell r="H1747">
            <v>0</v>
          </cell>
          <cell r="I1747">
            <v>0</v>
          </cell>
          <cell r="J1747">
            <v>0</v>
          </cell>
        </row>
        <row r="1748">
          <cell r="B1748" t="str">
            <v>4.1.04.15.91</v>
          </cell>
          <cell r="C1748" t="str">
            <v>Pendapatan dari Pengembalian Kelebihan Pembayaran Belanja Hibah kepada BUMDesa</v>
          </cell>
          <cell r="D1748">
            <v>0</v>
          </cell>
          <cell r="E1748">
            <v>0</v>
          </cell>
          <cell r="F1748">
            <v>0</v>
          </cell>
          <cell r="G1748">
            <v>0</v>
          </cell>
          <cell r="H1748">
            <v>0</v>
          </cell>
          <cell r="I1748">
            <v>0</v>
          </cell>
          <cell r="J1748">
            <v>0</v>
          </cell>
        </row>
        <row r="1749">
          <cell r="B1749" t="str">
            <v>4.1.04.15.92</v>
          </cell>
          <cell r="C1749" t="str">
            <v>Pendapatan dari Pengembalian Kelebihan Pembayaran Belanja Hibah kepada Koperasi</v>
          </cell>
          <cell r="D1749">
            <v>0</v>
          </cell>
          <cell r="E1749">
            <v>0</v>
          </cell>
          <cell r="F1749">
            <v>0</v>
          </cell>
          <cell r="G1749">
            <v>0</v>
          </cell>
          <cell r="H1749">
            <v>0</v>
          </cell>
          <cell r="I1749">
            <v>0</v>
          </cell>
          <cell r="J1749">
            <v>0</v>
          </cell>
        </row>
        <row r="1750">
          <cell r="B1750" t="str">
            <v>4.1.04.15.93</v>
          </cell>
          <cell r="C1750" t="str">
            <v>Pendapatan dari Pengembalian Kelebihan Pembayaran Belanja Imbalan-Imbalan Sukuk Daerah</v>
          </cell>
          <cell r="D1750">
            <v>0</v>
          </cell>
          <cell r="E1750">
            <v>0</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D1751">
            <v>0</v>
          </cell>
          <cell r="E1751">
            <v>0</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D1752">
            <v>0</v>
          </cell>
          <cell r="E1752">
            <v>0</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0</v>
          </cell>
          <cell r="E1753">
            <v>0</v>
          </cell>
          <cell r="F1753">
            <v>0</v>
          </cell>
          <cell r="G1753">
            <v>0</v>
          </cell>
          <cell r="H1753">
            <v>0</v>
          </cell>
          <cell r="I1753">
            <v>0</v>
          </cell>
          <cell r="J1753">
            <v>0</v>
          </cell>
        </row>
        <row r="1754">
          <cell r="B1754" t="str">
            <v>4.1.04.16</v>
          </cell>
          <cell r="C1754" t="str">
            <v>Pendapatan BLUD</v>
          </cell>
          <cell r="D1754">
            <v>45679835172.07</v>
          </cell>
          <cell r="E1754">
            <v>50287724307.720001</v>
          </cell>
          <cell r="F1754"/>
          <cell r="G1754"/>
          <cell r="H1754"/>
          <cell r="I1754"/>
          <cell r="J1754">
            <v>50287724307.720001</v>
          </cell>
        </row>
        <row r="1755">
          <cell r="B1755" t="str">
            <v>4.1.04.16.01</v>
          </cell>
          <cell r="C1755" t="str">
            <v>Pendapatan BLUD</v>
          </cell>
          <cell r="D1755">
            <v>0</v>
          </cell>
          <cell r="E1755">
            <v>0</v>
          </cell>
          <cell r="F1755">
            <v>0</v>
          </cell>
          <cell r="G1755">
            <v>0</v>
          </cell>
          <cell r="H1755">
            <v>0</v>
          </cell>
          <cell r="I1755">
            <v>0</v>
          </cell>
          <cell r="J1755">
            <v>0</v>
          </cell>
        </row>
        <row r="1756">
          <cell r="B1756" t="str">
            <v>4.1.04.16.02</v>
          </cell>
          <cell r="C1756" t="str">
            <v>Pendapatan BLUD dari Jasa Layanan</v>
          </cell>
          <cell r="D1756">
            <v>32843083239</v>
          </cell>
          <cell r="E1756">
            <v>50233998016</v>
          </cell>
          <cell r="F1756">
            <v>0</v>
          </cell>
          <cell r="G1756">
            <v>0</v>
          </cell>
          <cell r="H1756">
            <v>0</v>
          </cell>
          <cell r="I1756">
            <v>0</v>
          </cell>
          <cell r="J1756">
            <v>50233998016</v>
          </cell>
        </row>
        <row r="1757">
          <cell r="B1757" t="str">
            <v>4.1.04.16.03</v>
          </cell>
          <cell r="C1757" t="str">
            <v>Pendapatan BLUD dari Hibah</v>
          </cell>
          <cell r="D1757">
            <v>0</v>
          </cell>
          <cell r="E1757">
            <v>0</v>
          </cell>
          <cell r="F1757">
            <v>0</v>
          </cell>
          <cell r="G1757">
            <v>0</v>
          </cell>
          <cell r="H1757">
            <v>0</v>
          </cell>
          <cell r="I1757">
            <v>0</v>
          </cell>
          <cell r="J1757">
            <v>0</v>
          </cell>
        </row>
        <row r="1758">
          <cell r="B1758" t="str">
            <v>4.1.04.16.04</v>
          </cell>
          <cell r="C1758" t="str">
            <v>Pendapatan BLUD dari Hasil Kerja Sama dengan Pihak Lain</v>
          </cell>
          <cell r="D1758">
            <v>12777017820</v>
          </cell>
          <cell r="E1758">
            <v>0</v>
          </cell>
          <cell r="F1758">
            <v>0</v>
          </cell>
          <cell r="G1758">
            <v>0</v>
          </cell>
          <cell r="H1758">
            <v>0</v>
          </cell>
          <cell r="I1758">
            <v>0</v>
          </cell>
          <cell r="J1758">
            <v>0</v>
          </cell>
        </row>
        <row r="1759">
          <cell r="B1759" t="str">
            <v>4.1.04.16.05</v>
          </cell>
          <cell r="C1759" t="str">
            <v>Pendapatan BLUD dari APBD</v>
          </cell>
          <cell r="D1759">
            <v>0</v>
          </cell>
          <cell r="E1759">
            <v>0</v>
          </cell>
          <cell r="F1759">
            <v>0</v>
          </cell>
          <cell r="G1759">
            <v>0</v>
          </cell>
          <cell r="H1759">
            <v>0</v>
          </cell>
          <cell r="I1759">
            <v>0</v>
          </cell>
          <cell r="J1759">
            <v>0</v>
          </cell>
        </row>
        <row r="1760">
          <cell r="B1760" t="str">
            <v>4.1.04.16.06</v>
          </cell>
          <cell r="C1760" t="str">
            <v>Pendapatan BLUD dari Lain-Lain Pendapatan BLUD yang Sah</v>
          </cell>
          <cell r="D1760">
            <v>59734113.07</v>
          </cell>
          <cell r="E1760">
            <v>53726291.719999999</v>
          </cell>
          <cell r="F1760">
            <v>0</v>
          </cell>
          <cell r="G1760">
            <v>0</v>
          </cell>
          <cell r="H1760">
            <v>0</v>
          </cell>
          <cell r="I1760">
            <v>0</v>
          </cell>
          <cell r="J1760">
            <v>53726291.719999999</v>
          </cell>
        </row>
        <row r="1761">
          <cell r="B1761" t="str">
            <v>4.1.04.17</v>
          </cell>
          <cell r="C1761" t="str">
            <v>Pendapatan Denda Pemanfaatan BMD yang tidak Dipisahkan</v>
          </cell>
          <cell r="D1761">
            <v>0</v>
          </cell>
          <cell r="E1761">
            <v>0</v>
          </cell>
          <cell r="F1761"/>
          <cell r="G1761"/>
          <cell r="H1761"/>
          <cell r="I1761"/>
          <cell r="J1761">
            <v>0</v>
          </cell>
        </row>
        <row r="1762">
          <cell r="B1762" t="str">
            <v>4.1.04.17.01</v>
          </cell>
          <cell r="C1762" t="str">
            <v>Pendapatan Denda Pengakhiran Sewa BMD</v>
          </cell>
          <cell r="D1762">
            <v>0</v>
          </cell>
          <cell r="E1762">
            <v>0</v>
          </cell>
          <cell r="F1762">
            <v>0</v>
          </cell>
          <cell r="G1762">
            <v>0</v>
          </cell>
          <cell r="H1762">
            <v>0</v>
          </cell>
          <cell r="I1762">
            <v>0</v>
          </cell>
          <cell r="J1762">
            <v>0</v>
          </cell>
        </row>
        <row r="1763">
          <cell r="B1763" t="str">
            <v>4.1.04.17.02</v>
          </cell>
          <cell r="C1763" t="str">
            <v>Pendapatan Denda Hasil dari Kerja Sama Penyediaan Infrastruktur</v>
          </cell>
          <cell r="D1763">
            <v>0</v>
          </cell>
          <cell r="E1763">
            <v>0</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F1764"/>
          <cell r="G1764"/>
          <cell r="H1764"/>
          <cell r="I1764"/>
          <cell r="J1764">
            <v>0</v>
          </cell>
        </row>
        <row r="1765">
          <cell r="B1765" t="str">
            <v>4.1.04.18.01</v>
          </cell>
          <cell r="C1765" t="str">
            <v>Pendapatan Dana Kapitasi JKN pada FKTP</v>
          </cell>
          <cell r="D1765">
            <v>0</v>
          </cell>
          <cell r="E1765">
            <v>0</v>
          </cell>
          <cell r="F1765">
            <v>0</v>
          </cell>
          <cell r="G1765">
            <v>0</v>
          </cell>
          <cell r="H1765">
            <v>0</v>
          </cell>
          <cell r="I1765">
            <v>0</v>
          </cell>
          <cell r="J1765">
            <v>0</v>
          </cell>
        </row>
        <row r="1766">
          <cell r="B1766" t="str">
            <v>4.1.04.19</v>
          </cell>
          <cell r="C1766" t="str">
            <v>Pendapatan Hasil Pengelolaan Dana Bergulir</v>
          </cell>
          <cell r="D1766">
            <v>0</v>
          </cell>
          <cell r="E1766">
            <v>0</v>
          </cell>
          <cell r="F1766"/>
          <cell r="G1766"/>
          <cell r="H1766"/>
          <cell r="I1766"/>
          <cell r="J1766">
            <v>0</v>
          </cell>
        </row>
        <row r="1767">
          <cell r="B1767" t="str">
            <v>4.1.04.19.01</v>
          </cell>
          <cell r="C1767" t="str">
            <v>Pendapatan Hasil Pengelolaan Dana Bergulir</v>
          </cell>
          <cell r="D1767">
            <v>0</v>
          </cell>
          <cell r="E1767">
            <v>0</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F1768"/>
          <cell r="G1768"/>
          <cell r="H1768"/>
          <cell r="I1768"/>
          <cell r="J1768">
            <v>0</v>
          </cell>
        </row>
        <row r="1769">
          <cell r="B1769" t="str">
            <v>4.1.04.20.01</v>
          </cell>
          <cell r="C1769" t="str">
            <v>Pendapatan Berdasarkan Putusan Pengadilan (Inkracht)</v>
          </cell>
          <cell r="D1769">
            <v>0</v>
          </cell>
          <cell r="E1769">
            <v>0</v>
          </cell>
          <cell r="F1769">
            <v>0</v>
          </cell>
          <cell r="G1769">
            <v>0</v>
          </cell>
          <cell r="H1769">
            <v>0</v>
          </cell>
          <cell r="I1769">
            <v>0</v>
          </cell>
          <cell r="J1769">
            <v>0</v>
          </cell>
        </row>
        <row r="1770">
          <cell r="B1770" t="str">
            <v>4.1.04.21</v>
          </cell>
          <cell r="C1770" t="str">
            <v>Pendapatan Denda atas Pelanggaran Peraturan Daerah</v>
          </cell>
          <cell r="D1770">
            <v>0</v>
          </cell>
          <cell r="E1770">
            <v>0</v>
          </cell>
          <cell r="F1770"/>
          <cell r="G1770"/>
          <cell r="H1770"/>
          <cell r="I1770"/>
          <cell r="J1770">
            <v>0</v>
          </cell>
        </row>
        <row r="1771">
          <cell r="B1771" t="str">
            <v>4.1.04.21.01</v>
          </cell>
          <cell r="C1771" t="str">
            <v>Pendapatan Denda atas Pelanggaran Peraturan Daerah</v>
          </cell>
          <cell r="D1771">
            <v>0</v>
          </cell>
          <cell r="E1771">
            <v>0</v>
          </cell>
          <cell r="F1771">
            <v>0</v>
          </cell>
          <cell r="G1771">
            <v>0</v>
          </cell>
          <cell r="H1771">
            <v>0</v>
          </cell>
          <cell r="I1771">
            <v>0</v>
          </cell>
          <cell r="J1771">
            <v>0</v>
          </cell>
        </row>
        <row r="1772">
          <cell r="B1772" t="str">
            <v>4.1.04.22</v>
          </cell>
          <cell r="C1772" t="str">
            <v>Pendapatan Zakat, Infaq, Shadaqah, dan Wakaf</v>
          </cell>
          <cell r="D1772">
            <v>0</v>
          </cell>
          <cell r="E1772">
            <v>0</v>
          </cell>
          <cell r="F1772"/>
          <cell r="G1772"/>
          <cell r="H1772"/>
          <cell r="I1772"/>
          <cell r="J1772">
            <v>0</v>
          </cell>
        </row>
        <row r="1773">
          <cell r="B1773" t="str">
            <v>4.1.04.22.01</v>
          </cell>
          <cell r="C1773" t="str">
            <v>Pendapatan Zakat</v>
          </cell>
          <cell r="D1773">
            <v>0</v>
          </cell>
          <cell r="E1773">
            <v>0</v>
          </cell>
          <cell r="F1773">
            <v>0</v>
          </cell>
          <cell r="G1773">
            <v>0</v>
          </cell>
          <cell r="H1773">
            <v>0</v>
          </cell>
          <cell r="I1773">
            <v>0</v>
          </cell>
          <cell r="J1773">
            <v>0</v>
          </cell>
        </row>
        <row r="1774">
          <cell r="B1774" t="str">
            <v>4.1.04.23</v>
          </cell>
          <cell r="C1774" t="str">
            <v>Pendapatan Hasil Pelaksanaan Perjanjian/Kontrak</v>
          </cell>
          <cell r="D1774">
            <v>0</v>
          </cell>
          <cell r="E1774">
            <v>0</v>
          </cell>
          <cell r="F1774"/>
          <cell r="G1774"/>
          <cell r="H1774"/>
          <cell r="I1774"/>
          <cell r="J1774">
            <v>0</v>
          </cell>
        </row>
        <row r="1775">
          <cell r="B1775" t="str">
            <v>4.1.04.23.01</v>
          </cell>
          <cell r="C1775" t="str">
            <v>Pendapatan Hasil Pelaksanaan Perjanjian/Kontrak</v>
          </cell>
          <cell r="D1775">
            <v>0</v>
          </cell>
          <cell r="E1775">
            <v>0</v>
          </cell>
          <cell r="F1775">
            <v>0</v>
          </cell>
          <cell r="G1775">
            <v>0</v>
          </cell>
          <cell r="H1775">
            <v>0</v>
          </cell>
          <cell r="I1775">
            <v>0</v>
          </cell>
          <cell r="J1775">
            <v>0</v>
          </cell>
        </row>
        <row r="1776">
          <cell r="B1776" t="str">
            <v>4.1.04.24</v>
          </cell>
          <cell r="C1776" t="str">
            <v>Pungutan bagi Wisatawan Asing</v>
          </cell>
          <cell r="D1776">
            <v>0</v>
          </cell>
          <cell r="E1776">
            <v>0</v>
          </cell>
          <cell r="F1776"/>
          <cell r="G1776"/>
          <cell r="H1776"/>
          <cell r="I1776"/>
          <cell r="J1776">
            <v>0</v>
          </cell>
        </row>
        <row r="1777">
          <cell r="B1777" t="str">
            <v>4.1.04.24.01</v>
          </cell>
          <cell r="C1777" t="str">
            <v>Pungutan bagi Wisatawan Asing</v>
          </cell>
          <cell r="D1777">
            <v>0</v>
          </cell>
          <cell r="E1777">
            <v>0</v>
          </cell>
          <cell r="F1777">
            <v>0</v>
          </cell>
          <cell r="G1777">
            <v>0</v>
          </cell>
          <cell r="H1777">
            <v>0</v>
          </cell>
          <cell r="I1777">
            <v>0</v>
          </cell>
          <cell r="J1777">
            <v>0</v>
          </cell>
        </row>
        <row r="1778">
          <cell r="B1778" t="str">
            <v>4.1.04.25</v>
          </cell>
          <cell r="C1778" t="str">
            <v>Hasil Pengelolaan Dana Abadi Daerah</v>
          </cell>
          <cell r="D1778">
            <v>0</v>
          </cell>
          <cell r="E1778">
            <v>0</v>
          </cell>
          <cell r="F1778"/>
          <cell r="G1778"/>
          <cell r="H1778"/>
          <cell r="I1778"/>
          <cell r="J1778">
            <v>0</v>
          </cell>
        </row>
        <row r="1779">
          <cell r="B1779" t="str">
            <v>4.1.04.25.01</v>
          </cell>
          <cell r="C1779" t="str">
            <v>Hasil Pengelolaan Dana Abadi Daerah</v>
          </cell>
          <cell r="D1779">
            <v>0</v>
          </cell>
          <cell r="E1779">
            <v>0</v>
          </cell>
          <cell r="F1779">
            <v>0</v>
          </cell>
          <cell r="G1779">
            <v>0</v>
          </cell>
          <cell r="H1779">
            <v>0</v>
          </cell>
          <cell r="I1779">
            <v>0</v>
          </cell>
          <cell r="J1779">
            <v>0</v>
          </cell>
        </row>
        <row r="1780">
          <cell r="B1780" t="str">
            <v>4.1.04.26</v>
          </cell>
          <cell r="C1780" t="str">
            <v>Hasil Pengelolaan Dana Cadangan</v>
          </cell>
          <cell r="D1780">
            <v>0</v>
          </cell>
          <cell r="E1780">
            <v>0</v>
          </cell>
          <cell r="F1780"/>
          <cell r="G1780"/>
          <cell r="H1780"/>
          <cell r="I1780"/>
          <cell r="J1780">
            <v>0</v>
          </cell>
        </row>
        <row r="1781">
          <cell r="B1781" t="str">
            <v>4.1.04.26.01</v>
          </cell>
          <cell r="C1781" t="str">
            <v>Hasil Pengelolaan Dana Cadangan</v>
          </cell>
          <cell r="D1781">
            <v>0</v>
          </cell>
          <cell r="E1781">
            <v>0</v>
          </cell>
          <cell r="F1781">
            <v>0</v>
          </cell>
          <cell r="G1781">
            <v>0</v>
          </cell>
          <cell r="H1781">
            <v>0</v>
          </cell>
          <cell r="I1781">
            <v>0</v>
          </cell>
          <cell r="J1781">
            <v>0</v>
          </cell>
        </row>
        <row r="1782">
          <cell r="B1782" t="str">
            <v>4.1.04.27</v>
          </cell>
          <cell r="C1782" t="str">
            <v>Pendapatan atas Sanksi Administrasi Pajak Daerah</v>
          </cell>
          <cell r="D1782">
            <v>0</v>
          </cell>
          <cell r="E1782">
            <v>0</v>
          </cell>
          <cell r="F1782"/>
          <cell r="G1782"/>
          <cell r="H1782"/>
          <cell r="I1782"/>
          <cell r="J1782">
            <v>0</v>
          </cell>
        </row>
        <row r="1783">
          <cell r="B1783" t="str">
            <v>4.1.04.27.01</v>
          </cell>
          <cell r="C1783" t="str">
            <v>Pendapatan Denda Pajak Daerah</v>
          </cell>
          <cell r="D1783">
            <v>0</v>
          </cell>
          <cell r="E1783">
            <v>0</v>
          </cell>
          <cell r="F1783">
            <v>0</v>
          </cell>
          <cell r="G1783">
            <v>0</v>
          </cell>
          <cell r="H1783">
            <v>0</v>
          </cell>
          <cell r="I1783">
            <v>0</v>
          </cell>
          <cell r="J1783">
            <v>0</v>
          </cell>
        </row>
        <row r="1784">
          <cell r="B1784" t="str">
            <v>4.1.04.27.02</v>
          </cell>
          <cell r="C1784" t="str">
            <v>Pendapatan Bunga Pajak Daerah</v>
          </cell>
          <cell r="D1784">
            <v>0</v>
          </cell>
          <cell r="E1784">
            <v>0</v>
          </cell>
          <cell r="F1784">
            <v>0</v>
          </cell>
          <cell r="G1784">
            <v>0</v>
          </cell>
          <cell r="H1784">
            <v>0</v>
          </cell>
          <cell r="I1784">
            <v>0</v>
          </cell>
          <cell r="J1784">
            <v>0</v>
          </cell>
        </row>
        <row r="1785">
          <cell r="B1785" t="str">
            <v>4.1.04.27.03</v>
          </cell>
          <cell r="C1785" t="str">
            <v>Pendapatan Kenaikan Pokok Pajak Daerah</v>
          </cell>
          <cell r="D1785">
            <v>0</v>
          </cell>
          <cell r="E1785">
            <v>0</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F1786"/>
          <cell r="G1786"/>
          <cell r="H1786"/>
          <cell r="I1786"/>
          <cell r="J1786">
            <v>0</v>
          </cell>
        </row>
        <row r="1787">
          <cell r="B1787" t="str">
            <v>4.1.04.28.01</v>
          </cell>
          <cell r="C1787" t="str">
            <v>Pendapatan Denda Retribusi Daerah</v>
          </cell>
          <cell r="D1787">
            <v>0</v>
          </cell>
          <cell r="E1787">
            <v>0</v>
          </cell>
          <cell r="F1787">
            <v>0</v>
          </cell>
          <cell r="G1787">
            <v>0</v>
          </cell>
          <cell r="H1787">
            <v>0</v>
          </cell>
          <cell r="I1787">
            <v>0</v>
          </cell>
          <cell r="J1787">
            <v>0</v>
          </cell>
        </row>
        <row r="1788">
          <cell r="B1788" t="str">
            <v>4.1.04.28.02</v>
          </cell>
          <cell r="C1788" t="str">
            <v>Pendapatan Bunga Retribusi Daerah</v>
          </cell>
          <cell r="D1788">
            <v>0</v>
          </cell>
          <cell r="E1788">
            <v>0</v>
          </cell>
          <cell r="F1788">
            <v>0</v>
          </cell>
          <cell r="G1788">
            <v>0</v>
          </cell>
          <cell r="H1788">
            <v>0</v>
          </cell>
          <cell r="I1788">
            <v>0</v>
          </cell>
          <cell r="J1788">
            <v>0</v>
          </cell>
        </row>
        <row r="1789">
          <cell r="B1789"/>
          <cell r="C1789"/>
          <cell r="D1789"/>
          <cell r="E1789"/>
          <cell r="F1789"/>
          <cell r="G1789"/>
          <cell r="H1789"/>
          <cell r="I1789"/>
          <cell r="J1789"/>
        </row>
        <row r="1790">
          <cell r="B1790" t="str">
            <v>4.2</v>
          </cell>
          <cell r="C1790" t="str">
            <v>PENDAPATAN TRANSFER</v>
          </cell>
          <cell r="D1790">
            <v>1145064864572</v>
          </cell>
          <cell r="E1790">
            <v>2351734703221</v>
          </cell>
          <cell r="F1790"/>
          <cell r="G1790"/>
          <cell r="H1790"/>
          <cell r="I1790"/>
          <cell r="J1790">
            <v>2351734703221</v>
          </cell>
        </row>
        <row r="1791">
          <cell r="B1791" t="str">
            <v>4.2.01</v>
          </cell>
          <cell r="C1791" t="str">
            <v>Pendapatan Transfer Pemerintah Pusat</v>
          </cell>
          <cell r="D1791">
            <v>1020370894861</v>
          </cell>
          <cell r="E1791">
            <v>2282648598101</v>
          </cell>
          <cell r="F1791"/>
          <cell r="G1791"/>
          <cell r="H1791"/>
          <cell r="I1791"/>
          <cell r="J1791">
            <v>2282648598101</v>
          </cell>
        </row>
        <row r="1792">
          <cell r="B1792" t="str">
            <v>4.2.01.01</v>
          </cell>
          <cell r="C1792" t="str">
            <v>Dana Perimbangan</v>
          </cell>
          <cell r="D1792">
            <v>936083314361</v>
          </cell>
          <cell r="E1792">
            <v>0</v>
          </cell>
          <cell r="F1792"/>
          <cell r="G1792"/>
          <cell r="H1792"/>
          <cell r="I1792"/>
          <cell r="J1792">
            <v>0</v>
          </cell>
        </row>
        <row r="1793">
          <cell r="B1793" t="str">
            <v>4.2.01.01.01</v>
          </cell>
          <cell r="C1793" t="str">
            <v>Dana Transfer Umum-Dana Bagi Hasil (DBH)</v>
          </cell>
          <cell r="D1793">
            <v>312167241492</v>
          </cell>
          <cell r="E1793">
            <v>0</v>
          </cell>
          <cell r="F1793">
            <v>0</v>
          </cell>
          <cell r="G1793">
            <v>0</v>
          </cell>
          <cell r="H1793">
            <v>0</v>
          </cell>
          <cell r="I1793">
            <v>0</v>
          </cell>
          <cell r="J1793">
            <v>0</v>
          </cell>
        </row>
        <row r="1794">
          <cell r="B1794" t="str">
            <v>4.2.01.01.02</v>
          </cell>
          <cell r="C1794" t="str">
            <v>Dana Transfer Umum-Dana Alokasi Umum (DAU)</v>
          </cell>
          <cell r="D1794">
            <v>432375705856</v>
          </cell>
          <cell r="E1794">
            <v>0</v>
          </cell>
          <cell r="F1794">
            <v>0</v>
          </cell>
          <cell r="G1794">
            <v>0</v>
          </cell>
          <cell r="H1794">
            <v>0</v>
          </cell>
          <cell r="I1794">
            <v>0</v>
          </cell>
          <cell r="J1794">
            <v>0</v>
          </cell>
        </row>
        <row r="1795">
          <cell r="B1795" t="str">
            <v>4.2.01.01.03</v>
          </cell>
          <cell r="C1795" t="str">
            <v>Dana Transfer Khusus-Dana Alokasi Khusus (DAK) Fisik</v>
          </cell>
          <cell r="D1795">
            <v>103353966287</v>
          </cell>
          <cell r="E1795">
            <v>0</v>
          </cell>
          <cell r="F1795">
            <v>0</v>
          </cell>
          <cell r="G1795">
            <v>0</v>
          </cell>
          <cell r="H1795">
            <v>0</v>
          </cell>
          <cell r="I1795">
            <v>0</v>
          </cell>
          <cell r="J1795">
            <v>0</v>
          </cell>
        </row>
        <row r="1796">
          <cell r="B1796" t="str">
            <v>4.2.01.01.04</v>
          </cell>
          <cell r="C1796" t="str">
            <v>Dana Transfer Khusus-Dana Alokasi Khusus (DAK) Non Fisik</v>
          </cell>
          <cell r="D1796">
            <v>88186400726</v>
          </cell>
          <cell r="E1796">
            <v>0</v>
          </cell>
          <cell r="F1796">
            <v>0</v>
          </cell>
          <cell r="G1796">
            <v>0</v>
          </cell>
          <cell r="H1796">
            <v>0</v>
          </cell>
          <cell r="I1796">
            <v>0</v>
          </cell>
          <cell r="J1796">
            <v>0</v>
          </cell>
        </row>
        <row r="1797">
          <cell r="B1797" t="str">
            <v>4.2.01.02</v>
          </cell>
          <cell r="C1797" t="str">
            <v>Dana Insentif Daerah (DID)</v>
          </cell>
          <cell r="D1797">
            <v>0</v>
          </cell>
          <cell r="E1797">
            <v>0</v>
          </cell>
          <cell r="F1797"/>
          <cell r="G1797"/>
          <cell r="H1797"/>
          <cell r="I1797"/>
          <cell r="J1797">
            <v>0</v>
          </cell>
        </row>
        <row r="1798">
          <cell r="B1798" t="str">
            <v>4.2.01.02.01</v>
          </cell>
          <cell r="C1798" t="str">
            <v>DID</v>
          </cell>
          <cell r="D1798">
            <v>0</v>
          </cell>
          <cell r="E1798">
            <v>0</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F1799"/>
          <cell r="G1799"/>
          <cell r="H1799"/>
          <cell r="I1799"/>
          <cell r="J1799">
            <v>0</v>
          </cell>
        </row>
        <row r="1800">
          <cell r="B1800" t="str">
            <v>4.2.01.03.01</v>
          </cell>
          <cell r="C1800" t="str">
            <v>Dana Otonomi Khusus-Provinsi Papua</v>
          </cell>
          <cell r="D1800">
            <v>0</v>
          </cell>
          <cell r="E1800">
            <v>0</v>
          </cell>
          <cell r="F1800">
            <v>0</v>
          </cell>
          <cell r="G1800">
            <v>0</v>
          </cell>
          <cell r="H1800">
            <v>0</v>
          </cell>
          <cell r="I1800">
            <v>0</v>
          </cell>
          <cell r="J1800">
            <v>0</v>
          </cell>
        </row>
        <row r="1801">
          <cell r="B1801" t="str">
            <v>4.2.01.03.02</v>
          </cell>
          <cell r="C1801" t="str">
            <v>Dana Otonomi Khusus-Provinsi Papua Barat</v>
          </cell>
          <cell r="D1801">
            <v>0</v>
          </cell>
          <cell r="E1801">
            <v>0</v>
          </cell>
          <cell r="F1801">
            <v>0</v>
          </cell>
          <cell r="G1801">
            <v>0</v>
          </cell>
          <cell r="H1801">
            <v>0</v>
          </cell>
          <cell r="I1801">
            <v>0</v>
          </cell>
          <cell r="J1801">
            <v>0</v>
          </cell>
        </row>
        <row r="1802">
          <cell r="B1802" t="str">
            <v>4.2.01.03.03</v>
          </cell>
          <cell r="C1802" t="str">
            <v>Dana Otonomi Khusus-Provinsi Aceh</v>
          </cell>
          <cell r="D1802">
            <v>0</v>
          </cell>
          <cell r="E1802">
            <v>0</v>
          </cell>
          <cell r="F1802">
            <v>0</v>
          </cell>
          <cell r="G1802">
            <v>0</v>
          </cell>
          <cell r="H1802">
            <v>0</v>
          </cell>
          <cell r="I1802">
            <v>0</v>
          </cell>
          <cell r="J1802">
            <v>0</v>
          </cell>
        </row>
        <row r="1803">
          <cell r="B1803" t="str">
            <v>4.2.01.03.04</v>
          </cell>
          <cell r="C1803" t="str">
            <v>Dana Tambahan Infrastruktur dalam rangka Otonomi Khusus Provinsi Papua</v>
          </cell>
          <cell r="D1803">
            <v>0</v>
          </cell>
          <cell r="E1803">
            <v>0</v>
          </cell>
          <cell r="F1803">
            <v>0</v>
          </cell>
          <cell r="G1803">
            <v>0</v>
          </cell>
          <cell r="H1803">
            <v>0</v>
          </cell>
          <cell r="I1803">
            <v>0</v>
          </cell>
          <cell r="J1803">
            <v>0</v>
          </cell>
        </row>
        <row r="1804">
          <cell r="B1804" t="str">
            <v>4.2.01.03.05</v>
          </cell>
          <cell r="C1804" t="str">
            <v>Dana Tambahan Infrastruktur dalam rangka Otonomi Khusus Provinsi Papua Barat</v>
          </cell>
          <cell r="D1804">
            <v>0</v>
          </cell>
          <cell r="E1804">
            <v>0</v>
          </cell>
          <cell r="F1804">
            <v>0</v>
          </cell>
          <cell r="G1804">
            <v>0</v>
          </cell>
          <cell r="H1804">
            <v>0</v>
          </cell>
          <cell r="I1804">
            <v>0</v>
          </cell>
          <cell r="J1804">
            <v>0</v>
          </cell>
        </row>
        <row r="1805">
          <cell r="B1805" t="str">
            <v>4.2.01.03.06</v>
          </cell>
          <cell r="C1805" t="str">
            <v>Dana Bagi Hasil (DBH) Minyak dan Gas Otonomi Khusus Papua</v>
          </cell>
          <cell r="D1805">
            <v>0</v>
          </cell>
          <cell r="E1805">
            <v>0</v>
          </cell>
          <cell r="F1805">
            <v>0</v>
          </cell>
          <cell r="G1805">
            <v>0</v>
          </cell>
          <cell r="H1805">
            <v>0</v>
          </cell>
          <cell r="I1805">
            <v>0</v>
          </cell>
          <cell r="J1805">
            <v>0</v>
          </cell>
        </row>
        <row r="1806">
          <cell r="B1806" t="str">
            <v>4.2.01.03.07</v>
          </cell>
          <cell r="C1806" t="str">
            <v>Dana Bagi Hasil (DBH) Minyak dan Gas Otonomi Khusus Aceh</v>
          </cell>
          <cell r="D1806">
            <v>0</v>
          </cell>
          <cell r="E1806">
            <v>0</v>
          </cell>
          <cell r="F1806">
            <v>0</v>
          </cell>
          <cell r="G1806">
            <v>0</v>
          </cell>
          <cell r="H1806">
            <v>0</v>
          </cell>
          <cell r="I1806">
            <v>0</v>
          </cell>
          <cell r="J1806">
            <v>0</v>
          </cell>
        </row>
        <row r="1807">
          <cell r="B1807" t="str">
            <v>4.2.01.03.08</v>
          </cell>
          <cell r="C1807" t="str">
            <v>Dana Otonomi Khusus 1%-Papua</v>
          </cell>
          <cell r="D1807">
            <v>0</v>
          </cell>
          <cell r="E1807">
            <v>0</v>
          </cell>
          <cell r="F1807">
            <v>0</v>
          </cell>
          <cell r="G1807">
            <v>0</v>
          </cell>
          <cell r="H1807">
            <v>0</v>
          </cell>
          <cell r="I1807">
            <v>0</v>
          </cell>
          <cell r="J1807">
            <v>0</v>
          </cell>
        </row>
        <row r="1808">
          <cell r="B1808" t="str">
            <v>4.2.01.03.09</v>
          </cell>
          <cell r="C1808" t="str">
            <v>DBH SDA Pertambangan Minyak Bumi-Papua</v>
          </cell>
          <cell r="D1808">
            <v>0</v>
          </cell>
          <cell r="E1808">
            <v>0</v>
          </cell>
          <cell r="F1808">
            <v>0</v>
          </cell>
          <cell r="G1808">
            <v>0</v>
          </cell>
          <cell r="H1808">
            <v>0</v>
          </cell>
          <cell r="I1808">
            <v>0</v>
          </cell>
          <cell r="J1808">
            <v>0</v>
          </cell>
        </row>
        <row r="1809">
          <cell r="B1809" t="str">
            <v>4.2.01.03.10</v>
          </cell>
          <cell r="C1809" t="str">
            <v>DBH SDA Pertambangan Gas Alam-Papua</v>
          </cell>
          <cell r="D1809">
            <v>0</v>
          </cell>
          <cell r="E1809">
            <v>0</v>
          </cell>
          <cell r="F1809">
            <v>0</v>
          </cell>
          <cell r="G1809">
            <v>0</v>
          </cell>
          <cell r="H1809">
            <v>0</v>
          </cell>
          <cell r="I1809">
            <v>0</v>
          </cell>
          <cell r="J1809">
            <v>0</v>
          </cell>
        </row>
        <row r="1810">
          <cell r="B1810" t="str">
            <v>4.2.01.03.11</v>
          </cell>
          <cell r="C1810" t="str">
            <v>Dana Otonomi Khusus 1,25%-Papua</v>
          </cell>
          <cell r="D1810">
            <v>0</v>
          </cell>
          <cell r="E1810">
            <v>0</v>
          </cell>
          <cell r="F1810">
            <v>0</v>
          </cell>
          <cell r="G1810">
            <v>0</v>
          </cell>
          <cell r="H1810">
            <v>0</v>
          </cell>
          <cell r="I1810">
            <v>0</v>
          </cell>
          <cell r="J1810">
            <v>0</v>
          </cell>
        </row>
        <row r="1811">
          <cell r="B1811" t="str">
            <v>4.2.01.03.12</v>
          </cell>
          <cell r="C1811" t="str">
            <v>DTI-Papua</v>
          </cell>
          <cell r="D1811">
            <v>0</v>
          </cell>
          <cell r="E1811">
            <v>0</v>
          </cell>
          <cell r="F1811">
            <v>0</v>
          </cell>
          <cell r="G1811">
            <v>0</v>
          </cell>
          <cell r="H1811">
            <v>0</v>
          </cell>
          <cell r="I1811">
            <v>0</v>
          </cell>
          <cell r="J1811">
            <v>0</v>
          </cell>
        </row>
        <row r="1812">
          <cell r="B1812" t="str">
            <v>4.2.01.03.13</v>
          </cell>
          <cell r="C1812" t="str">
            <v>DBH SDA Pertambangan Minyak Bumi-Aceh</v>
          </cell>
          <cell r="D1812">
            <v>0</v>
          </cell>
          <cell r="E1812">
            <v>0</v>
          </cell>
          <cell r="F1812">
            <v>0</v>
          </cell>
          <cell r="G1812">
            <v>0</v>
          </cell>
          <cell r="H1812">
            <v>0</v>
          </cell>
          <cell r="I1812">
            <v>0</v>
          </cell>
          <cell r="J1812">
            <v>0</v>
          </cell>
        </row>
        <row r="1813">
          <cell r="B1813" t="str">
            <v>4.2.01.03.14</v>
          </cell>
          <cell r="C1813" t="str">
            <v>DBH SDA Pertambangan Gas Alam-Aceh</v>
          </cell>
          <cell r="D1813">
            <v>0</v>
          </cell>
          <cell r="E1813">
            <v>0</v>
          </cell>
          <cell r="F1813">
            <v>0</v>
          </cell>
          <cell r="G1813">
            <v>0</v>
          </cell>
          <cell r="H1813">
            <v>0</v>
          </cell>
          <cell r="I1813">
            <v>0</v>
          </cell>
          <cell r="J1813">
            <v>0</v>
          </cell>
        </row>
        <row r="1814">
          <cell r="B1814" t="str">
            <v>4.2.01.04</v>
          </cell>
          <cell r="C1814" t="str">
            <v>Dana Keistimewaan</v>
          </cell>
          <cell r="D1814">
            <v>0</v>
          </cell>
          <cell r="E1814">
            <v>0</v>
          </cell>
          <cell r="F1814"/>
          <cell r="G1814"/>
          <cell r="H1814"/>
          <cell r="I1814"/>
          <cell r="J1814">
            <v>0</v>
          </cell>
        </row>
        <row r="1815">
          <cell r="B1815" t="str">
            <v>4.2.01.04.01</v>
          </cell>
          <cell r="C1815" t="str">
            <v>Dana Keistimewaan Daerah Istimewa Yogyakarta</v>
          </cell>
          <cell r="D1815">
            <v>0</v>
          </cell>
          <cell r="E1815">
            <v>0</v>
          </cell>
          <cell r="F1815">
            <v>0</v>
          </cell>
          <cell r="G1815">
            <v>0</v>
          </cell>
          <cell r="H1815">
            <v>0</v>
          </cell>
          <cell r="I1815">
            <v>0</v>
          </cell>
          <cell r="J1815">
            <v>0</v>
          </cell>
        </row>
        <row r="1816">
          <cell r="B1816" t="str">
            <v>4.2.01.05</v>
          </cell>
          <cell r="C1816" t="str">
            <v>Dana Desa</v>
          </cell>
          <cell r="D1816">
            <v>51242247500</v>
          </cell>
          <cell r="E1816">
            <v>49739841000</v>
          </cell>
          <cell r="F1816"/>
          <cell r="G1816"/>
          <cell r="H1816"/>
          <cell r="I1816"/>
          <cell r="J1816">
            <v>49739841000</v>
          </cell>
        </row>
        <row r="1817">
          <cell r="B1817" t="str">
            <v>4.2.01.05.01</v>
          </cell>
          <cell r="C1817" t="str">
            <v>Dana Desa</v>
          </cell>
          <cell r="D1817">
            <v>51242247500</v>
          </cell>
          <cell r="E1817">
            <v>49739841000</v>
          </cell>
          <cell r="F1817">
            <v>0</v>
          </cell>
          <cell r="G1817">
            <v>0</v>
          </cell>
          <cell r="H1817">
            <v>0</v>
          </cell>
          <cell r="I1817">
            <v>0</v>
          </cell>
          <cell r="J1817">
            <v>49739841000</v>
          </cell>
        </row>
        <row r="1818">
          <cell r="B1818" t="str">
            <v>4.2.01.06</v>
          </cell>
          <cell r="C1818" t="str">
            <v>Insentif Fiskal</v>
          </cell>
          <cell r="D1818">
            <v>33045333000</v>
          </cell>
          <cell r="E1818">
            <v>13112385000</v>
          </cell>
          <cell r="F1818"/>
          <cell r="G1818"/>
          <cell r="H1818"/>
          <cell r="I1818"/>
          <cell r="J1818">
            <v>13112385000</v>
          </cell>
        </row>
        <row r="1819">
          <cell r="B1819" t="str">
            <v>4.2.01.06.01</v>
          </cell>
          <cell r="C1819" t="str">
            <v>Insentif Fiskal</v>
          </cell>
          <cell r="D1819">
            <v>33045333000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7385625000</v>
          </cell>
          <cell r="F1820">
            <v>0</v>
          </cell>
          <cell r="G1820">
            <v>0</v>
          </cell>
          <cell r="H1820">
            <v>0</v>
          </cell>
          <cell r="I1820">
            <v>0</v>
          </cell>
          <cell r="J1820">
            <v>7385625000</v>
          </cell>
        </row>
        <row r="1821">
          <cell r="B1821" t="str">
            <v>4.2.01.06.03</v>
          </cell>
          <cell r="C1821" t="str">
            <v>Insentif Fiskal Untuk Penghargaan Kinerja Tahun Berjalan</v>
          </cell>
          <cell r="D1821">
            <v>0</v>
          </cell>
          <cell r="E1821">
            <v>5726760000</v>
          </cell>
          <cell r="F1821">
            <v>0</v>
          </cell>
          <cell r="G1821">
            <v>0</v>
          </cell>
          <cell r="H1821">
            <v>0</v>
          </cell>
          <cell r="I1821">
            <v>0</v>
          </cell>
          <cell r="J1821">
            <v>5726760000</v>
          </cell>
        </row>
        <row r="1822">
          <cell r="B1822" t="str">
            <v>4.2.01.07</v>
          </cell>
          <cell r="C1822" t="str">
            <v>Dana Bagi Hasil (DBH)</v>
          </cell>
          <cell r="D1822">
            <v>0</v>
          </cell>
          <cell r="E1822">
            <v>1602365569533</v>
          </cell>
          <cell r="F1822"/>
          <cell r="G1822"/>
          <cell r="H1822"/>
          <cell r="I1822"/>
          <cell r="J1822">
            <v>1602365569533</v>
          </cell>
        </row>
        <row r="1823">
          <cell r="B1823" t="str">
            <v>4.2.01.07.01</v>
          </cell>
          <cell r="C1823" t="str">
            <v>DBH Pajak</v>
          </cell>
          <cell r="D1823">
            <v>0</v>
          </cell>
          <cell r="E1823">
            <v>619005772533</v>
          </cell>
          <cell r="F1823">
            <v>0</v>
          </cell>
          <cell r="G1823">
            <v>0</v>
          </cell>
          <cell r="H1823">
            <v>0</v>
          </cell>
          <cell r="I1823">
            <v>0</v>
          </cell>
          <cell r="J1823">
            <v>619005772533</v>
          </cell>
        </row>
        <row r="1824">
          <cell r="B1824" t="str">
            <v>4.2.01.07.02</v>
          </cell>
          <cell r="C1824" t="str">
            <v>DBH Sumber Daya Alam (SDA)</v>
          </cell>
          <cell r="D1824">
            <v>0</v>
          </cell>
          <cell r="E1824">
            <v>983359797000</v>
          </cell>
          <cell r="F1824">
            <v>0</v>
          </cell>
          <cell r="G1824">
            <v>0</v>
          </cell>
          <cell r="H1824">
            <v>0</v>
          </cell>
          <cell r="I1824">
            <v>0</v>
          </cell>
          <cell r="J1824">
            <v>983359797000</v>
          </cell>
        </row>
        <row r="1825">
          <cell r="B1825" t="str">
            <v>4.2.01.07.03</v>
          </cell>
          <cell r="C1825" t="str">
            <v>DBH Lainnya</v>
          </cell>
          <cell r="D1825">
            <v>0</v>
          </cell>
          <cell r="E1825">
            <v>0</v>
          </cell>
          <cell r="F1825">
            <v>0</v>
          </cell>
          <cell r="G1825">
            <v>0</v>
          </cell>
          <cell r="H1825">
            <v>0</v>
          </cell>
          <cell r="I1825">
            <v>0</v>
          </cell>
          <cell r="J1825">
            <v>0</v>
          </cell>
        </row>
        <row r="1826">
          <cell r="B1826" t="str">
            <v>4.2.01.08</v>
          </cell>
          <cell r="C1826" t="str">
            <v>Dana Alokasi Umum (DAU)</v>
          </cell>
          <cell r="D1826">
            <v>0</v>
          </cell>
          <cell r="E1826">
            <v>505791650617</v>
          </cell>
          <cell r="F1826"/>
          <cell r="G1826"/>
          <cell r="H1826"/>
          <cell r="I1826"/>
          <cell r="J1826">
            <v>505791650617</v>
          </cell>
        </row>
        <row r="1827">
          <cell r="B1827" t="str">
            <v>4.2.01.08.01</v>
          </cell>
          <cell r="C1827" t="str">
            <v>DAU yang Tidak Ditentukan Penggunaannya</v>
          </cell>
          <cell r="D1827">
            <v>0</v>
          </cell>
          <cell r="E1827">
            <v>439205845707</v>
          </cell>
          <cell r="F1827">
            <v>0</v>
          </cell>
          <cell r="G1827">
            <v>0</v>
          </cell>
          <cell r="H1827">
            <v>0</v>
          </cell>
          <cell r="I1827">
            <v>0</v>
          </cell>
          <cell r="J1827">
            <v>439205845707</v>
          </cell>
        </row>
        <row r="1828">
          <cell r="B1828" t="str">
            <v>4.2.01.08.02</v>
          </cell>
          <cell r="C1828" t="str">
            <v>DAU yang Ditentukan Penggunaannya</v>
          </cell>
          <cell r="D1828">
            <v>0</v>
          </cell>
          <cell r="E1828">
            <v>66585804910</v>
          </cell>
          <cell r="F1828">
            <v>0</v>
          </cell>
          <cell r="G1828">
            <v>0</v>
          </cell>
          <cell r="H1828">
            <v>0</v>
          </cell>
          <cell r="I1828">
            <v>0</v>
          </cell>
          <cell r="J1828">
            <v>66585804910</v>
          </cell>
        </row>
        <row r="1829">
          <cell r="B1829" t="str">
            <v>4.2.01.09</v>
          </cell>
          <cell r="C1829" t="str">
            <v>Dana Alokasi Khusus (DAK)</v>
          </cell>
          <cell r="D1829">
            <v>0</v>
          </cell>
          <cell r="E1829">
            <v>111639151951</v>
          </cell>
          <cell r="F1829"/>
          <cell r="G1829"/>
          <cell r="H1829"/>
          <cell r="I1829"/>
          <cell r="J1829">
            <v>111639151951</v>
          </cell>
        </row>
        <row r="1830">
          <cell r="B1830" t="str">
            <v>4.2.01.09.01</v>
          </cell>
          <cell r="C1830" t="str">
            <v>DAK Fisik</v>
          </cell>
          <cell r="D1830">
            <v>0</v>
          </cell>
          <cell r="E1830">
            <v>5943939229</v>
          </cell>
          <cell r="F1830">
            <v>0</v>
          </cell>
          <cell r="G1830">
            <v>0</v>
          </cell>
          <cell r="H1830">
            <v>0</v>
          </cell>
          <cell r="I1830">
            <v>0</v>
          </cell>
          <cell r="J1830">
            <v>5943939229</v>
          </cell>
        </row>
        <row r="1831">
          <cell r="B1831" t="str">
            <v>4.2.01.09.02</v>
          </cell>
          <cell r="C1831" t="str">
            <v>DAK Non Fisik</v>
          </cell>
          <cell r="D1831">
            <v>0</v>
          </cell>
          <cell r="E1831">
            <v>105695212722</v>
          </cell>
          <cell r="F1831">
            <v>0</v>
          </cell>
          <cell r="G1831">
            <v>0</v>
          </cell>
          <cell r="H1831">
            <v>0</v>
          </cell>
          <cell r="I1831">
            <v>0</v>
          </cell>
          <cell r="J1831">
            <v>105695212722</v>
          </cell>
        </row>
        <row r="1832">
          <cell r="B1832" t="str">
            <v>4.2.01.09.03</v>
          </cell>
          <cell r="C1832" t="str">
            <v>Hibah kepada Daerah</v>
          </cell>
          <cell r="D1832">
            <v>0</v>
          </cell>
          <cell r="E1832">
            <v>0</v>
          </cell>
          <cell r="F1832">
            <v>0</v>
          </cell>
          <cell r="G1832">
            <v>0</v>
          </cell>
          <cell r="H1832">
            <v>0</v>
          </cell>
          <cell r="I1832">
            <v>0</v>
          </cell>
          <cell r="J1832">
            <v>0</v>
          </cell>
        </row>
        <row r="1833">
          <cell r="B1833"/>
          <cell r="C1833"/>
          <cell r="D1833"/>
          <cell r="E1833"/>
          <cell r="F1833"/>
          <cell r="G1833"/>
          <cell r="H1833"/>
          <cell r="I1833"/>
          <cell r="J1833"/>
        </row>
        <row r="1834">
          <cell r="B1834" t="str">
            <v>4.2.02</v>
          </cell>
          <cell r="C1834" t="str">
            <v>Pendapatan Transfer Antar Daerah</v>
          </cell>
          <cell r="D1834">
            <v>124693969711</v>
          </cell>
          <cell r="E1834">
            <v>69086105120</v>
          </cell>
          <cell r="F1834"/>
          <cell r="G1834"/>
          <cell r="H1834"/>
          <cell r="I1834"/>
          <cell r="J1834">
            <v>69086105120</v>
          </cell>
        </row>
        <row r="1835">
          <cell r="B1835" t="str">
            <v>4.2.02.01</v>
          </cell>
          <cell r="C1835" t="str">
            <v>Pendapatan Bagi Hasil</v>
          </cell>
          <cell r="D1835">
            <v>124693969711</v>
          </cell>
          <cell r="E1835">
            <v>69021105120</v>
          </cell>
          <cell r="F1835"/>
          <cell r="G1835"/>
          <cell r="H1835"/>
          <cell r="I1835"/>
          <cell r="J1835">
            <v>69021105120</v>
          </cell>
        </row>
        <row r="1836">
          <cell r="B1836" t="str">
            <v>4.2.02.01.01</v>
          </cell>
          <cell r="C1836" t="str">
            <v>Pendapatan Bagi Hasil Pajak</v>
          </cell>
          <cell r="D1836">
            <v>124693969711</v>
          </cell>
          <cell r="E1836">
            <v>69021105120</v>
          </cell>
          <cell r="F1836">
            <v>0</v>
          </cell>
          <cell r="G1836">
            <v>0</v>
          </cell>
          <cell r="H1836">
            <v>0</v>
          </cell>
          <cell r="I1836">
            <v>0</v>
          </cell>
          <cell r="J1836">
            <v>69021105120</v>
          </cell>
        </row>
        <row r="1837">
          <cell r="B1837" t="str">
            <v>4.2.02.02</v>
          </cell>
          <cell r="C1837" t="str">
            <v>Bantuan Keuangan</v>
          </cell>
          <cell r="D1837">
            <v>0</v>
          </cell>
          <cell r="E1837">
            <v>65000000</v>
          </cell>
          <cell r="F1837"/>
          <cell r="G1837"/>
          <cell r="H1837"/>
          <cell r="I1837"/>
          <cell r="J1837">
            <v>65000000</v>
          </cell>
        </row>
        <row r="1838">
          <cell r="B1838" t="str">
            <v>4.2.02.02.01</v>
          </cell>
          <cell r="C1838" t="str">
            <v>Bantuan Keuangan Umum dari Pemerintah Provinsi</v>
          </cell>
          <cell r="D1838">
            <v>0</v>
          </cell>
          <cell r="E1838">
            <v>0</v>
          </cell>
          <cell r="F1838">
            <v>0</v>
          </cell>
          <cell r="G1838">
            <v>0</v>
          </cell>
          <cell r="H1838">
            <v>0</v>
          </cell>
          <cell r="I1838">
            <v>0</v>
          </cell>
          <cell r="J1838">
            <v>0</v>
          </cell>
        </row>
        <row r="1839">
          <cell r="B1839" t="str">
            <v>4.2.02.02.02</v>
          </cell>
          <cell r="C1839" t="str">
            <v>Bantuan Keuangan Khusus dari Pemerintah Provinsi</v>
          </cell>
          <cell r="D1839">
            <v>0</v>
          </cell>
          <cell r="E1839">
            <v>65000000</v>
          </cell>
          <cell r="F1839">
            <v>0</v>
          </cell>
          <cell r="G1839">
            <v>0</v>
          </cell>
          <cell r="H1839">
            <v>0</v>
          </cell>
          <cell r="I1839">
            <v>0</v>
          </cell>
          <cell r="J1839">
            <v>65000000</v>
          </cell>
        </row>
        <row r="1840">
          <cell r="B1840" t="str">
            <v>4.2.02.02.03</v>
          </cell>
          <cell r="C1840" t="str">
            <v>Bantuan Keuangan Umum dari Pemerintah Kabupaten/Kota</v>
          </cell>
          <cell r="D1840">
            <v>0</v>
          </cell>
          <cell r="E1840">
            <v>0</v>
          </cell>
          <cell r="F1840">
            <v>0</v>
          </cell>
          <cell r="G1840">
            <v>0</v>
          </cell>
          <cell r="H1840">
            <v>0</v>
          </cell>
          <cell r="I1840">
            <v>0</v>
          </cell>
          <cell r="J1840">
            <v>0</v>
          </cell>
        </row>
        <row r="1841">
          <cell r="B1841" t="str">
            <v>4.2.02.02.04</v>
          </cell>
          <cell r="C1841" t="str">
            <v>Bantuan Keuangan Khusus dari Pemerintah Kabupaten/Kota</v>
          </cell>
          <cell r="D1841">
            <v>0</v>
          </cell>
          <cell r="E1841">
            <v>0</v>
          </cell>
          <cell r="F1841">
            <v>0</v>
          </cell>
          <cell r="G1841">
            <v>0</v>
          </cell>
          <cell r="H1841">
            <v>0</v>
          </cell>
          <cell r="I1841">
            <v>0</v>
          </cell>
          <cell r="J1841">
            <v>0</v>
          </cell>
        </row>
        <row r="1842">
          <cell r="B1842"/>
          <cell r="C1842"/>
          <cell r="D1842"/>
          <cell r="E1842"/>
          <cell r="F1842"/>
          <cell r="G1842"/>
          <cell r="H1842"/>
          <cell r="I1842"/>
          <cell r="J1842"/>
        </row>
        <row r="1843">
          <cell r="B1843" t="str">
            <v>4.3</v>
          </cell>
          <cell r="C1843" t="str">
            <v>LAIN-LAIN PENDAPATAN DAERAH YANG SAH</v>
          </cell>
          <cell r="D1843">
            <v>835958242111</v>
          </cell>
          <cell r="E1843">
            <v>298471775127.5</v>
          </cell>
          <cell r="F1843"/>
          <cell r="G1843"/>
          <cell r="H1843"/>
          <cell r="I1843"/>
          <cell r="J1843">
            <v>298471775127.5</v>
          </cell>
        </row>
        <row r="1844">
          <cell r="B1844" t="str">
            <v>4.3.01</v>
          </cell>
          <cell r="C1844" t="str">
            <v>Pendapatan Hibah</v>
          </cell>
          <cell r="D1844">
            <v>8828000</v>
          </cell>
          <cell r="E1844">
            <v>0</v>
          </cell>
          <cell r="F1844"/>
          <cell r="G1844"/>
          <cell r="H1844"/>
          <cell r="I1844"/>
          <cell r="J1844">
            <v>0</v>
          </cell>
        </row>
        <row r="1845">
          <cell r="B1845" t="str">
            <v>4.3.01.01</v>
          </cell>
          <cell r="C1845" t="str">
            <v>Pendapatan Hibah dari Pemerintah Pusat</v>
          </cell>
          <cell r="D1845">
            <v>0</v>
          </cell>
          <cell r="E1845">
            <v>0</v>
          </cell>
          <cell r="F1845"/>
          <cell r="G1845"/>
          <cell r="H1845"/>
          <cell r="I1845"/>
          <cell r="J1845">
            <v>0</v>
          </cell>
        </row>
        <row r="1846">
          <cell r="B1846" t="str">
            <v>4.3.01.01.01</v>
          </cell>
          <cell r="C1846" t="str">
            <v>Pendapatan Hibah dari Pemerintah Pusat</v>
          </cell>
          <cell r="D1846">
            <v>0</v>
          </cell>
          <cell r="E1846">
            <v>0</v>
          </cell>
          <cell r="F1846">
            <v>0</v>
          </cell>
          <cell r="G1846">
            <v>0</v>
          </cell>
          <cell r="H1846">
            <v>0</v>
          </cell>
          <cell r="I1846">
            <v>0</v>
          </cell>
          <cell r="J1846">
            <v>0</v>
          </cell>
        </row>
        <row r="1847">
          <cell r="B1847" t="str">
            <v>4.3.01.02</v>
          </cell>
          <cell r="C1847" t="str">
            <v>Pendapatan Hibah dari Pemerintah Daerah Lainnya</v>
          </cell>
          <cell r="D1847">
            <v>0</v>
          </cell>
          <cell r="E1847">
            <v>0</v>
          </cell>
          <cell r="F1847"/>
          <cell r="G1847"/>
          <cell r="H1847"/>
          <cell r="I1847"/>
          <cell r="J1847">
            <v>0</v>
          </cell>
        </row>
        <row r="1848">
          <cell r="B1848" t="str">
            <v>4.3.01.02.01</v>
          </cell>
          <cell r="C1848" t="str">
            <v>Pendapatan Hibah dari Pemerintah Daerah Lainnya</v>
          </cell>
          <cell r="D1848">
            <v>0</v>
          </cell>
          <cell r="E1848">
            <v>0</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F1849"/>
          <cell r="G1849"/>
          <cell r="H1849"/>
          <cell r="I1849"/>
          <cell r="J1849">
            <v>0</v>
          </cell>
        </row>
        <row r="1850">
          <cell r="B1850" t="str">
            <v>4.3.01.03.01</v>
          </cell>
          <cell r="C1850" t="str">
            <v>Pendapatan Hibah dari Kelompok Masyarakat/Perorangan Dalam Negeri</v>
          </cell>
          <cell r="D1850">
            <v>0</v>
          </cell>
          <cell r="E1850">
            <v>0</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F1851"/>
          <cell r="G1851"/>
          <cell r="H1851"/>
          <cell r="I1851"/>
          <cell r="J1851">
            <v>0</v>
          </cell>
        </row>
        <row r="1852">
          <cell r="B1852" t="str">
            <v>4.3.01.04.01</v>
          </cell>
          <cell r="C1852" t="str">
            <v>Pendapatan Hibah dari Badan/Lembaga/Organisasi Dalam Negeri</v>
          </cell>
          <cell r="D1852">
            <v>0</v>
          </cell>
          <cell r="E1852">
            <v>0</v>
          </cell>
          <cell r="F1852">
            <v>0</v>
          </cell>
          <cell r="G1852">
            <v>0</v>
          </cell>
          <cell r="H1852">
            <v>0</v>
          </cell>
          <cell r="I1852">
            <v>0</v>
          </cell>
          <cell r="J1852">
            <v>0</v>
          </cell>
        </row>
        <row r="1853">
          <cell r="B1853" t="str">
            <v>4.3.01.04.02</v>
          </cell>
          <cell r="C1853" t="str">
            <v>Pendapatan Hibah dari Badan/Lembaga/Organisasi Luar Negeri</v>
          </cell>
          <cell r="D1853">
            <v>0</v>
          </cell>
          <cell r="E1853">
            <v>0</v>
          </cell>
          <cell r="F1853">
            <v>0</v>
          </cell>
          <cell r="G1853">
            <v>0</v>
          </cell>
          <cell r="H1853">
            <v>0</v>
          </cell>
          <cell r="I1853">
            <v>0</v>
          </cell>
          <cell r="J1853">
            <v>0</v>
          </cell>
        </row>
        <row r="1854">
          <cell r="B1854" t="str">
            <v>4.3.01.04.03</v>
          </cell>
          <cell r="C1854" t="str">
            <v>Pendapatan Hibah dari Lembaga/Organisasi Swasta Dalam Negeri</v>
          </cell>
          <cell r="D1854">
            <v>0</v>
          </cell>
          <cell r="E1854">
            <v>0</v>
          </cell>
          <cell r="F1854">
            <v>0</v>
          </cell>
          <cell r="G1854">
            <v>0</v>
          </cell>
          <cell r="H1854">
            <v>0</v>
          </cell>
          <cell r="I1854">
            <v>0</v>
          </cell>
          <cell r="J1854">
            <v>0</v>
          </cell>
        </row>
        <row r="1855">
          <cell r="B1855" t="str">
            <v>4.3.01.04.04</v>
          </cell>
          <cell r="C1855" t="str">
            <v>Pendapatan Hibah dari Lembaga/Organisasi Swasta Luar Negeri</v>
          </cell>
          <cell r="D1855">
            <v>0</v>
          </cell>
          <cell r="E1855">
            <v>0</v>
          </cell>
          <cell r="F1855">
            <v>0</v>
          </cell>
          <cell r="G1855">
            <v>0</v>
          </cell>
          <cell r="H1855">
            <v>0</v>
          </cell>
          <cell r="I1855">
            <v>0</v>
          </cell>
          <cell r="J1855">
            <v>0</v>
          </cell>
        </row>
        <row r="1856">
          <cell r="B1856" t="str">
            <v>4.3.01.05</v>
          </cell>
          <cell r="C1856" t="str">
            <v>Sumbangan Pihak Ketiga/Sejenis</v>
          </cell>
          <cell r="D1856">
            <v>8828000</v>
          </cell>
          <cell r="E1856">
            <v>0</v>
          </cell>
          <cell r="F1856"/>
          <cell r="G1856"/>
          <cell r="H1856"/>
          <cell r="I1856"/>
          <cell r="J1856">
            <v>0</v>
          </cell>
        </row>
        <row r="1857">
          <cell r="B1857" t="str">
            <v>4.3.01.05.01</v>
          </cell>
          <cell r="C1857" t="str">
            <v>Sumbangan Pihak Ketiga/Sejenis</v>
          </cell>
          <cell r="D1857">
            <v>8828000</v>
          </cell>
          <cell r="E1857">
            <v>0</v>
          </cell>
          <cell r="F1857">
            <v>0</v>
          </cell>
          <cell r="G1857">
            <v>0</v>
          </cell>
          <cell r="H1857">
            <v>0</v>
          </cell>
          <cell r="I1857">
            <v>0</v>
          </cell>
          <cell r="J1857">
            <v>0</v>
          </cell>
        </row>
        <row r="1858">
          <cell r="B1858"/>
          <cell r="C1858"/>
          <cell r="D1858"/>
          <cell r="E1858"/>
          <cell r="F1858"/>
          <cell r="G1858"/>
          <cell r="H1858"/>
          <cell r="I1858"/>
          <cell r="J1858"/>
        </row>
        <row r="1859">
          <cell r="B1859" t="str">
            <v>4.3.02</v>
          </cell>
          <cell r="C1859" t="str">
            <v>Dana Darurat</v>
          </cell>
          <cell r="D1859">
            <v>0</v>
          </cell>
          <cell r="E1859">
            <v>0</v>
          </cell>
          <cell r="F1859"/>
          <cell r="G1859"/>
          <cell r="H1859"/>
          <cell r="I1859"/>
          <cell r="J1859">
            <v>0</v>
          </cell>
        </row>
        <row r="1860">
          <cell r="B1860" t="str">
            <v>4.3.02.01</v>
          </cell>
          <cell r="C1860" t="str">
            <v>Dana Darurat</v>
          </cell>
          <cell r="D1860">
            <v>0</v>
          </cell>
          <cell r="E1860">
            <v>0</v>
          </cell>
          <cell r="F1860"/>
          <cell r="G1860"/>
          <cell r="H1860"/>
          <cell r="I1860"/>
          <cell r="J1860">
            <v>0</v>
          </cell>
        </row>
        <row r="1861">
          <cell r="B1861" t="str">
            <v>4.3.02.01.01</v>
          </cell>
          <cell r="C1861" t="str">
            <v>Dana Darurat</v>
          </cell>
          <cell r="D1861">
            <v>0</v>
          </cell>
          <cell r="E1861">
            <v>0</v>
          </cell>
          <cell r="F1861">
            <v>0</v>
          </cell>
          <cell r="G1861">
            <v>0</v>
          </cell>
          <cell r="H1861">
            <v>0</v>
          </cell>
          <cell r="I1861">
            <v>0</v>
          </cell>
          <cell r="J1861">
            <v>0</v>
          </cell>
        </row>
        <row r="1862">
          <cell r="B1862"/>
          <cell r="C1862"/>
          <cell r="D1862"/>
          <cell r="E1862"/>
          <cell r="F1862"/>
          <cell r="G1862"/>
          <cell r="H1862"/>
          <cell r="I1862"/>
          <cell r="J1862"/>
        </row>
        <row r="1863">
          <cell r="B1863" t="str">
            <v>4.3.03</v>
          </cell>
          <cell r="C1863" t="str">
            <v>Lain-lain Pendapatan Sesuai dengan Ketentuan Peraturan Perundang-Undangan</v>
          </cell>
          <cell r="D1863">
            <v>835949414111</v>
          </cell>
          <cell r="E1863">
            <v>298471775127.5</v>
          </cell>
          <cell r="F1863"/>
          <cell r="G1863"/>
          <cell r="H1863"/>
          <cell r="I1863"/>
          <cell r="J1863">
            <v>298471775127.5</v>
          </cell>
        </row>
        <row r="1864">
          <cell r="B1864" t="str">
            <v>4.3.03.01</v>
          </cell>
          <cell r="C1864" t="str">
            <v>Lain-lain Pendapatan</v>
          </cell>
          <cell r="D1864">
            <v>835932236750</v>
          </cell>
          <cell r="E1864">
            <v>298388317272</v>
          </cell>
          <cell r="F1864"/>
          <cell r="G1864"/>
          <cell r="H1864"/>
          <cell r="I1864"/>
          <cell r="J1864">
            <v>298388317272</v>
          </cell>
        </row>
        <row r="1865">
          <cell r="B1865" t="str">
            <v>4.3.03.01.01</v>
          </cell>
          <cell r="C1865" t="str">
            <v>Pendapatan Hibah Dana BOS</v>
          </cell>
          <cell r="D1865">
            <v>0</v>
          </cell>
          <cell r="E1865">
            <v>0</v>
          </cell>
          <cell r="F1865">
            <v>0</v>
          </cell>
          <cell r="G1865">
            <v>0</v>
          </cell>
          <cell r="H1865">
            <v>0</v>
          </cell>
          <cell r="I1865">
            <v>0</v>
          </cell>
          <cell r="J1865">
            <v>0</v>
          </cell>
        </row>
        <row r="1866">
          <cell r="B1866" t="str">
            <v>4.3.03.01.02</v>
          </cell>
          <cell r="C1866" t="str">
            <v>Pendapatan atas Pengembalian Hibah</v>
          </cell>
          <cell r="D1866">
            <v>0</v>
          </cell>
          <cell r="E1866">
            <v>2237432122</v>
          </cell>
          <cell r="F1866">
            <v>0</v>
          </cell>
          <cell r="G1866">
            <v>0</v>
          </cell>
          <cell r="H1866">
            <v>0</v>
          </cell>
          <cell r="I1866">
            <v>0</v>
          </cell>
          <cell r="J1866">
            <v>2237432122</v>
          </cell>
        </row>
        <row r="1867">
          <cell r="B1867" t="str">
            <v>4.3.03.01.03</v>
          </cell>
          <cell r="C1867" t="str">
            <v>Pendapatan atas Dana Reducing Emission from Deforestration and Forest Degradation (REDD+) Results Based Payment</v>
          </cell>
          <cell r="D1867">
            <v>835932236750</v>
          </cell>
          <cell r="E1867">
            <v>296150885150</v>
          </cell>
          <cell r="F1867">
            <v>0</v>
          </cell>
          <cell r="G1867">
            <v>0</v>
          </cell>
          <cell r="H1867">
            <v>0</v>
          </cell>
          <cell r="I1867">
            <v>0</v>
          </cell>
          <cell r="J1867">
            <v>296150885150</v>
          </cell>
        </row>
        <row r="1868">
          <cell r="B1868" t="str">
            <v>4.3.03.02</v>
          </cell>
          <cell r="C1868" t="str">
            <v>Pendapatan Dana Kapitasi JKN pada FKTP</v>
          </cell>
          <cell r="D1868">
            <v>0</v>
          </cell>
          <cell r="E1868">
            <v>0</v>
          </cell>
          <cell r="F1868"/>
          <cell r="G1868"/>
          <cell r="H1868"/>
          <cell r="I1868"/>
          <cell r="J1868">
            <v>0</v>
          </cell>
        </row>
        <row r="1869">
          <cell r="B1869" t="str">
            <v>4.3.03.02.01</v>
          </cell>
          <cell r="C1869" t="str">
            <v>Pendapatan Dana Kapitasi JKN pada FKTP</v>
          </cell>
          <cell r="D1869">
            <v>0</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0</v>
          </cell>
          <cell r="E1870">
            <v>0</v>
          </cell>
          <cell r="F1870"/>
          <cell r="G1870"/>
          <cell r="H1870"/>
          <cell r="I1870"/>
          <cell r="J1870">
            <v>0</v>
          </cell>
        </row>
        <row r="1871">
          <cell r="B1871" t="str">
            <v>4.3.03.03.01</v>
          </cell>
          <cell r="C1871" t="str">
            <v xml:space="preserve">Pendapatan Bagi Hasil Pemegang IUPK atas Pertambangan Mineral Logam dan Batu Bara </v>
          </cell>
          <cell r="D1871"/>
          <cell r="E1871"/>
          <cell r="F1871">
            <v>0</v>
          </cell>
          <cell r="G1871">
            <v>0</v>
          </cell>
          <cell r="H1871">
            <v>0</v>
          </cell>
          <cell r="I1871">
            <v>0</v>
          </cell>
          <cell r="J1871">
            <v>0</v>
          </cell>
        </row>
        <row r="1872">
          <cell r="B1872" t="str">
            <v>4.3.03.04</v>
          </cell>
          <cell r="C1872" t="str">
            <v>Kontribusi dari Sumber Lain yang Sah dan Tidak Mengikat</v>
          </cell>
          <cell r="D1872">
            <v>17177361</v>
          </cell>
          <cell r="E1872">
            <v>83457855.5</v>
          </cell>
          <cell r="F1872"/>
          <cell r="G1872"/>
          <cell r="H1872"/>
          <cell r="I1872"/>
          <cell r="J1872">
            <v>83457855.5</v>
          </cell>
        </row>
        <row r="1873">
          <cell r="B1873" t="str">
            <v>4.3.03.04.01</v>
          </cell>
          <cell r="C1873" t="str">
            <v>Kontribusi dari Sumber Lain yang Sah dan Tidak Mengikat</v>
          </cell>
          <cell r="D1873">
            <v>17177361</v>
          </cell>
          <cell r="E1873">
            <v>83457855.5</v>
          </cell>
          <cell r="F1873">
            <v>0</v>
          </cell>
          <cell r="G1873">
            <v>0</v>
          </cell>
          <cell r="H1873">
            <v>0</v>
          </cell>
          <cell r="I1873">
            <v>0</v>
          </cell>
          <cell r="J1873">
            <v>83457855.5</v>
          </cell>
        </row>
        <row r="1874">
          <cell r="B1874" t="str">
            <v>4.3.03.05</v>
          </cell>
          <cell r="C1874" t="str">
            <v>Pendapatan Klaim Pelayanan Kesehatan/Nonkapitasi</v>
          </cell>
          <cell r="D1874">
            <v>0</v>
          </cell>
          <cell r="E1874">
            <v>0</v>
          </cell>
          <cell r="F1874"/>
          <cell r="G1874"/>
          <cell r="H1874"/>
          <cell r="I1874"/>
          <cell r="J1874">
            <v>0</v>
          </cell>
        </row>
        <row r="1875">
          <cell r="B1875" t="str">
            <v>4.3.03.05.01</v>
          </cell>
          <cell r="C1875" t="str">
            <v>Pendapatan Klaim Pelayanan Kesehatan/Nonkapitasi</v>
          </cell>
          <cell r="D1875">
            <v>0</v>
          </cell>
          <cell r="E1875">
            <v>0</v>
          </cell>
          <cell r="F1875">
            <v>0</v>
          </cell>
          <cell r="G1875">
            <v>0</v>
          </cell>
          <cell r="H1875">
            <v>0</v>
          </cell>
          <cell r="I1875">
            <v>0</v>
          </cell>
          <cell r="J1875">
            <v>0</v>
          </cell>
        </row>
        <row r="1876">
          <cell r="B1876" t="str">
            <v>4.3.03.06</v>
          </cell>
          <cell r="C1876" t="str">
            <v>Pendapatan Bonus Produksi Panas Bumi</v>
          </cell>
          <cell r="D1876">
            <v>0</v>
          </cell>
          <cell r="E1876">
            <v>0</v>
          </cell>
          <cell r="F1876"/>
          <cell r="G1876"/>
          <cell r="H1876"/>
          <cell r="I1876"/>
          <cell r="J1876">
            <v>0</v>
          </cell>
        </row>
        <row r="1877">
          <cell r="B1877" t="str">
            <v>4.3.03.06.01</v>
          </cell>
          <cell r="C1877" t="str">
            <v>Pendapatan Bonus Produksi Panas Bumi</v>
          </cell>
          <cell r="D1877">
            <v>0</v>
          </cell>
          <cell r="E1877">
            <v>0</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F1878"/>
          <cell r="G1878"/>
          <cell r="H1878"/>
          <cell r="I1878"/>
          <cell r="J1878">
            <v>0</v>
          </cell>
        </row>
        <row r="1879">
          <cell r="B1879" t="str">
            <v>4.3.03.07.01</v>
          </cell>
          <cell r="C1879" t="str">
            <v>Pendapatan Bonus Tandatangan dan Bonus Produksi Pemerintah Aceh</v>
          </cell>
          <cell r="D1879">
            <v>0</v>
          </cell>
          <cell r="E1879">
            <v>0</v>
          </cell>
          <cell r="F1879">
            <v>0</v>
          </cell>
          <cell r="G1879">
            <v>0</v>
          </cell>
          <cell r="H1879">
            <v>0</v>
          </cell>
          <cell r="I1879">
            <v>0</v>
          </cell>
          <cell r="J1879">
            <v>0</v>
          </cell>
        </row>
        <row r="1880">
          <cell r="B1880"/>
          <cell r="C1880"/>
          <cell r="D1880"/>
          <cell r="E1880"/>
          <cell r="F1880"/>
          <cell r="G1880"/>
          <cell r="H1880"/>
          <cell r="I1880"/>
          <cell r="J1880"/>
        </row>
        <row r="1881">
          <cell r="B1881" t="str">
            <v>5</v>
          </cell>
          <cell r="C1881" t="str">
            <v>BELANJA DAERAH</v>
          </cell>
          <cell r="D1881">
            <v>2039044535411.73</v>
          </cell>
          <cell r="E1881">
            <v>2059441626960.97</v>
          </cell>
          <cell r="F1881"/>
          <cell r="G1881"/>
          <cell r="H1881"/>
          <cell r="I1881"/>
          <cell r="J1881">
            <v>2059441626960.97</v>
          </cell>
        </row>
        <row r="1882">
          <cell r="B1882" t="str">
            <v>5.1</v>
          </cell>
          <cell r="C1882" t="str">
            <v>BELANJA OPERASI</v>
          </cell>
          <cell r="D1882">
            <v>1176512372702.73</v>
          </cell>
          <cell r="E1882">
            <v>1314972010761.97</v>
          </cell>
          <cell r="F1882"/>
          <cell r="G1882"/>
          <cell r="H1882"/>
          <cell r="I1882"/>
          <cell r="J1882">
            <v>1314972010761.97</v>
          </cell>
        </row>
        <row r="1883">
          <cell r="B1883" t="str">
            <v>5.1.01</v>
          </cell>
          <cell r="C1883" t="str">
            <v>Belanja Pegawai</v>
          </cell>
          <cell r="D1883">
            <v>504599443369.97998</v>
          </cell>
          <cell r="E1883">
            <v>587895147363</v>
          </cell>
          <cell r="F1883"/>
          <cell r="G1883"/>
          <cell r="H1883"/>
          <cell r="I1883"/>
          <cell r="J1883">
            <v>587895147363</v>
          </cell>
        </row>
        <row r="1884">
          <cell r="B1884" t="str">
            <v>5.1.01.01</v>
          </cell>
          <cell r="C1884" t="str">
            <v>Belanja Gaji dan Tunjangan ASN</v>
          </cell>
          <cell r="D1884">
            <v>309116568891</v>
          </cell>
          <cell r="E1884">
            <v>366113448643</v>
          </cell>
          <cell r="F1884"/>
          <cell r="G1884"/>
          <cell r="H1884"/>
          <cell r="I1884"/>
          <cell r="J1884">
            <v>366113448643</v>
          </cell>
        </row>
        <row r="1885">
          <cell r="B1885" t="str">
            <v>5.1.01.01.01</v>
          </cell>
          <cell r="C1885" t="str">
            <v>Belanja Gaji Pokok ASN</v>
          </cell>
          <cell r="D1885">
            <v>229799920316</v>
          </cell>
          <cell r="E1885">
            <v>270135243832</v>
          </cell>
          <cell r="F1885">
            <v>0</v>
          </cell>
          <cell r="G1885">
            <v>0</v>
          </cell>
          <cell r="H1885">
            <v>0</v>
          </cell>
          <cell r="I1885">
            <v>0</v>
          </cell>
          <cell r="J1885">
            <v>270135243832</v>
          </cell>
        </row>
        <row r="1886">
          <cell r="B1886" t="str">
            <v>5.1.01.01.02</v>
          </cell>
          <cell r="C1886" t="str">
            <v>Belanja Tunjangan Keluarga ASN</v>
          </cell>
          <cell r="D1886">
            <v>21140110644</v>
          </cell>
          <cell r="E1886">
            <v>24615334821</v>
          </cell>
          <cell r="F1886">
            <v>0</v>
          </cell>
          <cell r="G1886">
            <v>0</v>
          </cell>
          <cell r="H1886">
            <v>0</v>
          </cell>
          <cell r="I1886">
            <v>0</v>
          </cell>
          <cell r="J1886">
            <v>24615334821</v>
          </cell>
        </row>
        <row r="1887">
          <cell r="B1887" t="str">
            <v>5.1.01.01.03</v>
          </cell>
          <cell r="C1887" t="str">
            <v>Belanja Tunjangan Jabatan ASN</v>
          </cell>
          <cell r="D1887">
            <v>5323137774</v>
          </cell>
          <cell r="E1887">
            <v>5045182500</v>
          </cell>
          <cell r="F1887">
            <v>0</v>
          </cell>
          <cell r="G1887">
            <v>0</v>
          </cell>
          <cell r="H1887">
            <v>0</v>
          </cell>
          <cell r="I1887">
            <v>0</v>
          </cell>
          <cell r="J1887">
            <v>5045182500</v>
          </cell>
        </row>
        <row r="1888">
          <cell r="B1888" t="str">
            <v>5.1.01.01.04</v>
          </cell>
          <cell r="C1888" t="str">
            <v>Belanja Tunjangan Fungsional ASN</v>
          </cell>
          <cell r="D1888">
            <v>18203178504</v>
          </cell>
          <cell r="E1888">
            <v>20225967000</v>
          </cell>
          <cell r="F1888">
            <v>0</v>
          </cell>
          <cell r="G1888">
            <v>0</v>
          </cell>
          <cell r="H1888">
            <v>0</v>
          </cell>
          <cell r="I1888">
            <v>0</v>
          </cell>
          <cell r="J1888">
            <v>20225967000</v>
          </cell>
        </row>
        <row r="1889">
          <cell r="B1889" t="str">
            <v>5.1.01.01.05</v>
          </cell>
          <cell r="C1889" t="str">
            <v>Belanja Tunjangan Fungsional Umum ASN</v>
          </cell>
          <cell r="D1889">
            <v>1903675000</v>
          </cell>
          <cell r="E1889">
            <v>4070310500</v>
          </cell>
          <cell r="F1889">
            <v>0</v>
          </cell>
          <cell r="G1889">
            <v>0</v>
          </cell>
          <cell r="H1889">
            <v>0</v>
          </cell>
          <cell r="I1889">
            <v>0</v>
          </cell>
          <cell r="J1889">
            <v>4070310500</v>
          </cell>
        </row>
        <row r="1890">
          <cell r="B1890" t="str">
            <v>5.1.01.01.06</v>
          </cell>
          <cell r="C1890" t="str">
            <v>Belanja Tunjangan Beras ASN</v>
          </cell>
          <cell r="D1890">
            <v>13943240532</v>
          </cell>
          <cell r="E1890">
            <v>15593409616</v>
          </cell>
          <cell r="F1890">
            <v>0</v>
          </cell>
          <cell r="G1890">
            <v>0</v>
          </cell>
          <cell r="H1890">
            <v>0</v>
          </cell>
          <cell r="I1890">
            <v>0</v>
          </cell>
          <cell r="J1890">
            <v>15593409616</v>
          </cell>
        </row>
        <row r="1891">
          <cell r="B1891" t="str">
            <v>5.1.01.01.07</v>
          </cell>
          <cell r="C1891" t="str">
            <v>Belanja Tunjangan PPh/Tunjangan Khusus ASN</v>
          </cell>
          <cell r="D1891">
            <v>1615274247</v>
          </cell>
          <cell r="E1891">
            <v>1787551501</v>
          </cell>
          <cell r="F1891">
            <v>0</v>
          </cell>
          <cell r="G1891">
            <v>0</v>
          </cell>
          <cell r="H1891">
            <v>0</v>
          </cell>
          <cell r="I1891">
            <v>0</v>
          </cell>
          <cell r="J1891">
            <v>1787551501</v>
          </cell>
        </row>
        <row r="1892">
          <cell r="B1892" t="str">
            <v>5.1.01.01.08</v>
          </cell>
          <cell r="C1892" t="str">
            <v>Belanja Pembulatan Gaji ASN</v>
          </cell>
          <cell r="D1892">
            <v>3313331</v>
          </cell>
          <cell r="E1892">
            <v>3902628</v>
          </cell>
          <cell r="F1892">
            <v>0</v>
          </cell>
          <cell r="G1892">
            <v>0</v>
          </cell>
          <cell r="H1892">
            <v>0</v>
          </cell>
          <cell r="I1892">
            <v>0</v>
          </cell>
          <cell r="J1892">
            <v>3902628</v>
          </cell>
        </row>
        <row r="1893">
          <cell r="B1893" t="str">
            <v>5.1.01.01.09</v>
          </cell>
          <cell r="C1893" t="str">
            <v>Belanja Iuran Jaminan Kesehatan ASN</v>
          </cell>
          <cell r="D1893">
            <v>15289470721</v>
          </cell>
          <cell r="E1893">
            <v>22363063708</v>
          </cell>
          <cell r="F1893">
            <v>0</v>
          </cell>
          <cell r="G1893">
            <v>0</v>
          </cell>
          <cell r="H1893">
            <v>0</v>
          </cell>
          <cell r="I1893">
            <v>0</v>
          </cell>
          <cell r="J1893">
            <v>22363063708</v>
          </cell>
        </row>
        <row r="1894">
          <cell r="B1894" t="str">
            <v>5.1.01.01.10</v>
          </cell>
          <cell r="C1894" t="str">
            <v>Belanja Iuran Jaminan Kecelakaan Kerja ASN</v>
          </cell>
          <cell r="D1894">
            <v>476574131</v>
          </cell>
          <cell r="E1894">
            <v>568870650</v>
          </cell>
          <cell r="F1894">
            <v>0</v>
          </cell>
          <cell r="G1894">
            <v>0</v>
          </cell>
          <cell r="H1894">
            <v>0</v>
          </cell>
          <cell r="I1894">
            <v>0</v>
          </cell>
          <cell r="J1894">
            <v>568870650</v>
          </cell>
        </row>
        <row r="1895">
          <cell r="B1895" t="str">
            <v>5.1.01.01.11</v>
          </cell>
          <cell r="C1895" t="str">
            <v>Belanja Iuran Jaminan Kematian ASN</v>
          </cell>
          <cell r="D1895">
            <v>1418673691</v>
          </cell>
          <cell r="E1895">
            <v>1704611887</v>
          </cell>
          <cell r="F1895">
            <v>0</v>
          </cell>
          <cell r="G1895">
            <v>0</v>
          </cell>
          <cell r="H1895">
            <v>0</v>
          </cell>
          <cell r="I1895">
            <v>0</v>
          </cell>
          <cell r="J1895">
            <v>1704611887</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D1897">
            <v>0</v>
          </cell>
          <cell r="E1897">
            <v>0</v>
          </cell>
          <cell r="F1897">
            <v>0</v>
          </cell>
          <cell r="G1897">
            <v>0</v>
          </cell>
          <cell r="H1897">
            <v>0</v>
          </cell>
          <cell r="I1897">
            <v>0</v>
          </cell>
          <cell r="J1897">
            <v>0</v>
          </cell>
        </row>
        <row r="1898">
          <cell r="B1898" t="str">
            <v>5.1.01.01.14</v>
          </cell>
          <cell r="C1898" t="str">
            <v>Belanja Tunjangan Khusus*)</v>
          </cell>
          <cell r="D1898">
            <v>0</v>
          </cell>
          <cell r="E1898">
            <v>0</v>
          </cell>
          <cell r="F1898">
            <v>0</v>
          </cell>
          <cell r="G1898">
            <v>0</v>
          </cell>
          <cell r="H1898">
            <v>0</v>
          </cell>
          <cell r="I1898">
            <v>0</v>
          </cell>
          <cell r="J1898">
            <v>0</v>
          </cell>
        </row>
        <row r="1899">
          <cell r="B1899" t="str">
            <v>5.1.01.01.15</v>
          </cell>
          <cell r="C1899" t="str">
            <v>Belanja Zakat ASN</v>
          </cell>
          <cell r="D1899">
            <v>0</v>
          </cell>
          <cell r="E1899">
            <v>0</v>
          </cell>
          <cell r="F1899">
            <v>0</v>
          </cell>
          <cell r="G1899">
            <v>0</v>
          </cell>
          <cell r="H1899">
            <v>0</v>
          </cell>
          <cell r="I1899">
            <v>0</v>
          </cell>
          <cell r="J1899">
            <v>0</v>
          </cell>
        </row>
        <row r="1900">
          <cell r="B1900" t="str">
            <v>5.1.01.02</v>
          </cell>
          <cell r="C1900" t="str">
            <v>Belanja Tambahan Penghasilan ASN</v>
          </cell>
          <cell r="D1900">
            <v>114611668306.98</v>
          </cell>
          <cell r="E1900">
            <v>198204300713</v>
          </cell>
          <cell r="F1900"/>
          <cell r="G1900"/>
          <cell r="H1900"/>
          <cell r="I1900"/>
          <cell r="J1900">
            <v>198204300713</v>
          </cell>
        </row>
        <row r="1901">
          <cell r="B1901" t="str">
            <v>5.1.01.02.01</v>
          </cell>
          <cell r="C1901" t="str">
            <v>Tambahan Penghasilan berdasarkan Beban Kerja ASN</v>
          </cell>
          <cell r="D1901">
            <v>26746265834.310001</v>
          </cell>
          <cell r="E1901">
            <v>26000720797</v>
          </cell>
          <cell r="F1901">
            <v>0</v>
          </cell>
          <cell r="G1901">
            <v>0</v>
          </cell>
          <cell r="H1901">
            <v>0</v>
          </cell>
          <cell r="I1901">
            <v>0</v>
          </cell>
          <cell r="J1901">
            <v>26000720797</v>
          </cell>
        </row>
        <row r="1902">
          <cell r="B1902" t="str">
            <v>5.1.01.02.02</v>
          </cell>
          <cell r="C1902" t="str">
            <v>Tambahan Penghasilan berdasarkan Tempat Bertugas ASN</v>
          </cell>
          <cell r="D1902">
            <v>0</v>
          </cell>
          <cell r="E1902">
            <v>0</v>
          </cell>
          <cell r="F1902">
            <v>0</v>
          </cell>
          <cell r="G1902">
            <v>0</v>
          </cell>
          <cell r="H1902">
            <v>0</v>
          </cell>
          <cell r="I1902">
            <v>0</v>
          </cell>
          <cell r="J1902">
            <v>0</v>
          </cell>
        </row>
        <row r="1903">
          <cell r="B1903" t="str">
            <v>5.1.01.02.03</v>
          </cell>
          <cell r="C1903" t="str">
            <v>Tambahan Penghasilan berdasarkan Kondisi Kerja ASN</v>
          </cell>
          <cell r="D1903">
            <v>47738769738</v>
          </cell>
          <cell r="E1903">
            <v>65599322984</v>
          </cell>
          <cell r="F1903">
            <v>0</v>
          </cell>
          <cell r="G1903">
            <v>0</v>
          </cell>
          <cell r="H1903">
            <v>0</v>
          </cell>
          <cell r="I1903">
            <v>0</v>
          </cell>
          <cell r="J1903">
            <v>65599322984</v>
          </cell>
        </row>
        <row r="1904">
          <cell r="B1904" t="str">
            <v>5.1.01.02.04</v>
          </cell>
          <cell r="C1904" t="str">
            <v>Tambahan Penghasilan berdasarkan Kelangkaan Profesi ASN</v>
          </cell>
          <cell r="D1904">
            <v>147621068</v>
          </cell>
          <cell r="E1904">
            <v>149126639</v>
          </cell>
          <cell r="F1904">
            <v>0</v>
          </cell>
          <cell r="G1904">
            <v>0</v>
          </cell>
          <cell r="H1904">
            <v>0</v>
          </cell>
          <cell r="I1904">
            <v>0</v>
          </cell>
          <cell r="J1904">
            <v>149126639</v>
          </cell>
        </row>
        <row r="1905">
          <cell r="B1905" t="str">
            <v>5.1.01.02.05</v>
          </cell>
          <cell r="C1905" t="str">
            <v>Tambahan Penghasilan berdasarkan Prestasi Kerja ASN</v>
          </cell>
          <cell r="D1905">
            <v>39979011666.669998</v>
          </cell>
          <cell r="E1905">
            <v>38905692903</v>
          </cell>
          <cell r="F1905">
            <v>0</v>
          </cell>
          <cell r="G1905">
            <v>0</v>
          </cell>
          <cell r="H1905">
            <v>0</v>
          </cell>
          <cell r="I1905">
            <v>0</v>
          </cell>
          <cell r="J1905">
            <v>38905692903</v>
          </cell>
        </row>
        <row r="1906">
          <cell r="B1906" t="str">
            <v>5.1.01.02.06</v>
          </cell>
          <cell r="C1906" t="str">
            <v>Tambahan Penghasilan berdasarkan Pertimbangan Objektif Lainnya ASN</v>
          </cell>
          <cell r="D1906">
            <v>0</v>
          </cell>
          <cell r="E1906">
            <v>67549437390</v>
          </cell>
          <cell r="F1906">
            <v>0</v>
          </cell>
          <cell r="G1906">
            <v>0</v>
          </cell>
          <cell r="H1906">
            <v>0</v>
          </cell>
          <cell r="I1906">
            <v>0</v>
          </cell>
          <cell r="J1906">
            <v>67549437390</v>
          </cell>
        </row>
        <row r="1907">
          <cell r="B1907" t="str">
            <v>5.1.01.03</v>
          </cell>
          <cell r="C1907" t="str">
            <v>Tambahan Penghasilan berdasarkan Pertimbangan Objektif Lainnya ASN</v>
          </cell>
          <cell r="D1907">
            <v>58373581502</v>
          </cell>
          <cell r="E1907">
            <v>0</v>
          </cell>
          <cell r="F1907"/>
          <cell r="G1907"/>
          <cell r="H1907"/>
          <cell r="I1907"/>
          <cell r="J1907">
            <v>0</v>
          </cell>
        </row>
        <row r="1908">
          <cell r="B1908" t="str">
            <v>5.1.01.03.01</v>
          </cell>
          <cell r="C1908" t="str">
            <v>Belanja Insentif bagi ASN atas Pemungutan Pajak Daerah</v>
          </cell>
          <cell r="D1908">
            <v>4123000000</v>
          </cell>
          <cell r="E1908">
            <v>0</v>
          </cell>
          <cell r="F1908">
            <v>0</v>
          </cell>
          <cell r="G1908">
            <v>0</v>
          </cell>
          <cell r="H1908">
            <v>0</v>
          </cell>
          <cell r="I1908">
            <v>0</v>
          </cell>
          <cell r="J1908">
            <v>0</v>
          </cell>
        </row>
        <row r="1909">
          <cell r="B1909" t="str">
            <v>5.1.01.03.02</v>
          </cell>
          <cell r="C1909" t="str">
            <v>Belanja bagi ASN atas Insentif Pemungutan Retribusi Daerah</v>
          </cell>
          <cell r="D1909">
            <v>104375000</v>
          </cell>
          <cell r="E1909">
            <v>0</v>
          </cell>
          <cell r="F1909">
            <v>0</v>
          </cell>
          <cell r="G1909">
            <v>0</v>
          </cell>
          <cell r="H1909">
            <v>0</v>
          </cell>
          <cell r="I1909">
            <v>0</v>
          </cell>
          <cell r="J1909">
            <v>0</v>
          </cell>
        </row>
        <row r="1910">
          <cell r="B1910" t="str">
            <v>5.1.01.03.03</v>
          </cell>
          <cell r="C1910" t="str">
            <v>Belanja Tunjangan Profesi Guru (TPG) PNSD</v>
          </cell>
          <cell r="D1910">
            <v>47651095300</v>
          </cell>
          <cell r="E1910">
            <v>0</v>
          </cell>
          <cell r="F1910">
            <v>0</v>
          </cell>
          <cell r="G1910">
            <v>0</v>
          </cell>
          <cell r="H1910">
            <v>0</v>
          </cell>
          <cell r="I1910">
            <v>0</v>
          </cell>
          <cell r="J1910">
            <v>0</v>
          </cell>
        </row>
        <row r="1911">
          <cell r="B1911" t="str">
            <v>5.1.01.03.04</v>
          </cell>
          <cell r="C1911" t="str">
            <v>Belanja Tunjangan Khusus Guru (TKG) PNSD</v>
          </cell>
          <cell r="D1911">
            <v>0</v>
          </cell>
          <cell r="E1911">
            <v>0</v>
          </cell>
          <cell r="F1911">
            <v>0</v>
          </cell>
          <cell r="G1911">
            <v>0</v>
          </cell>
          <cell r="H1911">
            <v>0</v>
          </cell>
          <cell r="I1911">
            <v>0</v>
          </cell>
          <cell r="J1911">
            <v>0</v>
          </cell>
        </row>
        <row r="1912">
          <cell r="B1912" t="str">
            <v>5.1.01.03.05</v>
          </cell>
          <cell r="C1912" t="str">
            <v>Belanja Tambahan Penghasilan (Tamsil) Guru PNSD</v>
          </cell>
          <cell r="D1912">
            <v>1029750000</v>
          </cell>
          <cell r="E1912">
            <v>0</v>
          </cell>
          <cell r="F1912">
            <v>0</v>
          </cell>
          <cell r="G1912">
            <v>0</v>
          </cell>
          <cell r="H1912">
            <v>0</v>
          </cell>
          <cell r="I1912">
            <v>0</v>
          </cell>
          <cell r="J1912">
            <v>0</v>
          </cell>
        </row>
        <row r="1913">
          <cell r="B1913" t="str">
            <v>5.1.01.03.06</v>
          </cell>
          <cell r="C1913" t="str">
            <v>Belanja Jasa Pelayanan Kesehatan bagi ASN</v>
          </cell>
          <cell r="D1913">
            <v>627811202</v>
          </cell>
          <cell r="E1913">
            <v>0</v>
          </cell>
          <cell r="F1913">
            <v>0</v>
          </cell>
          <cell r="G1913">
            <v>0</v>
          </cell>
          <cell r="H1913">
            <v>0</v>
          </cell>
          <cell r="I1913">
            <v>0</v>
          </cell>
          <cell r="J1913">
            <v>0</v>
          </cell>
        </row>
        <row r="1914">
          <cell r="B1914" t="str">
            <v>5.1.01.03.07</v>
          </cell>
          <cell r="C1914" t="str">
            <v>Belanja Honorarium</v>
          </cell>
          <cell r="D1914">
            <v>4332150000</v>
          </cell>
          <cell r="E1914">
            <v>0</v>
          </cell>
          <cell r="F1914">
            <v>0</v>
          </cell>
          <cell r="G1914">
            <v>0</v>
          </cell>
          <cell r="H1914">
            <v>0</v>
          </cell>
          <cell r="I1914">
            <v>0</v>
          </cell>
          <cell r="J1914">
            <v>0</v>
          </cell>
        </row>
        <row r="1915">
          <cell r="B1915" t="str">
            <v>5.1.01.03.08</v>
          </cell>
          <cell r="C1915" t="str">
            <v>Belanja Jasa Pengelolaan BMD</v>
          </cell>
          <cell r="D1915">
            <v>505400000</v>
          </cell>
          <cell r="E1915">
            <v>0</v>
          </cell>
          <cell r="F1915">
            <v>0</v>
          </cell>
          <cell r="G1915">
            <v>0</v>
          </cell>
          <cell r="H1915">
            <v>0</v>
          </cell>
          <cell r="I1915">
            <v>0</v>
          </cell>
          <cell r="J1915">
            <v>0</v>
          </cell>
        </row>
        <row r="1916">
          <cell r="B1916" t="str">
            <v>5.1.01.03.09</v>
          </cell>
          <cell r="C1916" t="str">
            <v>Belanja Tunjangan Profesi Guru (TPG) PPPK</v>
          </cell>
          <cell r="D1916">
            <v>0</v>
          </cell>
          <cell r="E1916">
            <v>0</v>
          </cell>
          <cell r="F1916">
            <v>0</v>
          </cell>
          <cell r="G1916">
            <v>0</v>
          </cell>
          <cell r="H1916">
            <v>0</v>
          </cell>
          <cell r="I1916">
            <v>0</v>
          </cell>
          <cell r="J1916">
            <v>0</v>
          </cell>
        </row>
        <row r="1917">
          <cell r="B1917" t="str">
            <v>5.1.01.03.10</v>
          </cell>
          <cell r="C1917" t="str">
            <v>Belanja Tunjangan Khusus Guru (TKG) PPPK</v>
          </cell>
          <cell r="D1917">
            <v>0</v>
          </cell>
          <cell r="E1917">
            <v>0</v>
          </cell>
          <cell r="F1917">
            <v>0</v>
          </cell>
          <cell r="G1917">
            <v>0</v>
          </cell>
          <cell r="H1917">
            <v>0</v>
          </cell>
          <cell r="I1917">
            <v>0</v>
          </cell>
          <cell r="J1917">
            <v>0</v>
          </cell>
        </row>
        <row r="1918">
          <cell r="B1918" t="str">
            <v>5.1.01.03.11</v>
          </cell>
          <cell r="C1918" t="str">
            <v>Belanja Tambahan Penghasilan (Tamsil) Guru PPPK</v>
          </cell>
          <cell r="D1918">
            <v>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D1919">
            <v>0</v>
          </cell>
          <cell r="E1919">
            <v>0</v>
          </cell>
          <cell r="F1919">
            <v>0</v>
          </cell>
          <cell r="G1919">
            <v>0</v>
          </cell>
          <cell r="H1919">
            <v>0</v>
          </cell>
          <cell r="I1919">
            <v>0</v>
          </cell>
          <cell r="J1919">
            <v>0</v>
          </cell>
        </row>
        <row r="1920">
          <cell r="B1920" t="str">
            <v>5.1.01.04</v>
          </cell>
          <cell r="C1920" t="str">
            <v>Belanja Gaji dan Tunjangan DPRD</v>
          </cell>
          <cell r="D1920">
            <v>13403367102</v>
          </cell>
          <cell r="E1920">
            <v>13672755832</v>
          </cell>
          <cell r="F1920"/>
          <cell r="G1920"/>
          <cell r="H1920"/>
          <cell r="I1920"/>
          <cell r="J1920">
            <v>13672755832</v>
          </cell>
        </row>
        <row r="1921">
          <cell r="B1921" t="str">
            <v>5.1.01.04.01</v>
          </cell>
          <cell r="C1921" t="str">
            <v>Belanja Uang Representasi DPRD</v>
          </cell>
          <cell r="D1921">
            <v>553770000</v>
          </cell>
          <cell r="E1921">
            <v>561540000</v>
          </cell>
          <cell r="F1921">
            <v>0</v>
          </cell>
          <cell r="G1921">
            <v>0</v>
          </cell>
          <cell r="H1921">
            <v>0</v>
          </cell>
          <cell r="I1921">
            <v>0</v>
          </cell>
          <cell r="J1921">
            <v>561540000</v>
          </cell>
        </row>
        <row r="1922">
          <cell r="B1922" t="str">
            <v>5.1.01.04.02</v>
          </cell>
          <cell r="C1922" t="str">
            <v>Belanja Tunjangan Keluarga DPRD</v>
          </cell>
          <cell r="D1922">
            <v>52573500</v>
          </cell>
          <cell r="E1922">
            <v>54096000</v>
          </cell>
          <cell r="F1922">
            <v>0</v>
          </cell>
          <cell r="G1922">
            <v>0</v>
          </cell>
          <cell r="H1922">
            <v>0</v>
          </cell>
          <cell r="I1922">
            <v>0</v>
          </cell>
          <cell r="J1922">
            <v>54096000</v>
          </cell>
        </row>
        <row r="1923">
          <cell r="B1923" t="str">
            <v>5.1.01.04.03</v>
          </cell>
          <cell r="C1923" t="str">
            <v>Belanja Tunjangan Beras DPRD</v>
          </cell>
          <cell r="D1923">
            <v>60905220</v>
          </cell>
          <cell r="E1923">
            <v>61701840</v>
          </cell>
          <cell r="F1923">
            <v>0</v>
          </cell>
          <cell r="G1923">
            <v>0</v>
          </cell>
          <cell r="H1923">
            <v>0</v>
          </cell>
          <cell r="I1923">
            <v>0</v>
          </cell>
          <cell r="J1923">
            <v>61701840</v>
          </cell>
        </row>
        <row r="1924">
          <cell r="B1924" t="str">
            <v>5.1.01.04.04</v>
          </cell>
          <cell r="C1924" t="str">
            <v>Belanja Uang Paket DPRD</v>
          </cell>
          <cell r="D1924">
            <v>47355000</v>
          </cell>
          <cell r="E1924">
            <v>48132000</v>
          </cell>
          <cell r="F1924">
            <v>0</v>
          </cell>
          <cell r="G1924">
            <v>0</v>
          </cell>
          <cell r="H1924">
            <v>0</v>
          </cell>
          <cell r="I1924">
            <v>0</v>
          </cell>
          <cell r="J1924">
            <v>48132000</v>
          </cell>
        </row>
        <row r="1925">
          <cell r="B1925" t="str">
            <v>5.1.01.04.05</v>
          </cell>
          <cell r="C1925" t="str">
            <v>Belanja Tunjangan Jabatan DPRD</v>
          </cell>
          <cell r="D1925">
            <v>803374293</v>
          </cell>
          <cell r="E1925">
            <v>814233000</v>
          </cell>
          <cell r="F1925">
            <v>0</v>
          </cell>
          <cell r="G1925">
            <v>0</v>
          </cell>
          <cell r="H1925">
            <v>0</v>
          </cell>
          <cell r="I1925">
            <v>0</v>
          </cell>
          <cell r="J1925">
            <v>814233000</v>
          </cell>
        </row>
        <row r="1926">
          <cell r="B1926" t="str">
            <v>5.1.01.04.06</v>
          </cell>
          <cell r="C1926" t="str">
            <v>Belanja Tunjangan Alat Kelengkapan DPRD</v>
          </cell>
          <cell r="D1926">
            <v>63031500</v>
          </cell>
          <cell r="E1926">
            <v>74907000</v>
          </cell>
          <cell r="F1926">
            <v>0</v>
          </cell>
          <cell r="G1926">
            <v>0</v>
          </cell>
          <cell r="H1926">
            <v>0</v>
          </cell>
          <cell r="I1926">
            <v>0</v>
          </cell>
          <cell r="J1926">
            <v>74907000</v>
          </cell>
        </row>
        <row r="1927">
          <cell r="B1927" t="str">
            <v>5.1.01.04.07</v>
          </cell>
          <cell r="C1927" t="str">
            <v>Belanja Tunjangan Alat Kelengkapan Lainnya DPRD</v>
          </cell>
          <cell r="D1927">
            <v>0</v>
          </cell>
          <cell r="E1927">
            <v>11144700</v>
          </cell>
          <cell r="F1927">
            <v>0</v>
          </cell>
          <cell r="G1927">
            <v>0</v>
          </cell>
          <cell r="H1927">
            <v>0</v>
          </cell>
          <cell r="I1927">
            <v>0</v>
          </cell>
          <cell r="J1927">
            <v>11144700</v>
          </cell>
        </row>
        <row r="1928">
          <cell r="B1928" t="str">
            <v>5.1.01.04.08</v>
          </cell>
          <cell r="C1928" t="str">
            <v>Belanja Tunjangan Komunikasi Intensif Pimpinan dan Anggota DPRD</v>
          </cell>
          <cell r="D1928">
            <v>4353405000</v>
          </cell>
          <cell r="E1928">
            <v>4410000000</v>
          </cell>
          <cell r="F1928">
            <v>0</v>
          </cell>
          <cell r="G1928">
            <v>0</v>
          </cell>
          <cell r="H1928">
            <v>0</v>
          </cell>
          <cell r="I1928">
            <v>0</v>
          </cell>
          <cell r="J1928">
            <v>4410000000</v>
          </cell>
        </row>
        <row r="1929">
          <cell r="B1929" t="str">
            <v>5.1.01.04.09</v>
          </cell>
          <cell r="C1929" t="str">
            <v>Belanja Tunjangan Reses DPRD</v>
          </cell>
          <cell r="D1929">
            <v>735000000</v>
          </cell>
          <cell r="E1929">
            <v>1102500000</v>
          </cell>
          <cell r="F1929">
            <v>0</v>
          </cell>
          <cell r="G1929">
            <v>0</v>
          </cell>
          <cell r="H1929">
            <v>0</v>
          </cell>
          <cell r="I1929">
            <v>0</v>
          </cell>
          <cell r="J1929">
            <v>1102500000</v>
          </cell>
        </row>
        <row r="1930">
          <cell r="B1930" t="str">
            <v>5.1.01.04.10</v>
          </cell>
          <cell r="C1930" t="str">
            <v>Belanja Pembebanan PPh kepada Pimpinan dan Anggota DPRD</v>
          </cell>
          <cell r="D1930">
            <v>244862474</v>
          </cell>
          <cell r="E1930">
            <v>258685300</v>
          </cell>
          <cell r="F1930">
            <v>0</v>
          </cell>
          <cell r="G1930">
            <v>0</v>
          </cell>
          <cell r="H1930">
            <v>0</v>
          </cell>
          <cell r="I1930">
            <v>0</v>
          </cell>
          <cell r="J1930">
            <v>258685300</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3323930115</v>
          </cell>
          <cell r="E1932">
            <v>3371815992</v>
          </cell>
          <cell r="F1932">
            <v>0</v>
          </cell>
          <cell r="G1932">
            <v>0</v>
          </cell>
          <cell r="H1932">
            <v>0</v>
          </cell>
          <cell r="I1932">
            <v>0</v>
          </cell>
          <cell r="J1932">
            <v>3371815992</v>
          </cell>
        </row>
        <row r="1933">
          <cell r="B1933" t="str">
            <v>5.1.01.04.13</v>
          </cell>
          <cell r="C1933" t="str">
            <v>Belanja Tunjangan Transportasi DPRD</v>
          </cell>
          <cell r="D1933">
            <v>2927650000</v>
          </cell>
          <cell r="E1933">
            <v>2904000000</v>
          </cell>
          <cell r="F1933">
            <v>0</v>
          </cell>
          <cell r="G1933">
            <v>0</v>
          </cell>
          <cell r="H1933">
            <v>0</v>
          </cell>
          <cell r="I1933">
            <v>0</v>
          </cell>
          <cell r="J1933">
            <v>2904000000</v>
          </cell>
        </row>
        <row r="1934">
          <cell r="B1934" t="str">
            <v>5.1.01.04.14</v>
          </cell>
          <cell r="C1934" t="str">
            <v>Belanja Uang Jasa Pengabdian DPRD</v>
          </cell>
          <cell r="D1934">
            <v>237510000</v>
          </cell>
          <cell r="E1934">
            <v>0</v>
          </cell>
          <cell r="F1934">
            <v>0</v>
          </cell>
          <cell r="G1934">
            <v>0</v>
          </cell>
          <cell r="H1934">
            <v>0</v>
          </cell>
          <cell r="I1934">
            <v>0</v>
          </cell>
          <cell r="J1934">
            <v>0</v>
          </cell>
        </row>
        <row r="1935">
          <cell r="B1935" t="str">
            <v>5.1.01.05</v>
          </cell>
          <cell r="C1935" t="str">
            <v>Belanja Gaji dan Tunjangan KDH/WKDH</v>
          </cell>
          <cell r="D1935">
            <v>174690859</v>
          </cell>
          <cell r="E1935">
            <v>221364043</v>
          </cell>
          <cell r="F1935"/>
          <cell r="G1935"/>
          <cell r="H1935"/>
          <cell r="I1935"/>
          <cell r="J1935">
            <v>221364043</v>
          </cell>
        </row>
        <row r="1936">
          <cell r="B1936" t="str">
            <v>5.1.01.05.01</v>
          </cell>
          <cell r="C1936" t="str">
            <v>Belanja Gaji Pokok KDH/WKDH</v>
          </cell>
          <cell r="D1936">
            <v>54600000</v>
          </cell>
          <cell r="E1936">
            <v>109200000</v>
          </cell>
          <cell r="F1936">
            <v>0</v>
          </cell>
          <cell r="G1936">
            <v>0</v>
          </cell>
          <cell r="H1936">
            <v>0</v>
          </cell>
          <cell r="I1936">
            <v>0</v>
          </cell>
          <cell r="J1936">
            <v>109200000</v>
          </cell>
        </row>
        <row r="1937">
          <cell r="B1937" t="str">
            <v>5.1.01.05.02</v>
          </cell>
          <cell r="C1937" t="str">
            <v>Belanja Tunjangan Keluarga KDH/WKDH</v>
          </cell>
          <cell r="D1937">
            <v>7098000</v>
          </cell>
          <cell r="E1937">
            <v>2436000</v>
          </cell>
          <cell r="F1937">
            <v>0</v>
          </cell>
          <cell r="G1937">
            <v>0</v>
          </cell>
          <cell r="H1937">
            <v>0</v>
          </cell>
          <cell r="I1937">
            <v>0</v>
          </cell>
          <cell r="J1937">
            <v>2436000</v>
          </cell>
        </row>
        <row r="1938">
          <cell r="B1938" t="str">
            <v>5.1.01.05.03</v>
          </cell>
          <cell r="C1938" t="str">
            <v>Belanja Tunjangan Jabatan KDH/WKDH</v>
          </cell>
          <cell r="D1938">
            <v>98280000</v>
          </cell>
          <cell r="E1938">
            <v>98280000</v>
          </cell>
          <cell r="F1938">
            <v>0</v>
          </cell>
          <cell r="G1938">
            <v>0</v>
          </cell>
          <cell r="H1938">
            <v>0</v>
          </cell>
          <cell r="I1938">
            <v>0</v>
          </cell>
          <cell r="J1938">
            <v>98280000</v>
          </cell>
        </row>
        <row r="1939">
          <cell r="B1939" t="str">
            <v>5.1.01.05.04</v>
          </cell>
          <cell r="C1939" t="str">
            <v>Belanja Tunjangan Beras KDH/WKDH</v>
          </cell>
          <cell r="D1939">
            <v>7169580</v>
          </cell>
          <cell r="E1939">
            <v>4707300</v>
          </cell>
          <cell r="F1939">
            <v>0</v>
          </cell>
          <cell r="G1939">
            <v>0</v>
          </cell>
          <cell r="H1939">
            <v>0</v>
          </cell>
          <cell r="I1939">
            <v>0</v>
          </cell>
          <cell r="J1939">
            <v>4707300</v>
          </cell>
        </row>
        <row r="1940">
          <cell r="B1940" t="str">
            <v>5.1.01.05.05</v>
          </cell>
          <cell r="C1940" t="str">
            <v>Belanja Tunjangan PPh/Tunjangan Khusus KDH/WKDH</v>
          </cell>
          <cell r="D1940">
            <v>1608379</v>
          </cell>
          <cell r="E1940">
            <v>974923</v>
          </cell>
          <cell r="F1940">
            <v>0</v>
          </cell>
          <cell r="G1940">
            <v>0</v>
          </cell>
          <cell r="H1940">
            <v>0</v>
          </cell>
          <cell r="I1940">
            <v>0</v>
          </cell>
          <cell r="J1940">
            <v>974923</v>
          </cell>
        </row>
        <row r="1941">
          <cell r="B1941" t="str">
            <v>5.1.01.05.06</v>
          </cell>
          <cell r="C1941" t="str">
            <v>Belanja Pembulatan Gaji KDH/WKDH</v>
          </cell>
          <cell r="D1941">
            <v>420</v>
          </cell>
          <cell r="E1941">
            <v>1020</v>
          </cell>
          <cell r="F1941">
            <v>0</v>
          </cell>
          <cell r="G1941">
            <v>0</v>
          </cell>
          <cell r="H1941">
            <v>0</v>
          </cell>
          <cell r="I1941">
            <v>0</v>
          </cell>
          <cell r="J1941">
            <v>1020</v>
          </cell>
        </row>
        <row r="1942">
          <cell r="B1942" t="str">
            <v>5.1.01.05.07</v>
          </cell>
          <cell r="C1942" t="str">
            <v>Belanja Iuran Jaminan Kesehatan bagi KDH/WKDH</v>
          </cell>
          <cell r="D1942">
            <v>5485200</v>
          </cell>
          <cell r="E1942">
            <v>5315520</v>
          </cell>
          <cell r="F1942">
            <v>0</v>
          </cell>
          <cell r="G1942">
            <v>0</v>
          </cell>
          <cell r="H1942">
            <v>0</v>
          </cell>
          <cell r="I1942">
            <v>0</v>
          </cell>
          <cell r="J1942">
            <v>5315520</v>
          </cell>
        </row>
        <row r="1943">
          <cell r="B1943" t="str">
            <v>5.1.01.05.08</v>
          </cell>
          <cell r="C1943" t="str">
            <v>Belanja Iuran Jaminan Kecelakaan Kerja KDH/WKDH</v>
          </cell>
          <cell r="D1943">
            <v>112320</v>
          </cell>
          <cell r="E1943">
            <v>112320</v>
          </cell>
          <cell r="F1943">
            <v>0</v>
          </cell>
          <cell r="G1943">
            <v>0</v>
          </cell>
          <cell r="H1943">
            <v>0</v>
          </cell>
          <cell r="I1943">
            <v>0</v>
          </cell>
          <cell r="J1943">
            <v>112320</v>
          </cell>
        </row>
        <row r="1944">
          <cell r="B1944" t="str">
            <v>5.1.01.05.09</v>
          </cell>
          <cell r="C1944" t="str">
            <v>Belanja Iuran Jaminan Kematian KDH/WKDH</v>
          </cell>
          <cell r="D1944">
            <v>336960</v>
          </cell>
          <cell r="E1944">
            <v>336960</v>
          </cell>
          <cell r="F1944">
            <v>0</v>
          </cell>
          <cell r="G1944">
            <v>0</v>
          </cell>
          <cell r="H1944">
            <v>0</v>
          </cell>
          <cell r="I1944">
            <v>0</v>
          </cell>
          <cell r="J1944">
            <v>336960</v>
          </cell>
        </row>
        <row r="1945">
          <cell r="B1945" t="str">
            <v>5.1.01.05.10</v>
          </cell>
          <cell r="C1945" t="str">
            <v>Belanja Insentif bagi KDH/WKDH atas Pemungutan Pajak Daerah</v>
          </cell>
          <cell r="D1945">
            <v>0</v>
          </cell>
          <cell r="E1945">
            <v>0</v>
          </cell>
          <cell r="F1945">
            <v>0</v>
          </cell>
          <cell r="G1945">
            <v>0</v>
          </cell>
          <cell r="H1945">
            <v>0</v>
          </cell>
          <cell r="I1945">
            <v>0</v>
          </cell>
          <cell r="J1945">
            <v>0</v>
          </cell>
        </row>
        <row r="1946">
          <cell r="B1946" t="str">
            <v>5.1.01.05.11</v>
          </cell>
          <cell r="C1946" t="str">
            <v>Belanja Insentif bagi KDH/WKDH atas Pemungutan Retribusi Daerah bagi KDH/WKDH</v>
          </cell>
          <cell r="D1946">
            <v>0</v>
          </cell>
          <cell r="E1946">
            <v>0</v>
          </cell>
          <cell r="F1946">
            <v>0</v>
          </cell>
          <cell r="G1946">
            <v>0</v>
          </cell>
          <cell r="H1946">
            <v>0</v>
          </cell>
          <cell r="I1946">
            <v>0</v>
          </cell>
          <cell r="J1946">
            <v>0</v>
          </cell>
        </row>
        <row r="1947">
          <cell r="B1947" t="str">
            <v>5.1.01.05.12</v>
          </cell>
          <cell r="C1947" t="str">
            <v>Belanja Jasa Pengelolaan BMD bagi KDH</v>
          </cell>
          <cell r="D1947">
            <v>0</v>
          </cell>
          <cell r="E1947">
            <v>0</v>
          </cell>
          <cell r="F1947">
            <v>0</v>
          </cell>
          <cell r="G1947">
            <v>0</v>
          </cell>
          <cell r="H1947">
            <v>0</v>
          </cell>
          <cell r="I1947">
            <v>0</v>
          </cell>
          <cell r="J1947">
            <v>0</v>
          </cell>
        </row>
        <row r="1948">
          <cell r="B1948" t="str">
            <v>5.1.01.06</v>
          </cell>
          <cell r="C1948" t="str">
            <v>Belanja Penerimaan Lainnya Pimpinan DPRD serta KDH/WKDH</v>
          </cell>
          <cell r="D1948">
            <v>663220000</v>
          </cell>
          <cell r="E1948">
            <v>912480000</v>
          </cell>
          <cell r="F1948"/>
          <cell r="G1948"/>
          <cell r="H1948"/>
          <cell r="I1948"/>
          <cell r="J1948">
            <v>912480000</v>
          </cell>
        </row>
        <row r="1949">
          <cell r="B1949" t="str">
            <v>5.1.01.06.01</v>
          </cell>
          <cell r="C1949" t="str">
            <v>Belanja Dana Operasional Pimpinan DPRD</v>
          </cell>
          <cell r="D1949">
            <v>260400000</v>
          </cell>
          <cell r="E1949">
            <v>312480000</v>
          </cell>
          <cell r="F1949">
            <v>0</v>
          </cell>
          <cell r="G1949">
            <v>0</v>
          </cell>
          <cell r="H1949">
            <v>0</v>
          </cell>
          <cell r="I1949">
            <v>0</v>
          </cell>
          <cell r="J1949">
            <v>312480000</v>
          </cell>
        </row>
        <row r="1950">
          <cell r="B1950" t="str">
            <v>5.1.01.06.02</v>
          </cell>
          <cell r="C1950" t="str">
            <v>Belanja Dana Operasional KDH/WKDH</v>
          </cell>
          <cell r="D1950">
            <v>402820000</v>
          </cell>
          <cell r="E1950">
            <v>600000000</v>
          </cell>
          <cell r="F1950">
            <v>0</v>
          </cell>
          <cell r="G1950">
            <v>0</v>
          </cell>
          <cell r="H1950">
            <v>0</v>
          </cell>
          <cell r="I1950">
            <v>0</v>
          </cell>
          <cell r="J1950">
            <v>600000000</v>
          </cell>
        </row>
        <row r="1951">
          <cell r="B1951" t="str">
            <v>5.1.01.07</v>
          </cell>
          <cell r="C1951" t="str">
            <v>Belanja Gaji dan Tunjangan MRP</v>
          </cell>
          <cell r="D1951">
            <v>0</v>
          </cell>
          <cell r="E1951">
            <v>0</v>
          </cell>
          <cell r="F1951"/>
          <cell r="G1951"/>
          <cell r="H1951"/>
          <cell r="I1951"/>
          <cell r="J1951">
            <v>0</v>
          </cell>
        </row>
        <row r="1952">
          <cell r="B1952" t="str">
            <v>5.1.01.07.01</v>
          </cell>
          <cell r="C1952" t="str">
            <v>Belanja Uang Representasi MRP</v>
          </cell>
          <cell r="D1952"/>
          <cell r="E1952"/>
          <cell r="F1952">
            <v>0</v>
          </cell>
          <cell r="G1952">
            <v>0</v>
          </cell>
          <cell r="H1952">
            <v>0</v>
          </cell>
          <cell r="I1952">
            <v>0</v>
          </cell>
          <cell r="J1952">
            <v>0</v>
          </cell>
        </row>
        <row r="1953">
          <cell r="B1953" t="str">
            <v>5.1.01.07.02</v>
          </cell>
          <cell r="C1953" t="str">
            <v>Belanja Tunjangan Keluarga MRP</v>
          </cell>
          <cell r="D1953"/>
          <cell r="E1953"/>
          <cell r="F1953">
            <v>0</v>
          </cell>
          <cell r="G1953">
            <v>0</v>
          </cell>
          <cell r="H1953">
            <v>0</v>
          </cell>
          <cell r="I1953">
            <v>0</v>
          </cell>
          <cell r="J1953">
            <v>0</v>
          </cell>
        </row>
        <row r="1954">
          <cell r="B1954" t="str">
            <v>5.1.01.07.03</v>
          </cell>
          <cell r="C1954" t="str">
            <v>Belanja Tunjangan Beras MRP</v>
          </cell>
          <cell r="D1954"/>
          <cell r="E1954"/>
          <cell r="F1954">
            <v>0</v>
          </cell>
          <cell r="G1954">
            <v>0</v>
          </cell>
          <cell r="H1954">
            <v>0</v>
          </cell>
          <cell r="I1954">
            <v>0</v>
          </cell>
          <cell r="J1954">
            <v>0</v>
          </cell>
        </row>
        <row r="1955">
          <cell r="B1955" t="str">
            <v>5.1.01.07.04</v>
          </cell>
          <cell r="C1955" t="str">
            <v>Belanja Uang Paket MRP</v>
          </cell>
          <cell r="D1955"/>
          <cell r="E1955"/>
          <cell r="F1955">
            <v>0</v>
          </cell>
          <cell r="G1955">
            <v>0</v>
          </cell>
          <cell r="H1955">
            <v>0</v>
          </cell>
          <cell r="I1955">
            <v>0</v>
          </cell>
          <cell r="J1955">
            <v>0</v>
          </cell>
        </row>
        <row r="1956">
          <cell r="B1956" t="str">
            <v>5.1.01.07.05</v>
          </cell>
          <cell r="C1956" t="str">
            <v>Belanja Tunjangan Jabatan MRP</v>
          </cell>
          <cell r="D1956"/>
          <cell r="E1956"/>
          <cell r="F1956">
            <v>0</v>
          </cell>
          <cell r="G1956">
            <v>0</v>
          </cell>
          <cell r="H1956">
            <v>0</v>
          </cell>
          <cell r="I1956">
            <v>0</v>
          </cell>
          <cell r="J1956">
            <v>0</v>
          </cell>
        </row>
        <row r="1957">
          <cell r="B1957" t="str">
            <v>5.1.01.07.06</v>
          </cell>
          <cell r="C1957" t="str">
            <v>Belanja Tunjangan Kelompok Kerja MRP</v>
          </cell>
          <cell r="D1957"/>
          <cell r="E1957"/>
          <cell r="F1957">
            <v>0</v>
          </cell>
          <cell r="G1957">
            <v>0</v>
          </cell>
          <cell r="H1957">
            <v>0</v>
          </cell>
          <cell r="I1957">
            <v>0</v>
          </cell>
          <cell r="J1957">
            <v>0</v>
          </cell>
        </row>
        <row r="1958">
          <cell r="B1958" t="str">
            <v>5.1.01.07.07</v>
          </cell>
          <cell r="C1958" t="str">
            <v>Belanja Uang Penghargaan MRP</v>
          </cell>
          <cell r="D1958"/>
          <cell r="E1958"/>
          <cell r="F1958">
            <v>0</v>
          </cell>
          <cell r="G1958">
            <v>0</v>
          </cell>
          <cell r="H1958">
            <v>0</v>
          </cell>
          <cell r="I1958">
            <v>0</v>
          </cell>
          <cell r="J1958">
            <v>0</v>
          </cell>
        </row>
        <row r="1959">
          <cell r="B1959" t="str">
            <v>5.1.01.07.08</v>
          </cell>
          <cell r="C1959" t="str">
            <v>Belanja Tunjangan Komunikasi Intensif MRP</v>
          </cell>
          <cell r="D1959"/>
          <cell r="E1959"/>
          <cell r="F1959">
            <v>0</v>
          </cell>
          <cell r="G1959">
            <v>0</v>
          </cell>
          <cell r="H1959">
            <v>0</v>
          </cell>
          <cell r="I1959">
            <v>0</v>
          </cell>
          <cell r="J1959">
            <v>0</v>
          </cell>
        </row>
        <row r="1960">
          <cell r="B1960" t="str">
            <v>5.1.01.07.09</v>
          </cell>
          <cell r="C1960" t="str">
            <v>Belanja Tunjangan Transportasi MRP</v>
          </cell>
          <cell r="D1960"/>
          <cell r="E1960"/>
          <cell r="F1960">
            <v>0</v>
          </cell>
          <cell r="G1960">
            <v>0</v>
          </cell>
          <cell r="H1960">
            <v>0</v>
          </cell>
          <cell r="I1960">
            <v>0</v>
          </cell>
          <cell r="J1960">
            <v>0</v>
          </cell>
        </row>
        <row r="1961">
          <cell r="B1961" t="str">
            <v>5.1.01.07.10</v>
          </cell>
          <cell r="C1961" t="str">
            <v>Belanja Pembebanan PPh kepada Pimpinan dan Anggota MRP</v>
          </cell>
          <cell r="D1961"/>
          <cell r="E1961"/>
          <cell r="F1961">
            <v>0</v>
          </cell>
          <cell r="G1961">
            <v>0</v>
          </cell>
          <cell r="H1961">
            <v>0</v>
          </cell>
          <cell r="I1961">
            <v>0</v>
          </cell>
          <cell r="J1961">
            <v>0</v>
          </cell>
        </row>
        <row r="1962">
          <cell r="B1962" t="str">
            <v>5.1.01.07.11</v>
          </cell>
          <cell r="C1962" t="str">
            <v>Belanja Pembulatan Gaji MRP</v>
          </cell>
          <cell r="D1962"/>
          <cell r="E1962"/>
          <cell r="F1962">
            <v>0</v>
          </cell>
          <cell r="G1962">
            <v>0</v>
          </cell>
          <cell r="H1962">
            <v>0</v>
          </cell>
          <cell r="I1962">
            <v>0</v>
          </cell>
          <cell r="J1962">
            <v>0</v>
          </cell>
        </row>
        <row r="1963">
          <cell r="B1963" t="str">
            <v>5.1.01.07.12</v>
          </cell>
          <cell r="C1963" t="str">
            <v>Belanja Tunjangan Kesejahteraan Pimpinan dan Anggota MRP</v>
          </cell>
          <cell r="D1963"/>
          <cell r="E1963"/>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F1964"/>
          <cell r="G1964"/>
          <cell r="H1964"/>
          <cell r="I1964"/>
          <cell r="J1964">
            <v>0</v>
          </cell>
        </row>
        <row r="1965">
          <cell r="B1965" t="str">
            <v>5.1.01.08.01</v>
          </cell>
          <cell r="C1965" t="str">
            <v>Belanja Gaji dan Tunjangan Wali Nanggroe</v>
          </cell>
          <cell r="D1965"/>
          <cell r="E1965"/>
          <cell r="F1965">
            <v>0</v>
          </cell>
          <cell r="G1965">
            <v>0</v>
          </cell>
          <cell r="H1965">
            <v>0</v>
          </cell>
          <cell r="I1965">
            <v>0</v>
          </cell>
          <cell r="J1965">
            <v>0</v>
          </cell>
        </row>
        <row r="1966">
          <cell r="B1966" t="str">
            <v>5.1.01.08.02</v>
          </cell>
          <cell r="C1966" t="str">
            <v>Belanja Gaji dan Tunjangan Waliyul Ahdi</v>
          </cell>
          <cell r="D1966"/>
          <cell r="E1966"/>
          <cell r="F1966">
            <v>0</v>
          </cell>
          <cell r="G1966">
            <v>0</v>
          </cell>
          <cell r="H1966">
            <v>0</v>
          </cell>
          <cell r="I1966">
            <v>0</v>
          </cell>
          <cell r="J1966">
            <v>0</v>
          </cell>
        </row>
        <row r="1967">
          <cell r="B1967" t="str">
            <v>5.1.01.08.03</v>
          </cell>
          <cell r="C1967" t="str">
            <v>Belanja Gaji dan Tunjangan Majelis Tinggi</v>
          </cell>
          <cell r="D1967"/>
          <cell r="E1967"/>
          <cell r="F1967">
            <v>0</v>
          </cell>
          <cell r="G1967">
            <v>0</v>
          </cell>
          <cell r="H1967">
            <v>0</v>
          </cell>
          <cell r="I1967">
            <v>0</v>
          </cell>
          <cell r="J1967">
            <v>0</v>
          </cell>
        </row>
        <row r="1968">
          <cell r="B1968" t="str">
            <v>5.1.01.08.04</v>
          </cell>
          <cell r="C1968" t="str">
            <v>Belanja Gaji dan Tunjangan Majelis Fungsional</v>
          </cell>
          <cell r="D1968"/>
          <cell r="E1968"/>
          <cell r="F1968">
            <v>0</v>
          </cell>
          <cell r="G1968">
            <v>0</v>
          </cell>
          <cell r="H1968">
            <v>0</v>
          </cell>
          <cell r="I1968">
            <v>0</v>
          </cell>
          <cell r="J1968">
            <v>0</v>
          </cell>
        </row>
        <row r="1969">
          <cell r="B1969" t="str">
            <v>5.1.01.88</v>
          </cell>
          <cell r="C1969" t="str">
            <v>Belanja Pegawai BOS</v>
          </cell>
          <cell r="D1969">
            <v>0</v>
          </cell>
          <cell r="E1969">
            <v>0</v>
          </cell>
          <cell r="F1969"/>
          <cell r="G1969"/>
          <cell r="H1969"/>
          <cell r="I1969"/>
          <cell r="J1969">
            <v>0</v>
          </cell>
        </row>
        <row r="1970">
          <cell r="B1970" t="str">
            <v>5.1.01.88.88</v>
          </cell>
          <cell r="C1970" t="str">
            <v>Belanja Pegawai BOS</v>
          </cell>
          <cell r="D1970">
            <v>0</v>
          </cell>
          <cell r="E1970">
            <v>0</v>
          </cell>
          <cell r="F1970">
            <v>0</v>
          </cell>
          <cell r="G1970">
            <v>0</v>
          </cell>
          <cell r="H1970">
            <v>0</v>
          </cell>
          <cell r="I1970">
            <v>0</v>
          </cell>
          <cell r="J1970">
            <v>0</v>
          </cell>
        </row>
        <row r="1971">
          <cell r="B1971" t="str">
            <v>5.1.01.89</v>
          </cell>
          <cell r="C1971" t="str">
            <v>Belanja Pegawai BOSP</v>
          </cell>
          <cell r="D1971">
            <v>0</v>
          </cell>
          <cell r="E1971">
            <v>0</v>
          </cell>
          <cell r="F1971"/>
          <cell r="G1971"/>
          <cell r="H1971"/>
          <cell r="I1971"/>
          <cell r="J1971">
            <v>0</v>
          </cell>
        </row>
        <row r="1972">
          <cell r="B1972" t="str">
            <v>5.1.01.89.01</v>
          </cell>
          <cell r="C1972" t="str">
            <v>Belanja Pegawai BOSP-BOS</v>
          </cell>
          <cell r="D1972">
            <v>0</v>
          </cell>
          <cell r="E1972">
            <v>0</v>
          </cell>
          <cell r="F1972">
            <v>0</v>
          </cell>
          <cell r="G1972">
            <v>0</v>
          </cell>
          <cell r="H1972">
            <v>0</v>
          </cell>
          <cell r="I1972">
            <v>0</v>
          </cell>
          <cell r="J1972">
            <v>0</v>
          </cell>
        </row>
        <row r="1973">
          <cell r="B1973" t="str">
            <v>5.1.01.89.02</v>
          </cell>
          <cell r="C1973" t="str">
            <v>Belanja Pegawai BOSP-BOP PAUD</v>
          </cell>
          <cell r="D1973">
            <v>0</v>
          </cell>
          <cell r="E1973">
            <v>0</v>
          </cell>
          <cell r="F1973">
            <v>0</v>
          </cell>
          <cell r="G1973">
            <v>0</v>
          </cell>
          <cell r="H1973">
            <v>0</v>
          </cell>
          <cell r="I1973">
            <v>0</v>
          </cell>
          <cell r="J1973">
            <v>0</v>
          </cell>
        </row>
        <row r="1974">
          <cell r="B1974" t="str">
            <v>5.1.01.89.03</v>
          </cell>
          <cell r="C1974" t="str">
            <v>Belanja Pegawai BOSP-BOP Kesetaraan</v>
          </cell>
          <cell r="D1974">
            <v>0</v>
          </cell>
          <cell r="E1974">
            <v>0</v>
          </cell>
          <cell r="F1974">
            <v>0</v>
          </cell>
          <cell r="G1974">
            <v>0</v>
          </cell>
          <cell r="H1974">
            <v>0</v>
          </cell>
          <cell r="I1974">
            <v>0</v>
          </cell>
          <cell r="J1974">
            <v>0</v>
          </cell>
        </row>
        <row r="1975">
          <cell r="B1975" t="str">
            <v>5.1.01.99</v>
          </cell>
          <cell r="C1975" t="str">
            <v>Belanja Pegawai BLUD</v>
          </cell>
          <cell r="D1975">
            <v>8256346709</v>
          </cell>
          <cell r="E1975">
            <v>8770798132</v>
          </cell>
          <cell r="F1975"/>
          <cell r="G1975"/>
          <cell r="H1975"/>
          <cell r="I1975"/>
          <cell r="J1975">
            <v>8770798132</v>
          </cell>
        </row>
        <row r="1976">
          <cell r="B1976" t="str">
            <v>5.1.01.99.99</v>
          </cell>
          <cell r="C1976" t="str">
            <v>Belanja Pegawai BLUD</v>
          </cell>
          <cell r="D1976">
            <v>8256346709</v>
          </cell>
          <cell r="E1976">
            <v>8770798132</v>
          </cell>
          <cell r="F1976">
            <v>0</v>
          </cell>
          <cell r="G1976">
            <v>0</v>
          </cell>
          <cell r="H1976">
            <v>0</v>
          </cell>
          <cell r="I1976">
            <v>0</v>
          </cell>
          <cell r="J1976">
            <v>8770798132</v>
          </cell>
        </row>
        <row r="1977">
          <cell r="B1977"/>
          <cell r="C1977"/>
          <cell r="D1977"/>
          <cell r="E1977"/>
          <cell r="F1977"/>
          <cell r="G1977"/>
          <cell r="H1977"/>
          <cell r="I1977"/>
          <cell r="J1977"/>
        </row>
        <row r="1978">
          <cell r="B1978" t="str">
            <v>5.1.02</v>
          </cell>
          <cell r="C1978" t="str">
            <v>Belanja Barang dan Jasa</v>
          </cell>
          <cell r="D1978">
            <v>590036550619.75</v>
          </cell>
          <cell r="E1978">
            <v>658266899846.96997</v>
          </cell>
          <cell r="F1978"/>
          <cell r="G1978"/>
          <cell r="H1978"/>
          <cell r="I1978"/>
          <cell r="J1978">
            <v>658266899846.96997</v>
          </cell>
        </row>
        <row r="1979">
          <cell r="B1979" t="str">
            <v>5.1.02.01</v>
          </cell>
          <cell r="C1979" t="str">
            <v>Belanja Barang</v>
          </cell>
          <cell r="D1979">
            <v>247296080139.75</v>
          </cell>
          <cell r="E1979">
            <v>293440356666</v>
          </cell>
          <cell r="F1979"/>
          <cell r="G1979"/>
          <cell r="H1979"/>
          <cell r="I1979"/>
          <cell r="J1979">
            <v>293440356666</v>
          </cell>
        </row>
        <row r="1980">
          <cell r="B1980" t="str">
            <v>5.1.02.01.01</v>
          </cell>
          <cell r="C1980" t="str">
            <v>Belanja Barang Pakai Habis</v>
          </cell>
          <cell r="D1980">
            <v>246839857892.75</v>
          </cell>
          <cell r="E1980">
            <v>293296955346</v>
          </cell>
          <cell r="F1980">
            <v>0</v>
          </cell>
          <cell r="G1980">
            <v>0</v>
          </cell>
          <cell r="H1980">
            <v>0</v>
          </cell>
          <cell r="I1980">
            <v>0</v>
          </cell>
          <cell r="J1980">
            <v>293296955346</v>
          </cell>
        </row>
        <row r="1981">
          <cell r="B1981" t="str">
            <v>5.1.02.01.02</v>
          </cell>
          <cell r="C1981" t="str">
            <v>Belanja Barang Tak Habis Pakai</v>
          </cell>
          <cell r="D1981">
            <v>77093030</v>
          </cell>
          <cell r="E1981">
            <v>81355000</v>
          </cell>
          <cell r="F1981">
            <v>0</v>
          </cell>
          <cell r="G1981">
            <v>0</v>
          </cell>
          <cell r="H1981">
            <v>0</v>
          </cell>
          <cell r="I1981">
            <v>0</v>
          </cell>
          <cell r="J1981">
            <v>81355000</v>
          </cell>
        </row>
        <row r="1982">
          <cell r="B1982" t="str">
            <v>5.1.02.01.03</v>
          </cell>
          <cell r="C1982" t="str">
            <v>Belanja Barang Bekas Dipakai</v>
          </cell>
          <cell r="D1982">
            <v>0</v>
          </cell>
          <cell r="E1982">
            <v>0</v>
          </cell>
          <cell r="F1982">
            <v>0</v>
          </cell>
          <cell r="G1982">
            <v>0</v>
          </cell>
          <cell r="H1982">
            <v>0</v>
          </cell>
          <cell r="I1982">
            <v>0</v>
          </cell>
          <cell r="J1982">
            <v>0</v>
          </cell>
        </row>
        <row r="1983">
          <cell r="B1983" t="str">
            <v>5.1.02.01.04</v>
          </cell>
          <cell r="C1983" t="str">
            <v>Belanja Aset Tetap yang Tidak Memenuhi Kriteria Kapitalisasi</v>
          </cell>
          <cell r="D1983">
            <v>379129217</v>
          </cell>
          <cell r="E1983">
            <v>62046320</v>
          </cell>
          <cell r="F1983">
            <v>0</v>
          </cell>
          <cell r="G1983">
            <v>0</v>
          </cell>
          <cell r="H1983">
            <v>0</v>
          </cell>
          <cell r="I1983">
            <v>0</v>
          </cell>
          <cell r="J1983">
            <v>62046320</v>
          </cell>
        </row>
        <row r="1984">
          <cell r="B1984" t="str">
            <v>5.1.02.02</v>
          </cell>
          <cell r="C1984" t="str">
            <v>Belanja Jasa</v>
          </cell>
          <cell r="D1984">
            <v>147302788949</v>
          </cell>
          <cell r="E1984">
            <v>144824273799.5</v>
          </cell>
          <cell r="F1984"/>
          <cell r="G1984"/>
          <cell r="H1984"/>
          <cell r="I1984"/>
          <cell r="J1984">
            <v>144824273799.5</v>
          </cell>
        </row>
        <row r="1985">
          <cell r="B1985" t="str">
            <v>5.1.02.02.01</v>
          </cell>
          <cell r="C1985" t="str">
            <v>Belanja Jasa Kantor</v>
          </cell>
          <cell r="D1985">
            <v>99419905522</v>
          </cell>
          <cell r="E1985">
            <v>83210925744</v>
          </cell>
          <cell r="F1985">
            <v>0</v>
          </cell>
          <cell r="G1985">
            <v>0</v>
          </cell>
          <cell r="H1985">
            <v>0</v>
          </cell>
          <cell r="I1985">
            <v>0</v>
          </cell>
          <cell r="J1985">
            <v>83210925744</v>
          </cell>
        </row>
        <row r="1986">
          <cell r="B1986" t="str">
            <v>5.1.02.02.02</v>
          </cell>
          <cell r="C1986" t="str">
            <v>Belanja Iuran Jaminan/Asuransi</v>
          </cell>
          <cell r="D1986">
            <v>13959217544</v>
          </cell>
          <cell r="E1986">
            <v>14931080234</v>
          </cell>
          <cell r="F1986">
            <v>0</v>
          </cell>
          <cell r="G1986">
            <v>0</v>
          </cell>
          <cell r="H1986">
            <v>0</v>
          </cell>
          <cell r="I1986">
            <v>0</v>
          </cell>
          <cell r="J1986">
            <v>14931080234</v>
          </cell>
        </row>
        <row r="1987">
          <cell r="B1987" t="str">
            <v>5.1.02.02.03</v>
          </cell>
          <cell r="C1987" t="str">
            <v>Belanja Sewa Tanah</v>
          </cell>
          <cell r="D1987">
            <v>0</v>
          </cell>
          <cell r="E1987">
            <v>0</v>
          </cell>
          <cell r="F1987">
            <v>0</v>
          </cell>
          <cell r="G1987">
            <v>0</v>
          </cell>
          <cell r="H1987">
            <v>0</v>
          </cell>
          <cell r="I1987">
            <v>0</v>
          </cell>
          <cell r="J1987">
            <v>0</v>
          </cell>
        </row>
        <row r="1988">
          <cell r="B1988" t="str">
            <v>5.1.02.02.04</v>
          </cell>
          <cell r="C1988" t="str">
            <v>Belanja Sewa Peralatan dan Mesin</v>
          </cell>
          <cell r="D1988">
            <v>3682818500</v>
          </cell>
          <cell r="E1988">
            <v>6176263867</v>
          </cell>
          <cell r="F1988">
            <v>0</v>
          </cell>
          <cell r="G1988">
            <v>0</v>
          </cell>
          <cell r="H1988">
            <v>0</v>
          </cell>
          <cell r="I1988">
            <v>0</v>
          </cell>
          <cell r="J1988">
            <v>6176263867</v>
          </cell>
        </row>
        <row r="1989">
          <cell r="B1989" t="str">
            <v>5.1.02.02.05</v>
          </cell>
          <cell r="C1989" t="str">
            <v>Belanja Sewa Gedung dan Bangunan</v>
          </cell>
          <cell r="D1989">
            <v>2086128000</v>
          </cell>
          <cell r="E1989">
            <v>827250000</v>
          </cell>
          <cell r="F1989">
            <v>0</v>
          </cell>
          <cell r="G1989">
            <v>0</v>
          </cell>
          <cell r="H1989">
            <v>0</v>
          </cell>
          <cell r="I1989">
            <v>0</v>
          </cell>
          <cell r="J1989">
            <v>827250000</v>
          </cell>
        </row>
        <row r="1990">
          <cell r="B1990" t="str">
            <v>5.1.02.02.06</v>
          </cell>
          <cell r="C1990" t="str">
            <v>Belanja Sewa Jalan, Jaringan dan Irigasi</v>
          </cell>
          <cell r="D1990">
            <v>35000000</v>
          </cell>
          <cell r="E1990">
            <v>0</v>
          </cell>
          <cell r="F1990">
            <v>0</v>
          </cell>
          <cell r="G1990">
            <v>0</v>
          </cell>
          <cell r="H1990">
            <v>0</v>
          </cell>
          <cell r="I1990">
            <v>0</v>
          </cell>
          <cell r="J1990">
            <v>0</v>
          </cell>
        </row>
        <row r="1991">
          <cell r="B1991" t="str">
            <v>5.1.02.02.07</v>
          </cell>
          <cell r="C1991" t="str">
            <v>Belanja Sewa Aset Tetap Lainnya</v>
          </cell>
          <cell r="D1991">
            <v>150950000</v>
          </cell>
          <cell r="E1991">
            <v>155650000</v>
          </cell>
          <cell r="F1991">
            <v>0</v>
          </cell>
          <cell r="G1991">
            <v>0</v>
          </cell>
          <cell r="H1991">
            <v>0</v>
          </cell>
          <cell r="I1991">
            <v>0</v>
          </cell>
          <cell r="J1991">
            <v>155650000</v>
          </cell>
        </row>
        <row r="1992">
          <cell r="B1992" t="str">
            <v>5.1.02.02.08</v>
          </cell>
          <cell r="C1992" t="str">
            <v>Belanja Jasa Konsultansi Konstruksi</v>
          </cell>
          <cell r="D1992">
            <v>11456742768</v>
          </cell>
          <cell r="E1992">
            <v>16294003331.5</v>
          </cell>
          <cell r="F1992">
            <v>0</v>
          </cell>
          <cell r="G1992">
            <v>0</v>
          </cell>
          <cell r="H1992">
            <v>0</v>
          </cell>
          <cell r="I1992">
            <v>0</v>
          </cell>
          <cell r="J1992">
            <v>16294003331.5</v>
          </cell>
        </row>
        <row r="1993">
          <cell r="B1993" t="str">
            <v>5.1.02.02.09</v>
          </cell>
          <cell r="C1993" t="str">
            <v>Belanja Jasa Konsultansi Non Konstruksi</v>
          </cell>
          <cell r="D1993">
            <v>4189519970</v>
          </cell>
          <cell r="E1993">
            <v>6393907919</v>
          </cell>
          <cell r="F1993">
            <v>0</v>
          </cell>
          <cell r="G1993">
            <v>0</v>
          </cell>
          <cell r="H1993">
            <v>0</v>
          </cell>
          <cell r="I1993">
            <v>0</v>
          </cell>
          <cell r="J1993">
            <v>6393907919</v>
          </cell>
        </row>
        <row r="1994">
          <cell r="B1994" t="str">
            <v>5.1.02.02.10</v>
          </cell>
          <cell r="C1994" t="str">
            <v>Belanja Jasa Ketersediaan Layanan (Availibility Payment)</v>
          </cell>
          <cell r="D1994">
            <v>0</v>
          </cell>
          <cell r="E1994">
            <v>0</v>
          </cell>
          <cell r="F1994">
            <v>0</v>
          </cell>
          <cell r="G1994">
            <v>0</v>
          </cell>
          <cell r="H1994">
            <v>0</v>
          </cell>
          <cell r="I1994">
            <v>0</v>
          </cell>
          <cell r="J1994">
            <v>0</v>
          </cell>
        </row>
        <row r="1995">
          <cell r="B1995" t="str">
            <v>5.1.02.02.11</v>
          </cell>
          <cell r="C1995" t="str">
            <v>Belanja Beasiswa Pendidikan PNS</v>
          </cell>
          <cell r="D1995">
            <v>0</v>
          </cell>
          <cell r="E1995">
            <v>300000000</v>
          </cell>
          <cell r="F1995">
            <v>0</v>
          </cell>
          <cell r="G1995">
            <v>0</v>
          </cell>
          <cell r="H1995">
            <v>0</v>
          </cell>
          <cell r="I1995">
            <v>0</v>
          </cell>
          <cell r="J1995">
            <v>300000000</v>
          </cell>
        </row>
        <row r="1996">
          <cell r="B1996" t="str">
            <v>5.1.02.02.12</v>
          </cell>
          <cell r="C1996" t="str">
            <v>Belanja Kursus/Pelatihan, Sosialisasi, Bimbingan Teknis serta Pendidikan dan Pelatihan</v>
          </cell>
          <cell r="D1996">
            <v>12258546645</v>
          </cell>
          <cell r="E1996">
            <v>16364866704</v>
          </cell>
          <cell r="F1996">
            <v>0</v>
          </cell>
          <cell r="G1996">
            <v>0</v>
          </cell>
          <cell r="H1996">
            <v>0</v>
          </cell>
          <cell r="I1996">
            <v>0</v>
          </cell>
          <cell r="J1996">
            <v>16364866704</v>
          </cell>
        </row>
        <row r="1997">
          <cell r="B1997" t="str">
            <v>5.1.02.02.13</v>
          </cell>
          <cell r="C1997" t="str">
            <v>Belanja Jasa Insentif bagi Pegawai Non ASN atas Pemungutan Pajak Daerah</v>
          </cell>
          <cell r="D1997">
            <v>23000000</v>
          </cell>
          <cell r="E1997">
            <v>0</v>
          </cell>
          <cell r="F1997">
            <v>0</v>
          </cell>
          <cell r="G1997">
            <v>0</v>
          </cell>
          <cell r="H1997">
            <v>0</v>
          </cell>
          <cell r="I1997">
            <v>0</v>
          </cell>
          <cell r="J1997">
            <v>0</v>
          </cell>
        </row>
        <row r="1998">
          <cell r="B1998" t="str">
            <v>5.1.02.02.14</v>
          </cell>
          <cell r="C1998" t="str">
            <v>Belanja Jasa Insentif bagi Pegawai Non ASN atas Pemungutan Retribusi Daerah</v>
          </cell>
          <cell r="D1998">
            <v>0</v>
          </cell>
          <cell r="E1998">
            <v>24000000</v>
          </cell>
          <cell r="F1998">
            <v>0</v>
          </cell>
          <cell r="G1998">
            <v>0</v>
          </cell>
          <cell r="H1998">
            <v>0</v>
          </cell>
          <cell r="I1998">
            <v>0</v>
          </cell>
          <cell r="J1998">
            <v>24000000</v>
          </cell>
        </row>
        <row r="1999">
          <cell r="B1999" t="str">
            <v>5.1.02.02.15</v>
          </cell>
          <cell r="C1999" t="str">
            <v>Belanja Sewa Aset Tidak Berwujud</v>
          </cell>
          <cell r="D1999">
            <v>40960000</v>
          </cell>
          <cell r="E1999">
            <v>146326000</v>
          </cell>
          <cell r="F1999">
            <v>0</v>
          </cell>
          <cell r="G1999">
            <v>0</v>
          </cell>
          <cell r="H1999">
            <v>0</v>
          </cell>
          <cell r="I1999">
            <v>0</v>
          </cell>
          <cell r="J1999">
            <v>146326000</v>
          </cell>
        </row>
        <row r="2000">
          <cell r="B2000" t="str">
            <v>5.1.02.02.16</v>
          </cell>
          <cell r="C2000" t="str">
            <v>Belanja Gaji dan Tunjangan Perangkat Lembaga Wali Nanggroe</v>
          </cell>
          <cell r="D2000">
            <v>0</v>
          </cell>
          <cell r="E2000">
            <v>0</v>
          </cell>
          <cell r="F2000">
            <v>0</v>
          </cell>
          <cell r="G2000">
            <v>0</v>
          </cell>
          <cell r="H2000">
            <v>0</v>
          </cell>
          <cell r="I2000">
            <v>0</v>
          </cell>
          <cell r="J2000">
            <v>0</v>
          </cell>
        </row>
        <row r="2001">
          <cell r="B2001" t="str">
            <v>5.1.02.02.17</v>
          </cell>
          <cell r="C2001" t="str">
            <v>Belanja Jasa Kerja Sama Pemungutan Pajak Daerah</v>
          </cell>
          <cell r="D2001">
            <v>0</v>
          </cell>
          <cell r="E2001">
            <v>0</v>
          </cell>
          <cell r="F2001">
            <v>0</v>
          </cell>
          <cell r="G2001">
            <v>0</v>
          </cell>
          <cell r="H2001">
            <v>0</v>
          </cell>
          <cell r="I2001">
            <v>0</v>
          </cell>
          <cell r="J2001">
            <v>0</v>
          </cell>
        </row>
        <row r="2002">
          <cell r="B2002" t="str">
            <v>5.1.02.02.18</v>
          </cell>
          <cell r="C2002" t="str">
            <v>Belanja Jasa Kerja Sama Pemungutan Retribusi Daerah</v>
          </cell>
          <cell r="D2002">
            <v>0</v>
          </cell>
          <cell r="E2002">
            <v>0</v>
          </cell>
          <cell r="F2002">
            <v>0</v>
          </cell>
          <cell r="G2002">
            <v>0</v>
          </cell>
          <cell r="H2002">
            <v>0</v>
          </cell>
          <cell r="I2002">
            <v>0</v>
          </cell>
          <cell r="J2002">
            <v>0</v>
          </cell>
        </row>
        <row r="2003">
          <cell r="B2003" t="str">
            <v>5.1.02.02.19</v>
          </cell>
          <cell r="C2003" t="str">
            <v>Belanja Jasa Pelayanan Kesehatan bagi ASN</v>
          </cell>
          <cell r="D2003">
            <v>0</v>
          </cell>
          <cell r="E2003">
            <v>0</v>
          </cell>
          <cell r="F2003">
            <v>0</v>
          </cell>
          <cell r="G2003">
            <v>0</v>
          </cell>
          <cell r="H2003">
            <v>0</v>
          </cell>
          <cell r="I2003">
            <v>0</v>
          </cell>
          <cell r="J2003">
            <v>0</v>
          </cell>
        </row>
        <row r="2004">
          <cell r="B2004" t="str">
            <v>5.1.02.03</v>
          </cell>
          <cell r="C2004" t="str">
            <v>Belanja Pemeliharaan</v>
          </cell>
          <cell r="D2004">
            <v>77043189418</v>
          </cell>
          <cell r="E2004">
            <v>62810010088.470001</v>
          </cell>
          <cell r="F2004"/>
          <cell r="G2004"/>
          <cell r="H2004"/>
          <cell r="I2004"/>
          <cell r="J2004">
            <v>62810010088.470001</v>
          </cell>
        </row>
        <row r="2005">
          <cell r="B2005" t="str">
            <v>5.1.02.03.01</v>
          </cell>
          <cell r="C2005" t="str">
            <v>Belanja Pemeliharaan Tanah</v>
          </cell>
          <cell r="D2005">
            <v>199444500</v>
          </cell>
          <cell r="E2005">
            <v>629056500</v>
          </cell>
          <cell r="F2005">
            <v>0</v>
          </cell>
          <cell r="G2005">
            <v>0</v>
          </cell>
          <cell r="H2005">
            <v>0</v>
          </cell>
          <cell r="I2005">
            <v>0</v>
          </cell>
          <cell r="J2005">
            <v>629056500</v>
          </cell>
        </row>
        <row r="2006">
          <cell r="B2006" t="str">
            <v>5.1.02.03.02</v>
          </cell>
          <cell r="C2006" t="str">
            <v>Belanja Pemeliharaan Peralatan dan Mesin</v>
          </cell>
          <cell r="D2006">
            <v>5163946553</v>
          </cell>
          <cell r="E2006">
            <v>5106723715</v>
          </cell>
          <cell r="F2006">
            <v>0</v>
          </cell>
          <cell r="G2006">
            <v>0</v>
          </cell>
          <cell r="H2006">
            <v>0</v>
          </cell>
          <cell r="I2006">
            <v>0</v>
          </cell>
          <cell r="J2006">
            <v>5106723715</v>
          </cell>
        </row>
        <row r="2007">
          <cell r="B2007" t="str">
            <v>5.1.02.03.03</v>
          </cell>
          <cell r="C2007" t="str">
            <v>Belanja Pemeliharaan Gedung dan Bangunan</v>
          </cell>
          <cell r="D2007">
            <v>19084054565</v>
          </cell>
          <cell r="E2007">
            <v>14313376726.469999</v>
          </cell>
          <cell r="F2007">
            <v>0</v>
          </cell>
          <cell r="G2007">
            <v>0</v>
          </cell>
          <cell r="H2007">
            <v>0</v>
          </cell>
          <cell r="I2007">
            <v>0</v>
          </cell>
          <cell r="J2007">
            <v>14313376726.469999</v>
          </cell>
        </row>
        <row r="2008">
          <cell r="B2008" t="str">
            <v>5.1.02.03.04</v>
          </cell>
          <cell r="C2008" t="str">
            <v>Belanja Pemeliharaan Jalan, Jaringan, dan Irigasi</v>
          </cell>
          <cell r="D2008">
            <v>52501873800</v>
          </cell>
          <cell r="E2008">
            <v>42561164147</v>
          </cell>
          <cell r="F2008">
            <v>0</v>
          </cell>
          <cell r="G2008">
            <v>0</v>
          </cell>
          <cell r="H2008">
            <v>0</v>
          </cell>
          <cell r="I2008">
            <v>0</v>
          </cell>
          <cell r="J2008">
            <v>42561164147</v>
          </cell>
        </row>
        <row r="2009">
          <cell r="B2009" t="str">
            <v>5.1.02.03.05</v>
          </cell>
          <cell r="C2009" t="str">
            <v>Belanja Pemeliharaan Aset Tetap Lainnya</v>
          </cell>
          <cell r="D2009">
            <v>0</v>
          </cell>
          <cell r="E2009">
            <v>0</v>
          </cell>
          <cell r="F2009">
            <v>0</v>
          </cell>
          <cell r="G2009">
            <v>0</v>
          </cell>
          <cell r="H2009">
            <v>0</v>
          </cell>
          <cell r="I2009">
            <v>0</v>
          </cell>
          <cell r="J2009">
            <v>0</v>
          </cell>
        </row>
        <row r="2010">
          <cell r="B2010" t="str">
            <v>5.1.02.03.06</v>
          </cell>
          <cell r="C2010" t="str">
            <v>Belanja Pemeliharaan Aset Tidak Berwujud</v>
          </cell>
          <cell r="D2010">
            <v>93870000</v>
          </cell>
          <cell r="E2010">
            <v>199689000</v>
          </cell>
          <cell r="F2010">
            <v>0</v>
          </cell>
          <cell r="G2010">
            <v>0</v>
          </cell>
          <cell r="H2010">
            <v>0</v>
          </cell>
          <cell r="I2010">
            <v>0</v>
          </cell>
          <cell r="J2010">
            <v>199689000</v>
          </cell>
        </row>
        <row r="2011">
          <cell r="B2011" t="str">
            <v>5.1.02.04</v>
          </cell>
          <cell r="C2011" t="str">
            <v>Belanja Perjalanan Dinas</v>
          </cell>
          <cell r="D2011">
            <v>52144086380</v>
          </cell>
          <cell r="E2011">
            <v>45770826238</v>
          </cell>
          <cell r="F2011"/>
          <cell r="G2011"/>
          <cell r="H2011"/>
          <cell r="I2011"/>
          <cell r="J2011">
            <v>45770826238</v>
          </cell>
        </row>
        <row r="2012">
          <cell r="B2012" t="str">
            <v>5.1.02.04.01</v>
          </cell>
          <cell r="C2012" t="str">
            <v>Belanja Perjalanan Dinas Dalam Negeri</v>
          </cell>
          <cell r="D2012">
            <v>52144086380</v>
          </cell>
          <cell r="E2012">
            <v>45464273049</v>
          </cell>
          <cell r="F2012">
            <v>0</v>
          </cell>
          <cell r="G2012">
            <v>0</v>
          </cell>
          <cell r="H2012">
            <v>0</v>
          </cell>
          <cell r="I2012">
            <v>0</v>
          </cell>
          <cell r="J2012">
            <v>45464273049</v>
          </cell>
        </row>
        <row r="2013">
          <cell r="B2013" t="str">
            <v>5.1.02.04.02</v>
          </cell>
          <cell r="C2013" t="str">
            <v>Belanja Perjalanan Dinas Luar Negeri</v>
          </cell>
          <cell r="D2013">
            <v>0</v>
          </cell>
          <cell r="E2013">
            <v>306553189</v>
          </cell>
          <cell r="F2013">
            <v>0</v>
          </cell>
          <cell r="G2013">
            <v>0</v>
          </cell>
          <cell r="H2013">
            <v>0</v>
          </cell>
          <cell r="I2013">
            <v>0</v>
          </cell>
          <cell r="J2013">
            <v>306553189</v>
          </cell>
        </row>
        <row r="2014">
          <cell r="B2014" t="str">
            <v>5.1.02.05</v>
          </cell>
          <cell r="C2014" t="str">
            <v>Belanja Uang dan/atau Jasa untuk Diberikan kepada Pihak Ketiga/Pihak Lain/Masyarakat</v>
          </cell>
          <cell r="D2014">
            <v>7535152839</v>
          </cell>
          <cell r="E2014">
            <v>46957147750</v>
          </cell>
          <cell r="F2014"/>
          <cell r="G2014"/>
          <cell r="H2014"/>
          <cell r="I2014"/>
          <cell r="J2014">
            <v>46957147750</v>
          </cell>
        </row>
        <row r="2015">
          <cell r="B2015" t="str">
            <v>5.1.02.05.01</v>
          </cell>
          <cell r="C2015" t="str">
            <v>Belanja Uang yang Diberikan kepada Pihak Ketiga/Pihak Lain/Masyarakat</v>
          </cell>
          <cell r="D2015">
            <v>5198069000</v>
          </cell>
          <cell r="E2015">
            <v>42429515750</v>
          </cell>
          <cell r="F2015">
            <v>0</v>
          </cell>
          <cell r="G2015">
            <v>0</v>
          </cell>
          <cell r="H2015">
            <v>0</v>
          </cell>
          <cell r="I2015">
            <v>0</v>
          </cell>
          <cell r="J2015">
            <v>42429515750</v>
          </cell>
        </row>
        <row r="2016">
          <cell r="B2016" t="str">
            <v>5.1.02.05.02</v>
          </cell>
          <cell r="C2016" t="str">
            <v>Belanja Jasa yang Diberikan kepada Pihak Ketiga/Pihak Lain/Masyarakat</v>
          </cell>
          <cell r="D2016">
            <v>2337083839</v>
          </cell>
          <cell r="E2016">
            <v>4527632000</v>
          </cell>
          <cell r="F2016">
            <v>0</v>
          </cell>
          <cell r="G2016">
            <v>0</v>
          </cell>
          <cell r="H2016">
            <v>0</v>
          </cell>
          <cell r="I2016">
            <v>0</v>
          </cell>
          <cell r="J2016">
            <v>4527632000</v>
          </cell>
        </row>
        <row r="2017">
          <cell r="B2017" t="str">
            <v>5.1.02.06</v>
          </cell>
          <cell r="C2017" t="str">
            <v>Belanja Penunjang Otonomi Khusus*)</v>
          </cell>
          <cell r="D2017">
            <v>0</v>
          </cell>
          <cell r="E2017">
            <v>0</v>
          </cell>
          <cell r="F2017"/>
          <cell r="G2017"/>
          <cell r="H2017"/>
          <cell r="I2017"/>
          <cell r="J2017">
            <v>0</v>
          </cell>
        </row>
        <row r="2018">
          <cell r="B2018" t="str">
            <v>5.1.02.06.01</v>
          </cell>
          <cell r="C2018" t="str">
            <v>Belanja Penunjang Otonomi Khusus*)</v>
          </cell>
          <cell r="D2018"/>
          <cell r="E2018"/>
          <cell r="F2018">
            <v>0</v>
          </cell>
          <cell r="G2018">
            <v>0</v>
          </cell>
          <cell r="H2018">
            <v>0</v>
          </cell>
          <cell r="I2018">
            <v>0</v>
          </cell>
          <cell r="J2018">
            <v>0</v>
          </cell>
        </row>
        <row r="2019">
          <cell r="B2019" t="str">
            <v>5.1.02.88</v>
          </cell>
          <cell r="C2019" t="str">
            <v>Belanja Barang dan Jasa BOS</v>
          </cell>
          <cell r="D2019">
            <v>15185050147</v>
          </cell>
          <cell r="E2019">
            <v>0</v>
          </cell>
          <cell r="F2019"/>
          <cell r="G2019"/>
          <cell r="H2019"/>
          <cell r="I2019"/>
          <cell r="J2019">
            <v>0</v>
          </cell>
        </row>
        <row r="2020">
          <cell r="B2020" t="str">
            <v>5.1.02.88.88</v>
          </cell>
          <cell r="C2020" t="str">
            <v>Belanja Barang dan Jasa BOS</v>
          </cell>
          <cell r="D2020">
            <v>15185050147</v>
          </cell>
          <cell r="E2020">
            <v>0</v>
          </cell>
          <cell r="F2020">
            <v>0</v>
          </cell>
          <cell r="G2020">
            <v>0</v>
          </cell>
          <cell r="H2020">
            <v>0</v>
          </cell>
          <cell r="I2020">
            <v>0</v>
          </cell>
          <cell r="J2020">
            <v>0</v>
          </cell>
        </row>
        <row r="2021">
          <cell r="B2021" t="str">
            <v>5.1.02.89</v>
          </cell>
          <cell r="C2021" t="str">
            <v>Belanja Barang dan Jasa BOSP</v>
          </cell>
          <cell r="D2021">
            <v>0</v>
          </cell>
          <cell r="E2021">
            <v>15624489850</v>
          </cell>
          <cell r="F2021"/>
          <cell r="G2021"/>
          <cell r="H2021"/>
          <cell r="I2021"/>
          <cell r="J2021">
            <v>15624489850</v>
          </cell>
        </row>
        <row r="2022">
          <cell r="B2022" t="str">
            <v>5.1.02.89.01</v>
          </cell>
          <cell r="C2022" t="str">
            <v>Belanja Barang dan Jasa BOSP-BOS</v>
          </cell>
          <cell r="D2022">
            <v>0</v>
          </cell>
          <cell r="E2022">
            <v>14640029375</v>
          </cell>
          <cell r="F2022">
            <v>0</v>
          </cell>
          <cell r="G2022">
            <v>0</v>
          </cell>
          <cell r="H2022">
            <v>0</v>
          </cell>
          <cell r="I2022">
            <v>0</v>
          </cell>
          <cell r="J2022">
            <v>14640029375</v>
          </cell>
        </row>
        <row r="2023">
          <cell r="B2023" t="str">
            <v>5.1.02.89.02</v>
          </cell>
          <cell r="C2023" t="str">
            <v>Belanja Barang dan Jasa BOSP-BOP PAUD</v>
          </cell>
          <cell r="D2023">
            <v>0</v>
          </cell>
          <cell r="E2023">
            <v>872660475</v>
          </cell>
          <cell r="F2023">
            <v>0</v>
          </cell>
          <cell r="G2023">
            <v>0</v>
          </cell>
          <cell r="H2023">
            <v>0</v>
          </cell>
          <cell r="I2023">
            <v>0</v>
          </cell>
          <cell r="J2023">
            <v>872660475</v>
          </cell>
        </row>
        <row r="2024">
          <cell r="B2024" t="str">
            <v>5.1.02.89.03</v>
          </cell>
          <cell r="C2024" t="str">
            <v>Belanja Barang dan Jasa BOSP-BOP Kesetaraan</v>
          </cell>
          <cell r="D2024">
            <v>0</v>
          </cell>
          <cell r="E2024">
            <v>111800000</v>
          </cell>
          <cell r="F2024">
            <v>0</v>
          </cell>
          <cell r="G2024">
            <v>0</v>
          </cell>
          <cell r="H2024">
            <v>0</v>
          </cell>
          <cell r="I2024">
            <v>0</v>
          </cell>
          <cell r="J2024">
            <v>111800000</v>
          </cell>
        </row>
        <row r="2025">
          <cell r="B2025" t="str">
            <v>5.1.02.90</v>
          </cell>
          <cell r="C2025" t="str">
            <v>Belanja Barang dan Jasa BOK Puskesmas</v>
          </cell>
          <cell r="D2025">
            <v>4773325615</v>
          </cell>
          <cell r="E2025">
            <v>4506172751</v>
          </cell>
          <cell r="F2025"/>
          <cell r="G2025"/>
          <cell r="H2025"/>
          <cell r="I2025"/>
          <cell r="J2025">
            <v>4506172751</v>
          </cell>
        </row>
        <row r="2026">
          <cell r="B2026" t="str">
            <v>5.1.02.90.01</v>
          </cell>
          <cell r="C2026" t="str">
            <v>Belanja Barang dan Jasa BOK Puskesmas</v>
          </cell>
          <cell r="D2026">
            <v>4773325615</v>
          </cell>
          <cell r="E2026">
            <v>4506172751</v>
          </cell>
          <cell r="F2026">
            <v>0</v>
          </cell>
          <cell r="G2026">
            <v>0</v>
          </cell>
          <cell r="H2026">
            <v>0</v>
          </cell>
          <cell r="I2026">
            <v>0</v>
          </cell>
          <cell r="J2026">
            <v>4506172751</v>
          </cell>
        </row>
        <row r="2027">
          <cell r="B2027" t="str">
            <v>5.1.02.99</v>
          </cell>
          <cell r="C2027" t="str">
            <v>Belanja Barang dan Jasa BLUD</v>
          </cell>
          <cell r="D2027">
            <v>38756877132</v>
          </cell>
          <cell r="E2027">
            <v>44333622704</v>
          </cell>
          <cell r="F2027"/>
          <cell r="G2027"/>
          <cell r="H2027"/>
          <cell r="I2027"/>
          <cell r="J2027">
            <v>44333622704</v>
          </cell>
        </row>
        <row r="2028">
          <cell r="B2028" t="str">
            <v>5.1.02.99.99</v>
          </cell>
          <cell r="C2028" t="str">
            <v>Belanja Barang dan Jasa BLUD</v>
          </cell>
          <cell r="D2028">
            <v>38756877132</v>
          </cell>
          <cell r="E2028">
            <v>44333622704</v>
          </cell>
          <cell r="F2028">
            <v>0</v>
          </cell>
          <cell r="G2028">
            <v>0</v>
          </cell>
          <cell r="H2028">
            <v>0</v>
          </cell>
          <cell r="I2028">
            <v>0</v>
          </cell>
          <cell r="J2028">
            <v>44333622704</v>
          </cell>
        </row>
        <row r="2029">
          <cell r="B2029"/>
          <cell r="C2029"/>
          <cell r="D2029"/>
          <cell r="E2029"/>
          <cell r="F2029"/>
          <cell r="G2029"/>
          <cell r="H2029"/>
          <cell r="I2029"/>
          <cell r="J2029"/>
        </row>
        <row r="2030">
          <cell r="B2030" t="str">
            <v>5.1.03</v>
          </cell>
          <cell r="C2030" t="str">
            <v>Belanja Bunga</v>
          </cell>
          <cell r="D2030">
            <v>0</v>
          </cell>
          <cell r="E2030">
            <v>0</v>
          </cell>
          <cell r="F2030"/>
          <cell r="G2030"/>
          <cell r="H2030"/>
          <cell r="I2030"/>
          <cell r="J2030">
            <v>0</v>
          </cell>
        </row>
        <row r="2031">
          <cell r="B2031" t="str">
            <v>5.1.03.01</v>
          </cell>
          <cell r="C2031" t="str">
            <v>Belanja Bunga Utang Pinjaman kepada Pemerintah Pusat</v>
          </cell>
          <cell r="D2031">
            <v>0</v>
          </cell>
          <cell r="E2031">
            <v>0</v>
          </cell>
          <cell r="F2031"/>
          <cell r="G2031"/>
          <cell r="H2031"/>
          <cell r="I2031"/>
          <cell r="J2031">
            <v>0</v>
          </cell>
        </row>
        <row r="2032">
          <cell r="B2032" t="str">
            <v>5.1.03.01.01</v>
          </cell>
          <cell r="C2032" t="str">
            <v>Belanja Bunga Utang Pinjaman kepada Pemerintah Pusat atas Penerusan Pinjaman Dalam Negeri-Jangka Menengah</v>
          </cell>
          <cell r="D2032">
            <v>0</v>
          </cell>
          <cell r="E2032">
            <v>0</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0</v>
          </cell>
          <cell r="E2033">
            <v>0</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D2034">
            <v>0</v>
          </cell>
          <cell r="E2034">
            <v>0</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D2035">
            <v>0</v>
          </cell>
          <cell r="E2035">
            <v>0</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D2036">
            <v>0</v>
          </cell>
          <cell r="E2036">
            <v>0</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D2037">
            <v>0</v>
          </cell>
          <cell r="E2037">
            <v>0</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F2038"/>
          <cell r="G2038"/>
          <cell r="H2038"/>
          <cell r="I2038"/>
          <cell r="J2038">
            <v>0</v>
          </cell>
        </row>
        <row r="2039">
          <cell r="B2039" t="str">
            <v>5.1.03.02.01</v>
          </cell>
          <cell r="C2039" t="str">
            <v>Belanja Bunga Utang Pinjaman kepada Pemerintah Daerah-Jangka Pendek</v>
          </cell>
          <cell r="D2039">
            <v>0</v>
          </cell>
          <cell r="E2039">
            <v>0</v>
          </cell>
          <cell r="F2039">
            <v>0</v>
          </cell>
          <cell r="G2039">
            <v>0</v>
          </cell>
          <cell r="H2039">
            <v>0</v>
          </cell>
          <cell r="I2039">
            <v>0</v>
          </cell>
          <cell r="J2039">
            <v>0</v>
          </cell>
        </row>
        <row r="2040">
          <cell r="B2040" t="str">
            <v>5.1.03.03</v>
          </cell>
          <cell r="C2040" t="str">
            <v>Belanja Bunga Utang Pinjaman kepada Lembaga Keuangan Bank (LKB)</v>
          </cell>
          <cell r="D2040">
            <v>0</v>
          </cell>
          <cell r="E2040">
            <v>0</v>
          </cell>
          <cell r="F2040"/>
          <cell r="G2040"/>
          <cell r="H2040"/>
          <cell r="I2040"/>
          <cell r="J2040">
            <v>0</v>
          </cell>
        </row>
        <row r="2041">
          <cell r="B2041" t="str">
            <v>5.1.03.03.01</v>
          </cell>
          <cell r="C2041" t="str">
            <v>Belanja Bunga Utang Pinjaman kepada Lembaga Keuangan Bank (LKB)-BUMN-Jangka Pendek</v>
          </cell>
          <cell r="D2041">
            <v>0</v>
          </cell>
          <cell r="E2041">
            <v>0</v>
          </cell>
          <cell r="F2041">
            <v>0</v>
          </cell>
          <cell r="G2041">
            <v>0</v>
          </cell>
          <cell r="H2041">
            <v>0</v>
          </cell>
          <cell r="I2041">
            <v>0</v>
          </cell>
          <cell r="J2041">
            <v>0</v>
          </cell>
        </row>
        <row r="2042">
          <cell r="B2042" t="str">
            <v>5.1.03.03.02</v>
          </cell>
          <cell r="C2042" t="str">
            <v>Belanja Bunga Utang Pinjaman kepada Lembaga Keuangan Bank (LKB)-BUMN-Jangka Menengah</v>
          </cell>
          <cell r="D2042">
            <v>0</v>
          </cell>
          <cell r="E2042">
            <v>0</v>
          </cell>
          <cell r="F2042">
            <v>0</v>
          </cell>
          <cell r="G2042">
            <v>0</v>
          </cell>
          <cell r="H2042">
            <v>0</v>
          </cell>
          <cell r="I2042">
            <v>0</v>
          </cell>
          <cell r="J2042">
            <v>0</v>
          </cell>
        </row>
        <row r="2043">
          <cell r="B2043" t="str">
            <v>5.1.03.03.03</v>
          </cell>
          <cell r="C2043" t="str">
            <v>Belanja Bunga Utang Pinjaman kepada Lembaga Keuangan Bank (LKB)-BUMN-Jangka Panjang</v>
          </cell>
          <cell r="D2043">
            <v>0</v>
          </cell>
          <cell r="E2043">
            <v>0</v>
          </cell>
          <cell r="F2043">
            <v>0</v>
          </cell>
          <cell r="G2043">
            <v>0</v>
          </cell>
          <cell r="H2043">
            <v>0</v>
          </cell>
          <cell r="I2043">
            <v>0</v>
          </cell>
          <cell r="J2043">
            <v>0</v>
          </cell>
        </row>
        <row r="2044">
          <cell r="B2044" t="str">
            <v>5.1.03.03.04</v>
          </cell>
          <cell r="C2044" t="str">
            <v>Belanja Bunga Utang Pinjaman kepada Lembaga Keuangan Bank (LKB)-BUMD-Jangka Pendek</v>
          </cell>
          <cell r="D2044">
            <v>0</v>
          </cell>
          <cell r="E2044">
            <v>0</v>
          </cell>
          <cell r="F2044">
            <v>0</v>
          </cell>
          <cell r="G2044">
            <v>0</v>
          </cell>
          <cell r="H2044">
            <v>0</v>
          </cell>
          <cell r="I2044">
            <v>0</v>
          </cell>
          <cell r="J2044">
            <v>0</v>
          </cell>
        </row>
        <row r="2045">
          <cell r="B2045" t="str">
            <v>5.1.03.03.05</v>
          </cell>
          <cell r="C2045" t="str">
            <v>Belanja Bunga Utang Pinjaman kepada Lembaga Keuangan Bank (LKB)-BUMD-Jangka Menengah</v>
          </cell>
          <cell r="D2045">
            <v>0</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D2046">
            <v>0</v>
          </cell>
          <cell r="E2046">
            <v>0</v>
          </cell>
          <cell r="F2046">
            <v>0</v>
          </cell>
          <cell r="G2046">
            <v>0</v>
          </cell>
          <cell r="H2046">
            <v>0</v>
          </cell>
          <cell r="I2046">
            <v>0</v>
          </cell>
          <cell r="J2046">
            <v>0</v>
          </cell>
        </row>
        <row r="2047">
          <cell r="B2047" t="str">
            <v>5.1.03.03.07</v>
          </cell>
          <cell r="C2047" t="str">
            <v>Belanja Bunga Utang Pinjaman kepada Lembaga Keuangan Bank (LKB)-Swasta-Jangka Pendek</v>
          </cell>
          <cell r="D2047">
            <v>0</v>
          </cell>
          <cell r="E2047">
            <v>0</v>
          </cell>
          <cell r="F2047">
            <v>0</v>
          </cell>
          <cell r="G2047">
            <v>0</v>
          </cell>
          <cell r="H2047">
            <v>0</v>
          </cell>
          <cell r="I2047">
            <v>0</v>
          </cell>
          <cell r="J2047">
            <v>0</v>
          </cell>
        </row>
        <row r="2048">
          <cell r="B2048" t="str">
            <v>5.1.03.03.08</v>
          </cell>
          <cell r="C2048" t="str">
            <v>Belanja Bunga Utang Pinjaman kepada Lembaga Keuangan Bank (LKB)-Swasta-Jangka Menengah</v>
          </cell>
          <cell r="D2048">
            <v>0</v>
          </cell>
          <cell r="E2048">
            <v>0</v>
          </cell>
          <cell r="F2048">
            <v>0</v>
          </cell>
          <cell r="G2048">
            <v>0</v>
          </cell>
          <cell r="H2048">
            <v>0</v>
          </cell>
          <cell r="I2048">
            <v>0</v>
          </cell>
          <cell r="J2048">
            <v>0</v>
          </cell>
        </row>
        <row r="2049">
          <cell r="B2049" t="str">
            <v>5.1.03.03.09</v>
          </cell>
          <cell r="C2049" t="str">
            <v>Belanja Bunga Utang Pinjaman kepada Lembaga Keuangan Bank (LKB)-Swasta-Jangka Panjang</v>
          </cell>
          <cell r="D2049">
            <v>0</v>
          </cell>
          <cell r="E2049">
            <v>0</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F2050"/>
          <cell r="G2050"/>
          <cell r="H2050"/>
          <cell r="I2050"/>
          <cell r="J2050">
            <v>0</v>
          </cell>
        </row>
        <row r="2051">
          <cell r="B2051" t="str">
            <v>5.1.03.04.01</v>
          </cell>
          <cell r="C2051" t="str">
            <v>Belanja Bunga Utang Pinjaman kepada Lembaga Keuangan Bukan Bank (LKBB)-BUMN-Jangka Pendek</v>
          </cell>
          <cell r="D2051">
            <v>0</v>
          </cell>
          <cell r="E2051">
            <v>0</v>
          </cell>
          <cell r="F2051">
            <v>0</v>
          </cell>
          <cell r="G2051">
            <v>0</v>
          </cell>
          <cell r="H2051">
            <v>0</v>
          </cell>
          <cell r="I2051">
            <v>0</v>
          </cell>
          <cell r="J2051">
            <v>0</v>
          </cell>
        </row>
        <row r="2052">
          <cell r="B2052" t="str">
            <v>5.1.03.04.02</v>
          </cell>
          <cell r="C2052" t="str">
            <v>Belanja Bunga Utang Pinjaman kepada Lembaga Keuangan Bukan Bank (LKBB)-BUMN-Jangka Menengah</v>
          </cell>
          <cell r="D2052">
            <v>0</v>
          </cell>
          <cell r="E2052">
            <v>0</v>
          </cell>
          <cell r="F2052">
            <v>0</v>
          </cell>
          <cell r="G2052">
            <v>0</v>
          </cell>
          <cell r="H2052">
            <v>0</v>
          </cell>
          <cell r="I2052">
            <v>0</v>
          </cell>
          <cell r="J2052">
            <v>0</v>
          </cell>
        </row>
        <row r="2053">
          <cell r="B2053" t="str">
            <v>5.1.03.04.03</v>
          </cell>
          <cell r="C2053" t="str">
            <v>Belanja Bunga Utang Pinjaman kepada Lembaga Keuangan Bukan Bank (LKBB)-BUMN-Jangka Panjang</v>
          </cell>
          <cell r="D2053">
            <v>0</v>
          </cell>
          <cell r="E2053">
            <v>0</v>
          </cell>
          <cell r="F2053">
            <v>0</v>
          </cell>
          <cell r="G2053">
            <v>0</v>
          </cell>
          <cell r="H2053">
            <v>0</v>
          </cell>
          <cell r="I2053">
            <v>0</v>
          </cell>
          <cell r="J2053">
            <v>0</v>
          </cell>
        </row>
        <row r="2054">
          <cell r="B2054" t="str">
            <v>5.1.03.04.04</v>
          </cell>
          <cell r="C2054" t="str">
            <v>Belanja Bunga Utang Pinjaman kepada Lembaga Keuangan Bukan Bank (LKBB)-BUMD-Jangka Pendek</v>
          </cell>
          <cell r="D2054">
            <v>0</v>
          </cell>
          <cell r="E2054">
            <v>0</v>
          </cell>
          <cell r="F2054">
            <v>0</v>
          </cell>
          <cell r="G2054">
            <v>0</v>
          </cell>
          <cell r="H2054">
            <v>0</v>
          </cell>
          <cell r="I2054">
            <v>0</v>
          </cell>
          <cell r="J2054">
            <v>0</v>
          </cell>
        </row>
        <row r="2055">
          <cell r="B2055" t="str">
            <v>5.1.03.04.05</v>
          </cell>
          <cell r="C2055" t="str">
            <v>Belanja Bunga Utang Pinjaman kepada Lembaga Keuangan Bukan Bank (LKBB)-BUMD-Jangka Menengah</v>
          </cell>
          <cell r="D2055">
            <v>0</v>
          </cell>
          <cell r="E2055">
            <v>0</v>
          </cell>
          <cell r="F2055">
            <v>0</v>
          </cell>
          <cell r="G2055">
            <v>0</v>
          </cell>
          <cell r="H2055">
            <v>0</v>
          </cell>
          <cell r="I2055">
            <v>0</v>
          </cell>
          <cell r="J2055">
            <v>0</v>
          </cell>
        </row>
        <row r="2056">
          <cell r="B2056" t="str">
            <v>5.1.03.04.06</v>
          </cell>
          <cell r="C2056" t="str">
            <v>Belanja Bunga Utang Pinjaman kepada Lembaga Keuangan Bukan Bank (LKBB)-BUMD-Jangka Panjang</v>
          </cell>
          <cell r="D2056">
            <v>0</v>
          </cell>
          <cell r="E2056">
            <v>0</v>
          </cell>
          <cell r="F2056">
            <v>0</v>
          </cell>
          <cell r="G2056">
            <v>0</v>
          </cell>
          <cell r="H2056">
            <v>0</v>
          </cell>
          <cell r="I2056">
            <v>0</v>
          </cell>
          <cell r="J2056">
            <v>0</v>
          </cell>
        </row>
        <row r="2057">
          <cell r="B2057" t="str">
            <v>5.1.03.04.07</v>
          </cell>
          <cell r="C2057" t="str">
            <v>Belanja Bunga Utang Pinjaman kepada Lembaga Keuangan Bukan Bank (LKBB)-Swasta-Jangka Pendek</v>
          </cell>
          <cell r="D2057">
            <v>0</v>
          </cell>
          <cell r="E2057">
            <v>0</v>
          </cell>
          <cell r="F2057">
            <v>0</v>
          </cell>
          <cell r="G2057">
            <v>0</v>
          </cell>
          <cell r="H2057">
            <v>0</v>
          </cell>
          <cell r="I2057">
            <v>0</v>
          </cell>
          <cell r="J2057">
            <v>0</v>
          </cell>
        </row>
        <row r="2058">
          <cell r="B2058" t="str">
            <v>5.1.03.04.08</v>
          </cell>
          <cell r="C2058" t="str">
            <v>Belanja Bunga Utang Pinjaman kepada Lembaga Keuangan Bukan Bank (LKBB)-Swasta-Jangka Menengah</v>
          </cell>
          <cell r="D2058">
            <v>0</v>
          </cell>
          <cell r="E2058">
            <v>0</v>
          </cell>
          <cell r="F2058">
            <v>0</v>
          </cell>
          <cell r="G2058">
            <v>0</v>
          </cell>
          <cell r="H2058">
            <v>0</v>
          </cell>
          <cell r="I2058">
            <v>0</v>
          </cell>
          <cell r="J2058">
            <v>0</v>
          </cell>
        </row>
        <row r="2059">
          <cell r="B2059" t="str">
            <v>5.1.03.04.09</v>
          </cell>
          <cell r="C2059" t="str">
            <v>Belanja Bunga Utang Pinjaman kepada Lembaga Keuangan Bukan Bank (LKBB)-Swasta-Jangka Panjang</v>
          </cell>
          <cell r="D2059">
            <v>0</v>
          </cell>
          <cell r="E2059">
            <v>0</v>
          </cell>
          <cell r="F2059">
            <v>0</v>
          </cell>
          <cell r="G2059">
            <v>0</v>
          </cell>
          <cell r="H2059">
            <v>0</v>
          </cell>
          <cell r="I2059">
            <v>0</v>
          </cell>
          <cell r="J2059">
            <v>0</v>
          </cell>
        </row>
        <row r="2060">
          <cell r="B2060" t="str">
            <v>5.1.03.05</v>
          </cell>
          <cell r="C2060" t="str">
            <v>Belanja Bunga Utang Kepada Masyarakat (Obligasi)</v>
          </cell>
          <cell r="D2060">
            <v>0</v>
          </cell>
          <cell r="E2060">
            <v>0</v>
          </cell>
          <cell r="F2060"/>
          <cell r="G2060"/>
          <cell r="H2060"/>
          <cell r="I2060"/>
          <cell r="J2060">
            <v>0</v>
          </cell>
        </row>
        <row r="2061">
          <cell r="B2061" t="str">
            <v>5.1.03.05.01</v>
          </cell>
          <cell r="C2061" t="str">
            <v>Belanja Bunga Utang Kepada Masyarakat (Obligasi)</v>
          </cell>
          <cell r="D2061">
            <v>0</v>
          </cell>
          <cell r="E2061">
            <v>0</v>
          </cell>
          <cell r="F2061">
            <v>0</v>
          </cell>
          <cell r="G2061">
            <v>0</v>
          </cell>
          <cell r="H2061">
            <v>0</v>
          </cell>
          <cell r="I2061">
            <v>0</v>
          </cell>
          <cell r="J2061">
            <v>0</v>
          </cell>
        </row>
        <row r="2062">
          <cell r="B2062" t="str">
            <v>5.1.03.06</v>
          </cell>
          <cell r="C2062" t="str">
            <v>Belanja Bunga Utang Pinjaman melalui BLUD</v>
          </cell>
          <cell r="D2062">
            <v>0</v>
          </cell>
          <cell r="E2062">
            <v>0</v>
          </cell>
          <cell r="F2062"/>
          <cell r="G2062"/>
          <cell r="H2062"/>
          <cell r="I2062"/>
          <cell r="J2062">
            <v>0</v>
          </cell>
        </row>
        <row r="2063">
          <cell r="B2063" t="str">
            <v>5.1.03.06.01</v>
          </cell>
          <cell r="C2063" t="str">
            <v>Belanja Bunga Utang Pinjaman melalui BLUD-Jangka Pendek</v>
          </cell>
          <cell r="D2063">
            <v>0</v>
          </cell>
          <cell r="E2063">
            <v>0</v>
          </cell>
          <cell r="F2063">
            <v>0</v>
          </cell>
          <cell r="G2063">
            <v>0</v>
          </cell>
          <cell r="H2063">
            <v>0</v>
          </cell>
          <cell r="I2063">
            <v>0</v>
          </cell>
          <cell r="J2063">
            <v>0</v>
          </cell>
        </row>
        <row r="2064">
          <cell r="B2064" t="str">
            <v>5.1.03.06.02</v>
          </cell>
          <cell r="C2064" t="str">
            <v>Belanja Bunga Utang Pinjaman melalui BLUD-Jangka Menengah</v>
          </cell>
          <cell r="D2064">
            <v>0</v>
          </cell>
          <cell r="E2064">
            <v>0</v>
          </cell>
          <cell r="F2064">
            <v>0</v>
          </cell>
          <cell r="G2064">
            <v>0</v>
          </cell>
          <cell r="H2064">
            <v>0</v>
          </cell>
          <cell r="I2064">
            <v>0</v>
          </cell>
          <cell r="J2064">
            <v>0</v>
          </cell>
        </row>
        <row r="2065">
          <cell r="B2065" t="str">
            <v>5.1.03.06.03</v>
          </cell>
          <cell r="C2065" t="str">
            <v>Belanja Bunga Utang Pinjaman melalui BLUD-Jangka Panjang</v>
          </cell>
          <cell r="D2065">
            <v>0</v>
          </cell>
          <cell r="E2065">
            <v>0</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F2066"/>
          <cell r="G2066"/>
          <cell r="H2066"/>
          <cell r="I2066"/>
          <cell r="J2066">
            <v>0</v>
          </cell>
        </row>
        <row r="2067">
          <cell r="B2067" t="str">
            <v>5.1.03.07.01</v>
          </cell>
          <cell r="C2067" t="str">
            <v>Belanja Bunga Pinjaman Daerah dari Pemerintah</v>
          </cell>
          <cell r="D2067">
            <v>0</v>
          </cell>
          <cell r="E2067">
            <v>0</v>
          </cell>
          <cell r="F2067">
            <v>0</v>
          </cell>
          <cell r="G2067">
            <v>0</v>
          </cell>
          <cell r="H2067">
            <v>0</v>
          </cell>
          <cell r="I2067">
            <v>0</v>
          </cell>
          <cell r="J2067">
            <v>0</v>
          </cell>
        </row>
        <row r="2068">
          <cell r="B2068" t="str">
            <v>5.1.03.07.02</v>
          </cell>
          <cell r="C2068" t="str">
            <v>Belanja Bunga Pinjaman Daerah dari Pemerintah Daerah Lain</v>
          </cell>
          <cell r="D2068">
            <v>0</v>
          </cell>
          <cell r="E2068">
            <v>0</v>
          </cell>
          <cell r="F2068">
            <v>0</v>
          </cell>
          <cell r="G2068">
            <v>0</v>
          </cell>
          <cell r="H2068">
            <v>0</v>
          </cell>
          <cell r="I2068">
            <v>0</v>
          </cell>
          <cell r="J2068">
            <v>0</v>
          </cell>
        </row>
        <row r="2069">
          <cell r="B2069" t="str">
            <v>5.1.03.07.03</v>
          </cell>
          <cell r="C2069" t="str">
            <v>Belanja Bunga Pinjaman Daerah dari Lembaga Keuangan Bank (LKB)</v>
          </cell>
          <cell r="D2069">
            <v>0</v>
          </cell>
          <cell r="E2069">
            <v>0</v>
          </cell>
          <cell r="F2069">
            <v>0</v>
          </cell>
          <cell r="G2069">
            <v>0</v>
          </cell>
          <cell r="H2069">
            <v>0</v>
          </cell>
          <cell r="I2069">
            <v>0</v>
          </cell>
          <cell r="J2069">
            <v>0</v>
          </cell>
        </row>
        <row r="2070">
          <cell r="B2070" t="str">
            <v>5.1.03.07.04</v>
          </cell>
          <cell r="C2070" t="str">
            <v>Belanja Bunga Pinjaman Daerah dari Lembaga Keuangan Bukan Bank (LKBB)</v>
          </cell>
          <cell r="D2070">
            <v>0</v>
          </cell>
          <cell r="E2070">
            <v>0</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F2071"/>
          <cell r="G2071"/>
          <cell r="H2071"/>
          <cell r="I2071"/>
          <cell r="J2071">
            <v>0</v>
          </cell>
        </row>
        <row r="2072">
          <cell r="B2072" t="str">
            <v>5.1.03.08.01</v>
          </cell>
          <cell r="C2072" t="str">
            <v>Belanja Bunga Obligasi Daerah</v>
          </cell>
          <cell r="D2072">
            <v>0</v>
          </cell>
          <cell r="E2072">
            <v>0</v>
          </cell>
          <cell r="F2072">
            <v>0</v>
          </cell>
          <cell r="G2072">
            <v>0</v>
          </cell>
          <cell r="H2072">
            <v>0</v>
          </cell>
          <cell r="I2072">
            <v>0</v>
          </cell>
          <cell r="J2072">
            <v>0</v>
          </cell>
        </row>
        <row r="2073">
          <cell r="B2073"/>
          <cell r="C2073"/>
          <cell r="D2073"/>
          <cell r="E2073"/>
          <cell r="F2073"/>
          <cell r="G2073"/>
          <cell r="H2073"/>
          <cell r="I2073"/>
          <cell r="J2073"/>
        </row>
        <row r="2074">
          <cell r="B2074" t="str">
            <v>5.1.04</v>
          </cell>
          <cell r="C2074" t="str">
            <v>Belanja Subsidi</v>
          </cell>
          <cell r="D2074">
            <v>0</v>
          </cell>
          <cell r="E2074">
            <v>0</v>
          </cell>
          <cell r="F2074"/>
          <cell r="G2074"/>
          <cell r="H2074"/>
          <cell r="I2074"/>
          <cell r="J2074">
            <v>0</v>
          </cell>
        </row>
        <row r="2075">
          <cell r="B2075" t="str">
            <v>5.1.04.01</v>
          </cell>
          <cell r="C2075" t="str">
            <v>Belanja Subsidi kepada BUMN</v>
          </cell>
          <cell r="D2075">
            <v>0</v>
          </cell>
          <cell r="E2075">
            <v>0</v>
          </cell>
          <cell r="F2075"/>
          <cell r="G2075"/>
          <cell r="H2075"/>
          <cell r="I2075"/>
          <cell r="J2075">
            <v>0</v>
          </cell>
        </row>
        <row r="2076">
          <cell r="B2076" t="str">
            <v>5.1.04.01.01</v>
          </cell>
          <cell r="C2076" t="str">
            <v>Belanja Subsidi kepada BUMN</v>
          </cell>
          <cell r="D2076">
            <v>0</v>
          </cell>
          <cell r="E2076">
            <v>0</v>
          </cell>
          <cell r="F2076">
            <v>0</v>
          </cell>
          <cell r="G2076">
            <v>0</v>
          </cell>
          <cell r="H2076">
            <v>0</v>
          </cell>
          <cell r="I2076">
            <v>0</v>
          </cell>
          <cell r="J2076">
            <v>0</v>
          </cell>
        </row>
        <row r="2077">
          <cell r="B2077" t="str">
            <v>5.1.04.02</v>
          </cell>
          <cell r="C2077" t="str">
            <v>Belanja Subsidi kepada BUMD</v>
          </cell>
          <cell r="D2077">
            <v>0</v>
          </cell>
          <cell r="E2077">
            <v>0</v>
          </cell>
          <cell r="F2077"/>
          <cell r="G2077"/>
          <cell r="H2077"/>
          <cell r="I2077"/>
          <cell r="J2077">
            <v>0</v>
          </cell>
        </row>
        <row r="2078">
          <cell r="B2078" t="str">
            <v>5.1.04.02.02</v>
          </cell>
          <cell r="C2078" t="str">
            <v>Belanja Subsidi kepada BUMD</v>
          </cell>
          <cell r="D2078">
            <v>0</v>
          </cell>
          <cell r="E2078">
            <v>0</v>
          </cell>
          <cell r="F2078">
            <v>0</v>
          </cell>
          <cell r="G2078">
            <v>0</v>
          </cell>
          <cell r="H2078">
            <v>0</v>
          </cell>
          <cell r="I2078">
            <v>0</v>
          </cell>
          <cell r="J2078">
            <v>0</v>
          </cell>
        </row>
        <row r="2079">
          <cell r="B2079" t="str">
            <v>5.1.04.03</v>
          </cell>
          <cell r="C2079" t="str">
            <v>Belanja Subsidi kepada Badan Usaha Milik Swasta</v>
          </cell>
          <cell r="D2079">
            <v>0</v>
          </cell>
          <cell r="E2079">
            <v>0</v>
          </cell>
          <cell r="F2079"/>
          <cell r="G2079"/>
          <cell r="H2079"/>
          <cell r="I2079"/>
          <cell r="J2079">
            <v>0</v>
          </cell>
        </row>
        <row r="2080">
          <cell r="B2080" t="str">
            <v>5.1.04.03.01</v>
          </cell>
          <cell r="C2080" t="str">
            <v>Belanja Subsidi kepada Badan Usaha Milik Swasta</v>
          </cell>
          <cell r="D2080">
            <v>0</v>
          </cell>
          <cell r="E2080">
            <v>0</v>
          </cell>
          <cell r="F2080">
            <v>0</v>
          </cell>
          <cell r="G2080">
            <v>0</v>
          </cell>
          <cell r="H2080">
            <v>0</v>
          </cell>
          <cell r="I2080">
            <v>0</v>
          </cell>
          <cell r="J2080">
            <v>0</v>
          </cell>
        </row>
        <row r="2081">
          <cell r="B2081" t="str">
            <v>5.1.04.04</v>
          </cell>
          <cell r="C2081" t="str">
            <v>Belanja Subsidi kepada Koperasi</v>
          </cell>
          <cell r="D2081">
            <v>0</v>
          </cell>
          <cell r="E2081">
            <v>0</v>
          </cell>
          <cell r="F2081"/>
          <cell r="G2081"/>
          <cell r="H2081"/>
          <cell r="I2081"/>
          <cell r="J2081">
            <v>0</v>
          </cell>
        </row>
        <row r="2082">
          <cell r="B2082" t="str">
            <v>5.1.04.04.01</v>
          </cell>
          <cell r="C2082" t="str">
            <v>Belanja Subsidi kepada Koperasi</v>
          </cell>
          <cell r="D2082">
            <v>0</v>
          </cell>
          <cell r="E2082">
            <v>0</v>
          </cell>
          <cell r="F2082">
            <v>0</v>
          </cell>
          <cell r="G2082">
            <v>0</v>
          </cell>
          <cell r="H2082">
            <v>0</v>
          </cell>
          <cell r="I2082">
            <v>0</v>
          </cell>
          <cell r="J2082">
            <v>0</v>
          </cell>
        </row>
        <row r="2083">
          <cell r="B2083"/>
          <cell r="C2083"/>
          <cell r="D2083"/>
          <cell r="E2083"/>
          <cell r="F2083"/>
          <cell r="G2083"/>
          <cell r="H2083"/>
          <cell r="I2083"/>
          <cell r="J2083"/>
        </row>
        <row r="2084">
          <cell r="B2084" t="str">
            <v>5.1.05</v>
          </cell>
          <cell r="C2084" t="str">
            <v>Belanja Hibah</v>
          </cell>
          <cell r="D2084">
            <v>60030578713</v>
          </cell>
          <cell r="E2084">
            <v>54495863552</v>
          </cell>
          <cell r="F2084"/>
          <cell r="G2084"/>
          <cell r="H2084"/>
          <cell r="I2084"/>
          <cell r="J2084">
            <v>54495863552</v>
          </cell>
        </row>
        <row r="2085">
          <cell r="B2085" t="str">
            <v>5.1.05.01</v>
          </cell>
          <cell r="C2085" t="str">
            <v>Belanja Hibah kepada Pemerintah Pusat</v>
          </cell>
          <cell r="D2085">
            <v>17531730760</v>
          </cell>
          <cell r="E2085">
            <v>6960312667</v>
          </cell>
          <cell r="F2085"/>
          <cell r="G2085"/>
          <cell r="H2085"/>
          <cell r="I2085"/>
          <cell r="J2085">
            <v>6960312667</v>
          </cell>
        </row>
        <row r="2086">
          <cell r="B2086" t="str">
            <v>5.1.05.01.01</v>
          </cell>
          <cell r="C2086" t="str">
            <v>Belanja Hibah Uang kepada Pemerintah Pusat</v>
          </cell>
          <cell r="D2086">
            <v>17531730760</v>
          </cell>
          <cell r="E2086">
            <v>0</v>
          </cell>
          <cell r="F2086">
            <v>0</v>
          </cell>
          <cell r="G2086">
            <v>0</v>
          </cell>
          <cell r="H2086">
            <v>0</v>
          </cell>
          <cell r="I2086">
            <v>0</v>
          </cell>
          <cell r="J2086">
            <v>0</v>
          </cell>
        </row>
        <row r="2087">
          <cell r="B2087" t="str">
            <v>5.1.05.01.02</v>
          </cell>
          <cell r="C2087" t="str">
            <v>Belanja Hibah Barang kepada Pemerintah Pusat</v>
          </cell>
          <cell r="D2087">
            <v>0</v>
          </cell>
          <cell r="E2087">
            <v>6960312667</v>
          </cell>
          <cell r="F2087">
            <v>0</v>
          </cell>
          <cell r="G2087">
            <v>0</v>
          </cell>
          <cell r="H2087">
            <v>0</v>
          </cell>
          <cell r="I2087">
            <v>0</v>
          </cell>
          <cell r="J2087">
            <v>6960312667</v>
          </cell>
        </row>
        <row r="2088">
          <cell r="B2088" t="str">
            <v>5.1.05.01.03</v>
          </cell>
          <cell r="C2088" t="str">
            <v>Belanja Hibah Jasa kepada Pemerintah Pusat</v>
          </cell>
          <cell r="D2088">
            <v>0</v>
          </cell>
          <cell r="E2088">
            <v>0</v>
          </cell>
          <cell r="F2088">
            <v>0</v>
          </cell>
          <cell r="G2088">
            <v>0</v>
          </cell>
          <cell r="H2088">
            <v>0</v>
          </cell>
          <cell r="I2088">
            <v>0</v>
          </cell>
          <cell r="J2088">
            <v>0</v>
          </cell>
        </row>
        <row r="2089">
          <cell r="B2089" t="str">
            <v>5.1.05.02</v>
          </cell>
          <cell r="C2089" t="str">
            <v>Belanja Hibah kepada Pemerintah Daerah Lainnya</v>
          </cell>
          <cell r="D2089">
            <v>0</v>
          </cell>
          <cell r="E2089">
            <v>0</v>
          </cell>
          <cell r="F2089"/>
          <cell r="G2089"/>
          <cell r="H2089"/>
          <cell r="I2089"/>
          <cell r="J2089">
            <v>0</v>
          </cell>
        </row>
        <row r="2090">
          <cell r="B2090" t="str">
            <v>5.1.05.02.01</v>
          </cell>
          <cell r="C2090" t="str">
            <v>Belanja Hibah Uang kepada Pemerintah Daerah Lainnya</v>
          </cell>
          <cell r="D2090">
            <v>0</v>
          </cell>
          <cell r="E2090">
            <v>0</v>
          </cell>
          <cell r="F2090">
            <v>0</v>
          </cell>
          <cell r="G2090">
            <v>0</v>
          </cell>
          <cell r="H2090">
            <v>0</v>
          </cell>
          <cell r="I2090">
            <v>0</v>
          </cell>
          <cell r="J2090">
            <v>0</v>
          </cell>
        </row>
        <row r="2091">
          <cell r="B2091" t="str">
            <v>5.1.05.02.02</v>
          </cell>
          <cell r="C2091" t="str">
            <v>Belanja Hibah Barang kepada Pemerintah Daerah Lainnya</v>
          </cell>
          <cell r="D2091">
            <v>0</v>
          </cell>
          <cell r="E2091">
            <v>0</v>
          </cell>
          <cell r="F2091">
            <v>0</v>
          </cell>
          <cell r="G2091">
            <v>0</v>
          </cell>
          <cell r="H2091">
            <v>0</v>
          </cell>
          <cell r="I2091">
            <v>0</v>
          </cell>
          <cell r="J2091">
            <v>0</v>
          </cell>
        </row>
        <row r="2092">
          <cell r="B2092" t="str">
            <v>5.1.05.02.03</v>
          </cell>
          <cell r="C2092" t="str">
            <v>Belanja Hibah Jasa kepada Pemerintah Daerah Lainnya</v>
          </cell>
          <cell r="D2092">
            <v>0</v>
          </cell>
          <cell r="E2092">
            <v>0</v>
          </cell>
          <cell r="F2092">
            <v>0</v>
          </cell>
          <cell r="G2092">
            <v>0</v>
          </cell>
          <cell r="H2092">
            <v>0</v>
          </cell>
          <cell r="I2092">
            <v>0</v>
          </cell>
          <cell r="J2092">
            <v>0</v>
          </cell>
        </row>
        <row r="2093">
          <cell r="B2093" t="str">
            <v>5.1.05.03</v>
          </cell>
          <cell r="C2093" t="str">
            <v>Belanja Hibah kepada BUMN</v>
          </cell>
          <cell r="D2093">
            <v>0</v>
          </cell>
          <cell r="E2093">
            <v>0</v>
          </cell>
          <cell r="F2093"/>
          <cell r="G2093"/>
          <cell r="H2093"/>
          <cell r="I2093"/>
          <cell r="J2093">
            <v>0</v>
          </cell>
        </row>
        <row r="2094">
          <cell r="B2094" t="str">
            <v>5.1.05.03.01</v>
          </cell>
          <cell r="C2094" t="str">
            <v>Belanja Hibah Uang kepada BUMN</v>
          </cell>
          <cell r="D2094">
            <v>0</v>
          </cell>
          <cell r="E2094">
            <v>0</v>
          </cell>
          <cell r="F2094">
            <v>0</v>
          </cell>
          <cell r="G2094">
            <v>0</v>
          </cell>
          <cell r="H2094">
            <v>0</v>
          </cell>
          <cell r="I2094">
            <v>0</v>
          </cell>
          <cell r="J2094">
            <v>0</v>
          </cell>
        </row>
        <row r="2095">
          <cell r="B2095" t="str">
            <v>5.1.05.03.02</v>
          </cell>
          <cell r="C2095" t="str">
            <v>Belanja Hibah Barang kepada BUMN</v>
          </cell>
          <cell r="D2095">
            <v>0</v>
          </cell>
          <cell r="E2095">
            <v>0</v>
          </cell>
          <cell r="F2095">
            <v>0</v>
          </cell>
          <cell r="G2095">
            <v>0</v>
          </cell>
          <cell r="H2095">
            <v>0</v>
          </cell>
          <cell r="I2095">
            <v>0</v>
          </cell>
          <cell r="J2095">
            <v>0</v>
          </cell>
        </row>
        <row r="2096">
          <cell r="B2096" t="str">
            <v>5.1.05.03.03</v>
          </cell>
          <cell r="C2096" t="str">
            <v>Belanja Hibah Jasa kepada BUMN</v>
          </cell>
          <cell r="D2096">
            <v>0</v>
          </cell>
          <cell r="E2096">
            <v>0</v>
          </cell>
          <cell r="F2096">
            <v>0</v>
          </cell>
          <cell r="G2096">
            <v>0</v>
          </cell>
          <cell r="H2096">
            <v>0</v>
          </cell>
          <cell r="I2096">
            <v>0</v>
          </cell>
          <cell r="J2096">
            <v>0</v>
          </cell>
        </row>
        <row r="2097">
          <cell r="B2097" t="str">
            <v>5.1.05.04</v>
          </cell>
          <cell r="C2097" t="str">
            <v>Belanja Hibah kepada BUMD</v>
          </cell>
          <cell r="D2097">
            <v>0</v>
          </cell>
          <cell r="E2097">
            <v>0</v>
          </cell>
          <cell r="F2097"/>
          <cell r="G2097"/>
          <cell r="H2097"/>
          <cell r="I2097"/>
          <cell r="J2097">
            <v>0</v>
          </cell>
        </row>
        <row r="2098">
          <cell r="B2098" t="str">
            <v>5.1.05.04.01</v>
          </cell>
          <cell r="C2098" t="str">
            <v>Belanja Hibah Uang kepada BUMD</v>
          </cell>
          <cell r="D2098">
            <v>0</v>
          </cell>
          <cell r="E2098">
            <v>0</v>
          </cell>
          <cell r="F2098">
            <v>0</v>
          </cell>
          <cell r="G2098">
            <v>0</v>
          </cell>
          <cell r="H2098">
            <v>0</v>
          </cell>
          <cell r="I2098">
            <v>0</v>
          </cell>
          <cell r="J2098">
            <v>0</v>
          </cell>
        </row>
        <row r="2099">
          <cell r="B2099" t="str">
            <v>5.1.05.04.02</v>
          </cell>
          <cell r="C2099" t="str">
            <v>Belanja Hibah Barang kepada BUMD</v>
          </cell>
          <cell r="D2099">
            <v>0</v>
          </cell>
          <cell r="E2099">
            <v>0</v>
          </cell>
          <cell r="F2099">
            <v>0</v>
          </cell>
          <cell r="G2099">
            <v>0</v>
          </cell>
          <cell r="H2099">
            <v>0</v>
          </cell>
          <cell r="I2099">
            <v>0</v>
          </cell>
          <cell r="J2099">
            <v>0</v>
          </cell>
        </row>
        <row r="2100">
          <cell r="B2100" t="str">
            <v>5.1.05.04.03</v>
          </cell>
          <cell r="C2100" t="str">
            <v>Belanja Hibah Jasa kepada BUMD</v>
          </cell>
          <cell r="D2100">
            <v>0</v>
          </cell>
          <cell r="E2100">
            <v>0</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37280848500</v>
          </cell>
          <cell r="E2101">
            <v>34592308600</v>
          </cell>
          <cell r="F2101"/>
          <cell r="G2101"/>
          <cell r="H2101"/>
          <cell r="I2101"/>
          <cell r="J2101">
            <v>34592308600</v>
          </cell>
        </row>
        <row r="2102">
          <cell r="B2102" t="str">
            <v>5.1.05.05.01</v>
          </cell>
          <cell r="C2102" t="str">
            <v>Belanja Hibah kepada Badan dan Lembaga yang Bersifat Nirlaba, Sukarela dan Sosial yang Dibentuk Berdasarkan Peraturan Perundang-Undangan</v>
          </cell>
          <cell r="D2102">
            <v>1247550000</v>
          </cell>
          <cell r="E2102">
            <v>4055000000</v>
          </cell>
          <cell r="F2102">
            <v>0</v>
          </cell>
          <cell r="G2102">
            <v>0</v>
          </cell>
          <cell r="H2102">
            <v>0</v>
          </cell>
          <cell r="I2102">
            <v>0</v>
          </cell>
          <cell r="J2102">
            <v>4055000000</v>
          </cell>
        </row>
        <row r="2103">
          <cell r="B2103" t="str">
            <v>5.1.05.05.02</v>
          </cell>
          <cell r="C2103" t="str">
            <v>Belanja Hibah kepada Badan dan Lembaga Nirlaba, Sukarela dan Sosial yang Telah Memiliki Surat Keterangan Terdaftar</v>
          </cell>
          <cell r="D2103">
            <v>32733298500</v>
          </cell>
          <cell r="E2103">
            <v>25324308600</v>
          </cell>
          <cell r="F2103">
            <v>0</v>
          </cell>
          <cell r="G2103">
            <v>0</v>
          </cell>
          <cell r="H2103">
            <v>0</v>
          </cell>
          <cell r="I2103">
            <v>0</v>
          </cell>
          <cell r="J2103">
            <v>25324308600</v>
          </cell>
        </row>
        <row r="2104">
          <cell r="B2104" t="str">
            <v>5.1.05.05.03</v>
          </cell>
          <cell r="C2104" t="str">
            <v>Belanja Hibah kepada Badan dan Lembaga Nirlaba, Sukarela Bersifat Sosial Kemasyarakatan</v>
          </cell>
          <cell r="D2104">
            <v>3300000000</v>
          </cell>
          <cell r="E2104">
            <v>275000000</v>
          </cell>
          <cell r="F2104">
            <v>0</v>
          </cell>
          <cell r="G2104">
            <v>0</v>
          </cell>
          <cell r="H2104">
            <v>0</v>
          </cell>
          <cell r="I2104">
            <v>0</v>
          </cell>
          <cell r="J2104">
            <v>275000000</v>
          </cell>
        </row>
        <row r="2105">
          <cell r="B2105" t="str">
            <v>5.1.05.05.04</v>
          </cell>
          <cell r="C2105" t="str">
            <v>Belanja Hibah kepada Koperasi</v>
          </cell>
          <cell r="D2105">
            <v>0</v>
          </cell>
          <cell r="E2105">
            <v>4050000000</v>
          </cell>
          <cell r="F2105">
            <v>0</v>
          </cell>
          <cell r="G2105">
            <v>0</v>
          </cell>
          <cell r="H2105">
            <v>0</v>
          </cell>
          <cell r="I2105">
            <v>0</v>
          </cell>
          <cell r="J2105">
            <v>4050000000</v>
          </cell>
        </row>
        <row r="2106">
          <cell r="B2106" t="str">
            <v>5.1.05.05.05</v>
          </cell>
          <cell r="C2106" t="str">
            <v>Belanja Hibah kepada Usaha Mikro dan Usaha Kecil</v>
          </cell>
          <cell r="D2106">
            <v>0</v>
          </cell>
          <cell r="E2106">
            <v>838000000</v>
          </cell>
          <cell r="F2106">
            <v>0</v>
          </cell>
          <cell r="G2106">
            <v>0</v>
          </cell>
          <cell r="H2106">
            <v>0</v>
          </cell>
          <cell r="I2106">
            <v>0</v>
          </cell>
          <cell r="J2106">
            <v>838000000</v>
          </cell>
        </row>
        <row r="2107">
          <cell r="B2107" t="str">
            <v>5.1.05.05.06</v>
          </cell>
          <cell r="C2107" t="str">
            <v>Belanja Hibah kepada Organisasi Kemasyarakatan yang Berbadan Hukum Indonesia</v>
          </cell>
          <cell r="D2107">
            <v>0</v>
          </cell>
          <cell r="E2107">
            <v>50000000</v>
          </cell>
          <cell r="F2107">
            <v>0</v>
          </cell>
          <cell r="G2107">
            <v>0</v>
          </cell>
          <cell r="H2107">
            <v>0</v>
          </cell>
          <cell r="I2107">
            <v>0</v>
          </cell>
          <cell r="J2107">
            <v>50000000</v>
          </cell>
        </row>
        <row r="2108">
          <cell r="B2108" t="str">
            <v>5.1.05.06</v>
          </cell>
          <cell r="C2108" t="str">
            <v>Belanja Hibah Dana BOS</v>
          </cell>
          <cell r="D2108">
            <v>2081201964</v>
          </cell>
          <cell r="E2108">
            <v>9748678380</v>
          </cell>
          <cell r="F2108"/>
          <cell r="G2108"/>
          <cell r="H2108"/>
          <cell r="I2108"/>
          <cell r="J2108">
            <v>9748678380</v>
          </cell>
        </row>
        <row r="2109">
          <cell r="B2109" t="str">
            <v>5.1.05.06.01</v>
          </cell>
          <cell r="C2109" t="str">
            <v>Belanja Hibah Uang Dana BOS yang Diterima oleh Satdikdas Negeri</v>
          </cell>
          <cell r="D2109">
            <v>0</v>
          </cell>
          <cell r="E2109">
            <v>5898572000</v>
          </cell>
          <cell r="F2109">
            <v>0</v>
          </cell>
          <cell r="G2109">
            <v>0</v>
          </cell>
          <cell r="H2109">
            <v>0</v>
          </cell>
          <cell r="I2109">
            <v>0</v>
          </cell>
          <cell r="J2109">
            <v>5898572000</v>
          </cell>
        </row>
        <row r="2110">
          <cell r="B2110" t="str">
            <v>5.1.05.06.02</v>
          </cell>
          <cell r="C2110" t="str">
            <v>Belanja Hibah Uang Dana BOS yang Diterima oleh Satdikdas Swasta</v>
          </cell>
          <cell r="D2110">
            <v>2081201964</v>
          </cell>
          <cell r="E2110">
            <v>3850106380</v>
          </cell>
          <cell r="F2110">
            <v>0</v>
          </cell>
          <cell r="G2110">
            <v>0</v>
          </cell>
          <cell r="H2110">
            <v>0</v>
          </cell>
          <cell r="I2110">
            <v>0</v>
          </cell>
          <cell r="J2110">
            <v>3850106380</v>
          </cell>
        </row>
        <row r="2111">
          <cell r="B2111" t="str">
            <v>5.1.05.06.03</v>
          </cell>
          <cell r="C2111" t="str">
            <v>Belanja Hibah Uang Dana BOS yang Diterima oleh Satdikmen Swasta</v>
          </cell>
          <cell r="D2111">
            <v>0</v>
          </cell>
          <cell r="E2111">
            <v>0</v>
          </cell>
          <cell r="F2111">
            <v>0</v>
          </cell>
          <cell r="G2111">
            <v>0</v>
          </cell>
          <cell r="H2111">
            <v>0</v>
          </cell>
          <cell r="I2111">
            <v>0</v>
          </cell>
          <cell r="J2111">
            <v>0</v>
          </cell>
        </row>
        <row r="2112">
          <cell r="B2112" t="str">
            <v>5.1.05.06.04</v>
          </cell>
          <cell r="C2112" t="str">
            <v>Belanja Hibah Uang Dana BOS yang Diterima oleh Satdiksus Swasta</v>
          </cell>
          <cell r="D2112">
            <v>0</v>
          </cell>
          <cell r="E2112">
            <v>0</v>
          </cell>
          <cell r="F2112">
            <v>0</v>
          </cell>
          <cell r="G2112">
            <v>0</v>
          </cell>
          <cell r="H2112">
            <v>0</v>
          </cell>
          <cell r="I2112">
            <v>0</v>
          </cell>
          <cell r="J2112">
            <v>0</v>
          </cell>
        </row>
        <row r="2113">
          <cell r="B2113" t="str">
            <v>5.1.05.07</v>
          </cell>
          <cell r="C2113" t="str">
            <v>Belanja Hibah Bantuan Keuangan kepada Partai Politik</v>
          </cell>
          <cell r="D2113">
            <v>422782289</v>
          </cell>
          <cell r="E2113">
            <v>469713705</v>
          </cell>
          <cell r="F2113"/>
          <cell r="G2113"/>
          <cell r="H2113"/>
          <cell r="I2113"/>
          <cell r="J2113">
            <v>469713705</v>
          </cell>
        </row>
        <row r="2114">
          <cell r="B2114" t="str">
            <v>5.1.05.07.01</v>
          </cell>
          <cell r="C2114" t="str">
            <v>Belanja Hibah Bantuan Keuangan kepada Partai Politik</v>
          </cell>
          <cell r="D2114">
            <v>422782289</v>
          </cell>
          <cell r="E2114">
            <v>469713705</v>
          </cell>
          <cell r="F2114">
            <v>0</v>
          </cell>
          <cell r="G2114">
            <v>0</v>
          </cell>
          <cell r="H2114">
            <v>0</v>
          </cell>
          <cell r="I2114">
            <v>0</v>
          </cell>
          <cell r="J2114">
            <v>469713705</v>
          </cell>
        </row>
        <row r="2115">
          <cell r="B2115" t="str">
            <v>5.1.05.08</v>
          </cell>
          <cell r="C2115" t="str">
            <v>Belanja Hibah Dana BOSP</v>
          </cell>
          <cell r="D2115">
            <v>2714015200</v>
          </cell>
          <cell r="E2115">
            <v>2724850200</v>
          </cell>
          <cell r="F2115"/>
          <cell r="G2115"/>
          <cell r="H2115"/>
          <cell r="I2115"/>
          <cell r="J2115">
            <v>2724850200</v>
          </cell>
        </row>
        <row r="2116">
          <cell r="B2116" t="str">
            <v>5.1.05.08.01</v>
          </cell>
          <cell r="C2116" t="str">
            <v>Belanja Hibah Dana BOSP-BOS</v>
          </cell>
          <cell r="D2116">
            <v>0</v>
          </cell>
          <cell r="E2116">
            <v>0</v>
          </cell>
          <cell r="F2116">
            <v>0</v>
          </cell>
          <cell r="G2116">
            <v>0</v>
          </cell>
          <cell r="H2116">
            <v>0</v>
          </cell>
          <cell r="I2116">
            <v>0</v>
          </cell>
          <cell r="J2116">
            <v>0</v>
          </cell>
        </row>
        <row r="2117">
          <cell r="B2117" t="str">
            <v>5.1.05.08.02</v>
          </cell>
          <cell r="C2117" t="str">
            <v>Belanja Hibah Dana BOSP-BOP PAUD</v>
          </cell>
          <cell r="D2117">
            <v>2580495200</v>
          </cell>
          <cell r="E2117">
            <v>2506990200</v>
          </cell>
          <cell r="F2117">
            <v>0</v>
          </cell>
          <cell r="G2117">
            <v>0</v>
          </cell>
          <cell r="H2117">
            <v>0</v>
          </cell>
          <cell r="I2117">
            <v>0</v>
          </cell>
          <cell r="J2117">
            <v>2506990200</v>
          </cell>
        </row>
        <row r="2118">
          <cell r="B2118" t="str">
            <v>5.1.05.08.03</v>
          </cell>
          <cell r="C2118" t="str">
            <v>Belanja Hibah Dana BOSP-BOP Kesetaraan</v>
          </cell>
          <cell r="D2118">
            <v>133520000</v>
          </cell>
          <cell r="E2118">
            <v>217860000</v>
          </cell>
          <cell r="F2118">
            <v>0</v>
          </cell>
          <cell r="G2118">
            <v>0</v>
          </cell>
          <cell r="H2118">
            <v>0</v>
          </cell>
          <cell r="I2118">
            <v>0</v>
          </cell>
          <cell r="J2118">
            <v>217860000</v>
          </cell>
        </row>
        <row r="2119">
          <cell r="B2119" t="str">
            <v>5.1.05.09</v>
          </cell>
          <cell r="C2119" t="str">
            <v>Belanja Hibah kepada BUMDesa</v>
          </cell>
          <cell r="D2119">
            <v>0</v>
          </cell>
          <cell r="E2119">
            <v>0</v>
          </cell>
          <cell r="F2119"/>
          <cell r="G2119"/>
          <cell r="H2119"/>
          <cell r="I2119"/>
          <cell r="J2119">
            <v>0</v>
          </cell>
        </row>
        <row r="2120">
          <cell r="B2120" t="str">
            <v>5.1.05.09.01</v>
          </cell>
          <cell r="C2120" t="str">
            <v>Belanja Hibah Uang kepada BUMDesa</v>
          </cell>
          <cell r="D2120">
            <v>0</v>
          </cell>
          <cell r="E2120">
            <v>0</v>
          </cell>
          <cell r="F2120">
            <v>0</v>
          </cell>
          <cell r="G2120">
            <v>0</v>
          </cell>
          <cell r="H2120">
            <v>0</v>
          </cell>
          <cell r="I2120">
            <v>0</v>
          </cell>
          <cell r="J2120">
            <v>0</v>
          </cell>
        </row>
        <row r="2121">
          <cell r="B2121" t="str">
            <v>5.1.05.09.02</v>
          </cell>
          <cell r="C2121" t="str">
            <v>Belanja Hibah Barang kepada BUMDesa</v>
          </cell>
          <cell r="D2121">
            <v>0</v>
          </cell>
          <cell r="E2121">
            <v>0</v>
          </cell>
          <cell r="F2121">
            <v>0</v>
          </cell>
          <cell r="G2121">
            <v>0</v>
          </cell>
          <cell r="H2121">
            <v>0</v>
          </cell>
          <cell r="I2121">
            <v>0</v>
          </cell>
          <cell r="J2121">
            <v>0</v>
          </cell>
        </row>
        <row r="2122">
          <cell r="B2122" t="str">
            <v>5.1.05.09.03</v>
          </cell>
          <cell r="C2122" t="str">
            <v>Belanja Hibah Jasa kepada BUMDesa</v>
          </cell>
          <cell r="D2122">
            <v>0</v>
          </cell>
          <cell r="E2122">
            <v>0</v>
          </cell>
          <cell r="F2122">
            <v>0</v>
          </cell>
          <cell r="G2122">
            <v>0</v>
          </cell>
          <cell r="H2122">
            <v>0</v>
          </cell>
          <cell r="I2122">
            <v>0</v>
          </cell>
          <cell r="J2122">
            <v>0</v>
          </cell>
        </row>
        <row r="2123">
          <cell r="B2123" t="str">
            <v>5.1.05.10</v>
          </cell>
          <cell r="C2123" t="str">
            <v>Belanja Hibah kepada Koperasi</v>
          </cell>
          <cell r="D2123">
            <v>0</v>
          </cell>
          <cell r="E2123">
            <v>0</v>
          </cell>
          <cell r="F2123"/>
          <cell r="G2123"/>
          <cell r="H2123"/>
          <cell r="I2123"/>
          <cell r="J2123">
            <v>0</v>
          </cell>
        </row>
        <row r="2124">
          <cell r="B2124" t="str">
            <v>5.1.05.10.01</v>
          </cell>
          <cell r="C2124" t="str">
            <v>Belanja Hibah Uang kepada Koperasi</v>
          </cell>
          <cell r="D2124">
            <v>0</v>
          </cell>
          <cell r="E2124">
            <v>0</v>
          </cell>
          <cell r="F2124">
            <v>0</v>
          </cell>
          <cell r="G2124">
            <v>0</v>
          </cell>
          <cell r="H2124">
            <v>0</v>
          </cell>
          <cell r="I2124">
            <v>0</v>
          </cell>
          <cell r="J2124">
            <v>0</v>
          </cell>
        </row>
        <row r="2125">
          <cell r="B2125" t="str">
            <v>5.1.05.10.02</v>
          </cell>
          <cell r="C2125" t="str">
            <v>Belanja Hibah Barang kepada Koperasi</v>
          </cell>
          <cell r="D2125">
            <v>0</v>
          </cell>
          <cell r="E2125">
            <v>0</v>
          </cell>
          <cell r="F2125">
            <v>0</v>
          </cell>
          <cell r="G2125">
            <v>0</v>
          </cell>
          <cell r="H2125">
            <v>0</v>
          </cell>
          <cell r="I2125">
            <v>0</v>
          </cell>
          <cell r="J2125">
            <v>0</v>
          </cell>
        </row>
        <row r="2126">
          <cell r="B2126" t="str">
            <v>5.1.05.10.03</v>
          </cell>
          <cell r="C2126" t="str">
            <v>Belanja Hibah Jasa kepada Koperasi</v>
          </cell>
          <cell r="D2126">
            <v>0</v>
          </cell>
          <cell r="E2126">
            <v>0</v>
          </cell>
          <cell r="F2126">
            <v>0</v>
          </cell>
          <cell r="G2126">
            <v>0</v>
          </cell>
          <cell r="H2126">
            <v>0</v>
          </cell>
          <cell r="I2126">
            <v>0</v>
          </cell>
          <cell r="J2126">
            <v>0</v>
          </cell>
        </row>
        <row r="2127">
          <cell r="B2127"/>
          <cell r="C2127"/>
          <cell r="D2127"/>
          <cell r="E2127"/>
          <cell r="F2127"/>
          <cell r="G2127"/>
          <cell r="H2127"/>
          <cell r="I2127"/>
          <cell r="J2127"/>
        </row>
        <row r="2128">
          <cell r="B2128" t="str">
            <v>5.1.06</v>
          </cell>
          <cell r="C2128" t="str">
            <v>Belanja Bantuan Sosial</v>
          </cell>
          <cell r="D2128">
            <v>21845800000</v>
          </cell>
          <cell r="E2128">
            <v>14314100000</v>
          </cell>
          <cell r="F2128"/>
          <cell r="G2128"/>
          <cell r="H2128"/>
          <cell r="I2128"/>
          <cell r="J2128">
            <v>14314100000</v>
          </cell>
        </row>
        <row r="2129">
          <cell r="B2129" t="str">
            <v>5.1.06.01</v>
          </cell>
          <cell r="C2129" t="str">
            <v>Belanja Bantuan Sosial kepada Individu</v>
          </cell>
          <cell r="D2129">
            <v>9766000000</v>
          </cell>
          <cell r="E2129">
            <v>8573000000</v>
          </cell>
          <cell r="F2129"/>
          <cell r="G2129"/>
          <cell r="H2129"/>
          <cell r="I2129"/>
          <cell r="J2129">
            <v>8573000000</v>
          </cell>
        </row>
        <row r="2130">
          <cell r="B2130" t="str">
            <v>5.1.06.01.01</v>
          </cell>
          <cell r="C2130" t="str">
            <v>Belanja Bantuan Sosial Uang yang direncanakan kepada Individu</v>
          </cell>
          <cell r="D2130">
            <v>9766000000</v>
          </cell>
          <cell r="E2130">
            <v>8573000000</v>
          </cell>
          <cell r="F2130">
            <v>0</v>
          </cell>
          <cell r="G2130">
            <v>0</v>
          </cell>
          <cell r="H2130">
            <v>0</v>
          </cell>
          <cell r="I2130">
            <v>0</v>
          </cell>
          <cell r="J2130">
            <v>8573000000</v>
          </cell>
        </row>
        <row r="2131">
          <cell r="B2131" t="str">
            <v>5.1.06.01.02</v>
          </cell>
          <cell r="C2131" t="str">
            <v>Belanja Bantuan Sosial Barang yang Direncanakan kepada Individu</v>
          </cell>
          <cell r="D2131">
            <v>0</v>
          </cell>
          <cell r="E2131">
            <v>0</v>
          </cell>
          <cell r="F2131">
            <v>0</v>
          </cell>
          <cell r="G2131">
            <v>0</v>
          </cell>
          <cell r="H2131">
            <v>0</v>
          </cell>
          <cell r="I2131">
            <v>0</v>
          </cell>
          <cell r="J2131">
            <v>0</v>
          </cell>
        </row>
        <row r="2132">
          <cell r="B2132" t="str">
            <v>5.1.06.02</v>
          </cell>
          <cell r="C2132" t="str">
            <v>Belanja Bantuan Sosial kepada Keluarga</v>
          </cell>
          <cell r="D2132">
            <v>12079800000</v>
          </cell>
          <cell r="E2132">
            <v>5741100000</v>
          </cell>
          <cell r="F2132"/>
          <cell r="G2132"/>
          <cell r="H2132"/>
          <cell r="I2132"/>
          <cell r="J2132">
            <v>5741100000</v>
          </cell>
        </row>
        <row r="2133">
          <cell r="B2133" t="str">
            <v>5.1.06.02.01</v>
          </cell>
          <cell r="C2133" t="str">
            <v>Belanja Bantuan Sosial Uang yang direncanakan kepada Keluarga</v>
          </cell>
          <cell r="D2133">
            <v>12079800000</v>
          </cell>
          <cell r="E2133">
            <v>5741100000</v>
          </cell>
          <cell r="F2133">
            <v>0</v>
          </cell>
          <cell r="G2133">
            <v>0</v>
          </cell>
          <cell r="H2133">
            <v>0</v>
          </cell>
          <cell r="I2133">
            <v>0</v>
          </cell>
          <cell r="J2133">
            <v>5741100000</v>
          </cell>
        </row>
        <row r="2134">
          <cell r="B2134" t="str">
            <v>5.1.06.02.02</v>
          </cell>
          <cell r="C2134" t="str">
            <v>Belanja Bantuan Sosial Barang yang Direncanakan kepada Keluarga</v>
          </cell>
          <cell r="D2134">
            <v>0</v>
          </cell>
          <cell r="E2134">
            <v>0</v>
          </cell>
          <cell r="F2134">
            <v>0</v>
          </cell>
          <cell r="G2134">
            <v>0</v>
          </cell>
          <cell r="H2134">
            <v>0</v>
          </cell>
          <cell r="I2134">
            <v>0</v>
          </cell>
          <cell r="J2134">
            <v>0</v>
          </cell>
        </row>
        <row r="2135">
          <cell r="B2135" t="str">
            <v>5.1.06.03</v>
          </cell>
          <cell r="C2135" t="str">
            <v>Belanja Bantuan Sosial kepada Kelompok Masyarakat</v>
          </cell>
          <cell r="D2135">
            <v>0</v>
          </cell>
          <cell r="E2135">
            <v>0</v>
          </cell>
          <cell r="F2135"/>
          <cell r="G2135"/>
          <cell r="H2135"/>
          <cell r="I2135"/>
          <cell r="J2135">
            <v>0</v>
          </cell>
        </row>
        <row r="2136">
          <cell r="B2136" t="str">
            <v>5.1.06.03.01</v>
          </cell>
          <cell r="C2136" t="str">
            <v>Belanja Bantuan Sosial Uang yang direncanakan kepada Kelompok Masyarakat</v>
          </cell>
          <cell r="D2136">
            <v>0</v>
          </cell>
          <cell r="E2136">
            <v>0</v>
          </cell>
          <cell r="F2136">
            <v>0</v>
          </cell>
          <cell r="G2136">
            <v>0</v>
          </cell>
          <cell r="H2136">
            <v>0</v>
          </cell>
          <cell r="I2136">
            <v>0</v>
          </cell>
          <cell r="J2136">
            <v>0</v>
          </cell>
        </row>
        <row r="2137">
          <cell r="B2137" t="str">
            <v>5.1.06.03.02</v>
          </cell>
          <cell r="C2137" t="str">
            <v>Belanja Bantuan Sosial Barang yang Direncanakan kepada Kelompok Masyarakat</v>
          </cell>
          <cell r="D2137">
            <v>0</v>
          </cell>
          <cell r="E2137">
            <v>0</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F2138"/>
          <cell r="G2138"/>
          <cell r="H2138"/>
          <cell r="I2138"/>
          <cell r="J2138">
            <v>0</v>
          </cell>
        </row>
        <row r="2139">
          <cell r="B2139" t="str">
            <v>5.1.06.04.01</v>
          </cell>
          <cell r="C2139" t="str">
            <v>Belanja Bantuan Sosial Uang yang direncanakan kepada Lembaga Non Pemerintahan (Bidang Pendidikan, Keagamaan dan Bidang Lainnya)</v>
          </cell>
          <cell r="D2139">
            <v>0</v>
          </cell>
          <cell r="E2139">
            <v>0</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D2140">
            <v>0</v>
          </cell>
          <cell r="E2140">
            <v>0</v>
          </cell>
          <cell r="F2140">
            <v>0</v>
          </cell>
          <cell r="G2140">
            <v>0</v>
          </cell>
          <cell r="H2140">
            <v>0</v>
          </cell>
          <cell r="I2140">
            <v>0</v>
          </cell>
          <cell r="J2140">
            <v>0</v>
          </cell>
        </row>
        <row r="2141">
          <cell r="B2141"/>
          <cell r="C2141"/>
          <cell r="D2141"/>
          <cell r="E2141"/>
          <cell r="F2141"/>
          <cell r="G2141"/>
          <cell r="H2141"/>
          <cell r="I2141"/>
          <cell r="J2141"/>
        </row>
        <row r="2142">
          <cell r="B2142" t="str">
            <v>5.1.07</v>
          </cell>
          <cell r="C2142" t="str">
            <v>Belanja Imbalan</v>
          </cell>
          <cell r="D2142">
            <v>0</v>
          </cell>
          <cell r="E2142">
            <v>0</v>
          </cell>
          <cell r="F2142"/>
          <cell r="G2142"/>
          <cell r="H2142"/>
          <cell r="I2142"/>
          <cell r="J2142">
            <v>0</v>
          </cell>
        </row>
        <row r="2143">
          <cell r="B2143" t="str">
            <v>5.1.07.01</v>
          </cell>
          <cell r="C2143" t="str">
            <v>Belanja Imbalan Sukuk Daerah</v>
          </cell>
          <cell r="D2143">
            <v>0</v>
          </cell>
          <cell r="E2143">
            <v>0</v>
          </cell>
          <cell r="F2143"/>
          <cell r="G2143"/>
          <cell r="H2143"/>
          <cell r="I2143"/>
          <cell r="J2143">
            <v>0</v>
          </cell>
        </row>
        <row r="2144">
          <cell r="B2144" t="str">
            <v>5.1.07.01.01</v>
          </cell>
          <cell r="C2144" t="str">
            <v>Belanja Imbalan Sukuk Daerah</v>
          </cell>
          <cell r="D2144"/>
          <cell r="E2144"/>
          <cell r="F2144">
            <v>0</v>
          </cell>
          <cell r="G2144">
            <v>0</v>
          </cell>
          <cell r="H2144">
            <v>0</v>
          </cell>
          <cell r="I2144">
            <v>0</v>
          </cell>
          <cell r="J2144">
            <v>0</v>
          </cell>
        </row>
        <row r="2145">
          <cell r="B2145"/>
          <cell r="C2145"/>
          <cell r="D2145"/>
          <cell r="E2145"/>
          <cell r="F2145"/>
          <cell r="G2145"/>
          <cell r="H2145"/>
          <cell r="I2145"/>
          <cell r="J2145"/>
        </row>
        <row r="2146">
          <cell r="B2146" t="str">
            <v>5.2</v>
          </cell>
          <cell r="C2146" t="str">
            <v>BELANJA MODAL</v>
          </cell>
          <cell r="D2146">
            <v>687563721966</v>
          </cell>
          <cell r="E2146">
            <v>560821472639</v>
          </cell>
          <cell r="F2146"/>
          <cell r="G2146"/>
          <cell r="H2146"/>
          <cell r="I2146"/>
          <cell r="J2146">
            <v>560821472639</v>
          </cell>
        </row>
        <row r="2147">
          <cell r="B2147" t="str">
            <v>5.2.01</v>
          </cell>
          <cell r="C2147" t="str">
            <v>Belanja Modal Tanah</v>
          </cell>
          <cell r="D2147">
            <v>64694958117</v>
          </cell>
          <cell r="E2147">
            <v>14918666272</v>
          </cell>
          <cell r="F2147"/>
          <cell r="G2147"/>
          <cell r="H2147"/>
          <cell r="I2147"/>
          <cell r="J2147">
            <v>14918666272</v>
          </cell>
        </row>
        <row r="2148">
          <cell r="B2148" t="str">
            <v>5.2.01.01</v>
          </cell>
          <cell r="C2148" t="str">
            <v>Belanja Modal Tanah</v>
          </cell>
          <cell r="D2148">
            <v>64694958117</v>
          </cell>
          <cell r="E2148">
            <v>14918666272</v>
          </cell>
          <cell r="F2148"/>
          <cell r="G2148"/>
          <cell r="H2148"/>
          <cell r="I2148"/>
          <cell r="J2148">
            <v>14918666272</v>
          </cell>
        </row>
        <row r="2149">
          <cell r="B2149" t="str">
            <v>5.2.01.01.01</v>
          </cell>
          <cell r="C2149" t="str">
            <v>Belanja Modal Tanah Persil</v>
          </cell>
          <cell r="D2149">
            <v>53128310033</v>
          </cell>
          <cell r="E2149">
            <v>13622316155</v>
          </cell>
          <cell r="F2149">
            <v>0</v>
          </cell>
          <cell r="G2149">
            <v>0</v>
          </cell>
          <cell r="H2149">
            <v>0</v>
          </cell>
          <cell r="I2149">
            <v>0</v>
          </cell>
          <cell r="J2149">
            <v>13622316155</v>
          </cell>
        </row>
        <row r="2150">
          <cell r="B2150" t="str">
            <v>5.2.01.01.02</v>
          </cell>
          <cell r="C2150" t="str">
            <v>Belanja Modal Tanah Non Persil</v>
          </cell>
          <cell r="D2150">
            <v>4061841284</v>
          </cell>
          <cell r="E2150">
            <v>1150327420</v>
          </cell>
          <cell r="F2150">
            <v>0</v>
          </cell>
          <cell r="G2150">
            <v>0</v>
          </cell>
          <cell r="H2150">
            <v>0</v>
          </cell>
          <cell r="I2150">
            <v>0</v>
          </cell>
          <cell r="J2150">
            <v>1150327420</v>
          </cell>
        </row>
        <row r="2151">
          <cell r="B2151" t="str">
            <v>5.2.01.01.03</v>
          </cell>
          <cell r="C2151" t="str">
            <v>Belanja Modal Lapangan</v>
          </cell>
          <cell r="D2151">
            <v>7504806800</v>
          </cell>
          <cell r="E2151">
            <v>146022697</v>
          </cell>
          <cell r="F2151">
            <v>0</v>
          </cell>
          <cell r="G2151">
            <v>0</v>
          </cell>
          <cell r="H2151">
            <v>0</v>
          </cell>
          <cell r="I2151">
            <v>0</v>
          </cell>
          <cell r="J2151">
            <v>146022697</v>
          </cell>
        </row>
        <row r="2152">
          <cell r="B2152" t="str">
            <v>5.2.01.99</v>
          </cell>
          <cell r="C2152" t="str">
            <v>Belanja Modal Tanah BLUD</v>
          </cell>
          <cell r="D2152">
            <v>0</v>
          </cell>
          <cell r="E2152">
            <v>0</v>
          </cell>
          <cell r="F2152"/>
          <cell r="G2152"/>
          <cell r="H2152"/>
          <cell r="I2152"/>
          <cell r="J2152">
            <v>0</v>
          </cell>
        </row>
        <row r="2153">
          <cell r="B2153" t="str">
            <v>5.2.01.99.99</v>
          </cell>
          <cell r="C2153" t="str">
            <v>Belanja Modal Tanah BLUD</v>
          </cell>
          <cell r="D2153">
            <v>0</v>
          </cell>
          <cell r="E2153">
            <v>0</v>
          </cell>
          <cell r="F2153">
            <v>0</v>
          </cell>
          <cell r="G2153">
            <v>0</v>
          </cell>
          <cell r="H2153">
            <v>0</v>
          </cell>
          <cell r="I2153">
            <v>0</v>
          </cell>
          <cell r="J2153">
            <v>0</v>
          </cell>
        </row>
        <row r="2154">
          <cell r="B2154"/>
          <cell r="C2154"/>
          <cell r="D2154"/>
          <cell r="E2154"/>
          <cell r="F2154"/>
          <cell r="G2154"/>
          <cell r="H2154"/>
          <cell r="I2154"/>
          <cell r="J2154"/>
        </row>
        <row r="2155">
          <cell r="B2155" t="str">
            <v>5.2.02</v>
          </cell>
          <cell r="C2155" t="str">
            <v>Belanja Modal Peralatan dan Mesin</v>
          </cell>
          <cell r="D2155">
            <v>100320013039</v>
          </cell>
          <cell r="E2155">
            <v>104519745081</v>
          </cell>
          <cell r="F2155"/>
          <cell r="G2155"/>
          <cell r="H2155"/>
          <cell r="I2155"/>
          <cell r="J2155">
            <v>104519745081</v>
          </cell>
        </row>
        <row r="2156">
          <cell r="B2156" t="str">
            <v>5.2.02.01</v>
          </cell>
          <cell r="C2156" t="str">
            <v>Belanja Modal Alat Besar</v>
          </cell>
          <cell r="D2156">
            <v>2913937370</v>
          </cell>
          <cell r="E2156">
            <v>19956304420</v>
          </cell>
          <cell r="F2156"/>
          <cell r="G2156"/>
          <cell r="H2156"/>
          <cell r="I2156"/>
          <cell r="J2156">
            <v>19956304420</v>
          </cell>
        </row>
        <row r="2157">
          <cell r="B2157" t="str">
            <v>5.2.02.01.01</v>
          </cell>
          <cell r="C2157" t="str">
            <v>Belanja Modal Alat Besar Darat</v>
          </cell>
          <cell r="D2157">
            <v>1689422370</v>
          </cell>
          <cell r="E2157">
            <v>14633672800</v>
          </cell>
          <cell r="F2157">
            <v>0</v>
          </cell>
          <cell r="G2157">
            <v>0</v>
          </cell>
          <cell r="H2157">
            <v>0</v>
          </cell>
          <cell r="I2157">
            <v>0</v>
          </cell>
          <cell r="J2157">
            <v>14633672800</v>
          </cell>
        </row>
        <row r="2158">
          <cell r="B2158" t="str">
            <v>5.2.02.01.02</v>
          </cell>
          <cell r="C2158" t="str">
            <v>Belanja Modal Alat Besar Apung</v>
          </cell>
          <cell r="D2158">
            <v>0</v>
          </cell>
          <cell r="E2158">
            <v>0</v>
          </cell>
          <cell r="F2158">
            <v>0</v>
          </cell>
          <cell r="G2158">
            <v>0</v>
          </cell>
          <cell r="H2158">
            <v>0</v>
          </cell>
          <cell r="I2158">
            <v>0</v>
          </cell>
          <cell r="J2158">
            <v>0</v>
          </cell>
        </row>
        <row r="2159">
          <cell r="B2159" t="str">
            <v>5.2.02.01.03</v>
          </cell>
          <cell r="C2159" t="str">
            <v>Belanja Modal Alat Bantu</v>
          </cell>
          <cell r="D2159">
            <v>1224515000</v>
          </cell>
          <cell r="E2159">
            <v>5322631620</v>
          </cell>
          <cell r="F2159">
            <v>0</v>
          </cell>
          <cell r="G2159">
            <v>0</v>
          </cell>
          <cell r="H2159">
            <v>0</v>
          </cell>
          <cell r="I2159">
            <v>0</v>
          </cell>
          <cell r="J2159">
            <v>5322631620</v>
          </cell>
        </row>
        <row r="2160">
          <cell r="B2160" t="str">
            <v>5.2.02.02</v>
          </cell>
          <cell r="C2160" t="str">
            <v>Belanja Modal Alat Angkutan</v>
          </cell>
          <cell r="D2160">
            <v>10515450000</v>
          </cell>
          <cell r="E2160">
            <v>30058481934</v>
          </cell>
          <cell r="F2160"/>
          <cell r="G2160"/>
          <cell r="H2160"/>
          <cell r="I2160"/>
          <cell r="J2160">
            <v>30058481934</v>
          </cell>
        </row>
        <row r="2161">
          <cell r="B2161" t="str">
            <v>5.2.02.02.01</v>
          </cell>
          <cell r="C2161" t="str">
            <v>Belanja Modal Alat Angkutan Darat Bermotor</v>
          </cell>
          <cell r="D2161">
            <v>10368450000</v>
          </cell>
          <cell r="E2161">
            <v>30058481934</v>
          </cell>
          <cell r="F2161">
            <v>0</v>
          </cell>
          <cell r="G2161">
            <v>0</v>
          </cell>
          <cell r="H2161">
            <v>0</v>
          </cell>
          <cell r="I2161">
            <v>0</v>
          </cell>
          <cell r="J2161">
            <v>30058481934</v>
          </cell>
        </row>
        <row r="2162">
          <cell r="B2162" t="str">
            <v>5.2.02.02.02</v>
          </cell>
          <cell r="C2162" t="str">
            <v>Belanja Modal Alat Angkutan Darat Tak Bermotor</v>
          </cell>
          <cell r="D2162">
            <v>0</v>
          </cell>
          <cell r="E2162">
            <v>0</v>
          </cell>
          <cell r="F2162">
            <v>0</v>
          </cell>
          <cell r="G2162">
            <v>0</v>
          </cell>
          <cell r="H2162">
            <v>0</v>
          </cell>
          <cell r="I2162">
            <v>0</v>
          </cell>
          <cell r="J2162">
            <v>0</v>
          </cell>
        </row>
        <row r="2163">
          <cell r="B2163" t="str">
            <v>5.2.02.02.03</v>
          </cell>
          <cell r="C2163" t="str">
            <v>Belanja Modal Alat Angkutan Apung Bermotor</v>
          </cell>
          <cell r="D2163">
            <v>147000000</v>
          </cell>
          <cell r="E2163">
            <v>0</v>
          </cell>
          <cell r="F2163">
            <v>0</v>
          </cell>
          <cell r="G2163">
            <v>0</v>
          </cell>
          <cell r="H2163">
            <v>0</v>
          </cell>
          <cell r="I2163">
            <v>0</v>
          </cell>
          <cell r="J2163">
            <v>0</v>
          </cell>
        </row>
        <row r="2164">
          <cell r="B2164" t="str">
            <v>5.2.02.02.04</v>
          </cell>
          <cell r="C2164" t="str">
            <v>Belanja Modal Alat Angkutan Apung Tak Bermotor</v>
          </cell>
          <cell r="D2164">
            <v>0</v>
          </cell>
          <cell r="E2164">
            <v>0</v>
          </cell>
          <cell r="F2164">
            <v>0</v>
          </cell>
          <cell r="G2164">
            <v>0</v>
          </cell>
          <cell r="H2164">
            <v>0</v>
          </cell>
          <cell r="I2164">
            <v>0</v>
          </cell>
          <cell r="J2164">
            <v>0</v>
          </cell>
        </row>
        <row r="2165">
          <cell r="B2165" t="str">
            <v>5.2.02.02.05</v>
          </cell>
          <cell r="C2165" t="str">
            <v>Belanja Modal Alat Angkutan Bermotor Udara</v>
          </cell>
          <cell r="D2165">
            <v>0</v>
          </cell>
          <cell r="E2165">
            <v>0</v>
          </cell>
          <cell r="F2165">
            <v>0</v>
          </cell>
          <cell r="G2165">
            <v>0</v>
          </cell>
          <cell r="H2165">
            <v>0</v>
          </cell>
          <cell r="I2165">
            <v>0</v>
          </cell>
          <cell r="J2165">
            <v>0</v>
          </cell>
        </row>
        <row r="2166">
          <cell r="B2166" t="str">
            <v>5.2.02.03</v>
          </cell>
          <cell r="C2166" t="str">
            <v>Belanja Modal Alat Bengkel dan Alat Ukur</v>
          </cell>
          <cell r="D2166">
            <v>888335000</v>
          </cell>
          <cell r="E2166">
            <v>274238560</v>
          </cell>
          <cell r="F2166"/>
          <cell r="G2166"/>
          <cell r="H2166"/>
          <cell r="I2166"/>
          <cell r="J2166">
            <v>274238560</v>
          </cell>
        </row>
        <row r="2167">
          <cell r="B2167" t="str">
            <v>5.2.02.03.01</v>
          </cell>
          <cell r="C2167" t="str">
            <v>Belanja Modal Alat Bengkel Bermesin</v>
          </cell>
          <cell r="D2167">
            <v>34590000</v>
          </cell>
          <cell r="E2167">
            <v>85682000</v>
          </cell>
          <cell r="F2167">
            <v>0</v>
          </cell>
          <cell r="G2167">
            <v>0</v>
          </cell>
          <cell r="H2167">
            <v>0</v>
          </cell>
          <cell r="I2167">
            <v>0</v>
          </cell>
          <cell r="J2167">
            <v>85682000</v>
          </cell>
        </row>
        <row r="2168">
          <cell r="B2168" t="str">
            <v>5.2.02.03.02</v>
          </cell>
          <cell r="C2168" t="str">
            <v>Belanja Modal Alat Bengkel Tak Bermesin</v>
          </cell>
          <cell r="D2168">
            <v>41200000</v>
          </cell>
          <cell r="E2168">
            <v>0</v>
          </cell>
          <cell r="F2168">
            <v>0</v>
          </cell>
          <cell r="G2168">
            <v>0</v>
          </cell>
          <cell r="H2168">
            <v>0</v>
          </cell>
          <cell r="I2168">
            <v>0</v>
          </cell>
          <cell r="J2168">
            <v>0</v>
          </cell>
        </row>
        <row r="2169">
          <cell r="B2169" t="str">
            <v>5.2.02.03.03</v>
          </cell>
          <cell r="C2169" t="str">
            <v>Belanja Modal Alat Ukur</v>
          </cell>
          <cell r="D2169">
            <v>812545000</v>
          </cell>
          <cell r="E2169">
            <v>188556560</v>
          </cell>
          <cell r="F2169">
            <v>0</v>
          </cell>
          <cell r="G2169">
            <v>0</v>
          </cell>
          <cell r="H2169">
            <v>0</v>
          </cell>
          <cell r="I2169">
            <v>0</v>
          </cell>
          <cell r="J2169">
            <v>188556560</v>
          </cell>
        </row>
        <row r="2170">
          <cell r="B2170" t="str">
            <v>5.2.02.04</v>
          </cell>
          <cell r="C2170" t="str">
            <v>Belanja Modal Alat Pertanian</v>
          </cell>
          <cell r="D2170">
            <v>170195000</v>
          </cell>
          <cell r="E2170">
            <v>0</v>
          </cell>
          <cell r="F2170"/>
          <cell r="G2170"/>
          <cell r="H2170"/>
          <cell r="I2170"/>
          <cell r="J2170">
            <v>0</v>
          </cell>
        </row>
        <row r="2171">
          <cell r="B2171" t="str">
            <v>5.2.02.04.01</v>
          </cell>
          <cell r="C2171" t="str">
            <v>Belanja Modal Alat Pengolahan</v>
          </cell>
          <cell r="D2171">
            <v>170195000</v>
          </cell>
          <cell r="E2171">
            <v>0</v>
          </cell>
          <cell r="F2171">
            <v>0</v>
          </cell>
          <cell r="G2171">
            <v>0</v>
          </cell>
          <cell r="H2171">
            <v>0</v>
          </cell>
          <cell r="I2171">
            <v>0</v>
          </cell>
          <cell r="J2171">
            <v>0</v>
          </cell>
        </row>
        <row r="2172">
          <cell r="B2172" t="str">
            <v>5.2.02.05</v>
          </cell>
          <cell r="C2172" t="str">
            <v>Belanja Modal Alat Kantor dan Rumah Tangga</v>
          </cell>
          <cell r="D2172">
            <v>23141198130</v>
          </cell>
          <cell r="E2172">
            <v>17522874485</v>
          </cell>
          <cell r="F2172"/>
          <cell r="G2172"/>
          <cell r="H2172"/>
          <cell r="I2172"/>
          <cell r="J2172">
            <v>17522874485</v>
          </cell>
        </row>
        <row r="2173">
          <cell r="B2173" t="str">
            <v>5.2.02.05.01</v>
          </cell>
          <cell r="C2173" t="str">
            <v>Belanja Modal Alat Kantor</v>
          </cell>
          <cell r="D2173">
            <v>1370940000</v>
          </cell>
          <cell r="E2173">
            <v>2376504536</v>
          </cell>
          <cell r="F2173">
            <v>0</v>
          </cell>
          <cell r="G2173">
            <v>0</v>
          </cell>
          <cell r="H2173">
            <v>0</v>
          </cell>
          <cell r="I2173">
            <v>0</v>
          </cell>
          <cell r="J2173">
            <v>2376504536</v>
          </cell>
        </row>
        <row r="2174">
          <cell r="B2174" t="str">
            <v>5.2.02.05.02</v>
          </cell>
          <cell r="C2174" t="str">
            <v>Belanja Modal Alat Rumah Tangga</v>
          </cell>
          <cell r="D2174">
            <v>18434246180</v>
          </cell>
          <cell r="E2174">
            <v>14925549949</v>
          </cell>
          <cell r="F2174">
            <v>0</v>
          </cell>
          <cell r="G2174">
            <v>0</v>
          </cell>
          <cell r="H2174">
            <v>0</v>
          </cell>
          <cell r="I2174">
            <v>0</v>
          </cell>
          <cell r="J2174">
            <v>14925549949</v>
          </cell>
        </row>
        <row r="2175">
          <cell r="B2175" t="str">
            <v>5.2.02.05.03</v>
          </cell>
          <cell r="C2175" t="str">
            <v>Belanja Modal Meja dan Kursi Kerja/Rapat Pejabat</v>
          </cell>
          <cell r="D2175">
            <v>3336011950</v>
          </cell>
          <cell r="E2175">
            <v>220820000</v>
          </cell>
          <cell r="F2175">
            <v>0</v>
          </cell>
          <cell r="G2175">
            <v>0</v>
          </cell>
          <cell r="H2175">
            <v>0</v>
          </cell>
          <cell r="I2175">
            <v>0</v>
          </cell>
          <cell r="J2175">
            <v>220820000</v>
          </cell>
        </row>
        <row r="2176">
          <cell r="B2176" t="str">
            <v>5.2.02.06</v>
          </cell>
          <cell r="C2176" t="str">
            <v>Belanja Modal Alat Studio, Komunikasi, dan Pemancar</v>
          </cell>
          <cell r="D2176">
            <v>3973158120</v>
          </cell>
          <cell r="E2176">
            <v>4993199218</v>
          </cell>
          <cell r="F2176"/>
          <cell r="G2176"/>
          <cell r="H2176"/>
          <cell r="I2176"/>
          <cell r="J2176">
            <v>4993199218</v>
          </cell>
        </row>
        <row r="2177">
          <cell r="B2177" t="str">
            <v>5.2.02.06.01</v>
          </cell>
          <cell r="C2177" t="str">
            <v>Belanja Modal Alat Studio</v>
          </cell>
          <cell r="D2177">
            <v>3948158120</v>
          </cell>
          <cell r="E2177">
            <v>3641983950</v>
          </cell>
          <cell r="F2177">
            <v>0</v>
          </cell>
          <cell r="G2177">
            <v>0</v>
          </cell>
          <cell r="H2177">
            <v>0</v>
          </cell>
          <cell r="I2177">
            <v>0</v>
          </cell>
          <cell r="J2177">
            <v>3641983950</v>
          </cell>
        </row>
        <row r="2178">
          <cell r="B2178" t="str">
            <v>5.2.02.06.02</v>
          </cell>
          <cell r="C2178" t="str">
            <v>Belanja Modal Alat Komunikasi</v>
          </cell>
          <cell r="D2178">
            <v>25000000</v>
          </cell>
          <cell r="E2178">
            <v>1351215268</v>
          </cell>
          <cell r="F2178">
            <v>0</v>
          </cell>
          <cell r="G2178">
            <v>0</v>
          </cell>
          <cell r="H2178">
            <v>0</v>
          </cell>
          <cell r="I2178">
            <v>0</v>
          </cell>
          <cell r="J2178">
            <v>1351215268</v>
          </cell>
        </row>
        <row r="2179">
          <cell r="B2179" t="str">
            <v>5.2.02.06.03</v>
          </cell>
          <cell r="C2179" t="str">
            <v>Belanja Modal Peralatan Pemancar</v>
          </cell>
          <cell r="D2179">
            <v>0</v>
          </cell>
          <cell r="E2179">
            <v>0</v>
          </cell>
          <cell r="F2179">
            <v>0</v>
          </cell>
          <cell r="G2179">
            <v>0</v>
          </cell>
          <cell r="H2179">
            <v>0</v>
          </cell>
          <cell r="I2179">
            <v>0</v>
          </cell>
          <cell r="J2179">
            <v>0</v>
          </cell>
        </row>
        <row r="2180">
          <cell r="B2180" t="str">
            <v>5.2.02.06.04</v>
          </cell>
          <cell r="C2180" t="str">
            <v>Belanja Modal Peralatan Komunikasi Navigasi</v>
          </cell>
          <cell r="D2180">
            <v>0</v>
          </cell>
          <cell r="E2180">
            <v>0</v>
          </cell>
          <cell r="F2180">
            <v>0</v>
          </cell>
          <cell r="G2180">
            <v>0</v>
          </cell>
          <cell r="H2180">
            <v>0</v>
          </cell>
          <cell r="I2180">
            <v>0</v>
          </cell>
          <cell r="J2180">
            <v>0</v>
          </cell>
        </row>
        <row r="2181">
          <cell r="B2181" t="str">
            <v>5.2.02.07</v>
          </cell>
          <cell r="C2181" t="str">
            <v>Belanja Modal Alat Kedokteran dan Kesehatan</v>
          </cell>
          <cell r="D2181">
            <v>27380494828</v>
          </cell>
          <cell r="E2181">
            <v>5745748015</v>
          </cell>
          <cell r="F2181"/>
          <cell r="G2181"/>
          <cell r="H2181"/>
          <cell r="I2181"/>
          <cell r="J2181">
            <v>5745748015</v>
          </cell>
        </row>
        <row r="2182">
          <cell r="B2182" t="str">
            <v>5.2.02.07.01</v>
          </cell>
          <cell r="C2182" t="str">
            <v>Belanja Modal Alat Kedokteran</v>
          </cell>
          <cell r="D2182">
            <v>4680031171</v>
          </cell>
          <cell r="E2182">
            <v>5646248015</v>
          </cell>
          <cell r="F2182">
            <v>0</v>
          </cell>
          <cell r="G2182">
            <v>0</v>
          </cell>
          <cell r="H2182">
            <v>0</v>
          </cell>
          <cell r="I2182">
            <v>0</v>
          </cell>
          <cell r="J2182">
            <v>5646248015</v>
          </cell>
        </row>
        <row r="2183">
          <cell r="B2183" t="str">
            <v>5.2.02.07.02</v>
          </cell>
          <cell r="C2183" t="str">
            <v>Belanja Modal Alat Kesehatan Umum</v>
          </cell>
          <cell r="D2183">
            <v>22700463657</v>
          </cell>
          <cell r="E2183">
            <v>99500000</v>
          </cell>
          <cell r="F2183">
            <v>0</v>
          </cell>
          <cell r="G2183">
            <v>0</v>
          </cell>
          <cell r="H2183">
            <v>0</v>
          </cell>
          <cell r="I2183">
            <v>0</v>
          </cell>
          <cell r="J2183">
            <v>99500000</v>
          </cell>
        </row>
        <row r="2184">
          <cell r="B2184" t="str">
            <v>5.2.02.08</v>
          </cell>
          <cell r="C2184" t="str">
            <v>Belanja Modal Alat Laboratorium</v>
          </cell>
          <cell r="D2184">
            <v>2567964970</v>
          </cell>
          <cell r="E2184">
            <v>3132936040</v>
          </cell>
          <cell r="F2184"/>
          <cell r="G2184"/>
          <cell r="H2184"/>
          <cell r="I2184"/>
          <cell r="J2184">
            <v>3132936040</v>
          </cell>
        </row>
        <row r="2185">
          <cell r="B2185" t="str">
            <v>5.2.02.08.01</v>
          </cell>
          <cell r="C2185" t="str">
            <v>Belanja Modal Unit Alat Laboratorium</v>
          </cell>
          <cell r="D2185">
            <v>992905000</v>
          </cell>
          <cell r="E2185">
            <v>1812991081</v>
          </cell>
          <cell r="F2185">
            <v>0</v>
          </cell>
          <cell r="G2185">
            <v>0</v>
          </cell>
          <cell r="H2185">
            <v>0</v>
          </cell>
          <cell r="I2185">
            <v>0</v>
          </cell>
          <cell r="J2185">
            <v>1812991081</v>
          </cell>
        </row>
        <row r="2186">
          <cell r="B2186" t="str">
            <v>5.2.02.08.02</v>
          </cell>
          <cell r="C2186" t="str">
            <v>Belanja Modal Unit Alat Laboratorium Kimia Nuklir</v>
          </cell>
          <cell r="D2186">
            <v>0</v>
          </cell>
          <cell r="E2186">
            <v>0</v>
          </cell>
          <cell r="F2186">
            <v>0</v>
          </cell>
          <cell r="G2186">
            <v>0</v>
          </cell>
          <cell r="H2186">
            <v>0</v>
          </cell>
          <cell r="I2186">
            <v>0</v>
          </cell>
          <cell r="J2186">
            <v>0</v>
          </cell>
        </row>
        <row r="2187">
          <cell r="B2187" t="str">
            <v>5.2.02.08.03</v>
          </cell>
          <cell r="C2187" t="str">
            <v>Belanja Modal Alat Peraga Praktek Sekolah</v>
          </cell>
          <cell r="D2187">
            <v>1338109970</v>
          </cell>
          <cell r="E2187">
            <v>927543459</v>
          </cell>
          <cell r="F2187">
            <v>0</v>
          </cell>
          <cell r="G2187">
            <v>0</v>
          </cell>
          <cell r="H2187">
            <v>0</v>
          </cell>
          <cell r="I2187">
            <v>0</v>
          </cell>
          <cell r="J2187">
            <v>927543459</v>
          </cell>
        </row>
        <row r="2188">
          <cell r="B2188" t="str">
            <v>5.2.02.08.04</v>
          </cell>
          <cell r="C2188" t="str">
            <v>Belanja Modal Alat Laboratorium Fisika Nuklir/Elektronika</v>
          </cell>
          <cell r="D2188">
            <v>236950000</v>
          </cell>
          <cell r="E2188">
            <v>392401500</v>
          </cell>
          <cell r="F2188">
            <v>0</v>
          </cell>
          <cell r="G2188">
            <v>0</v>
          </cell>
          <cell r="H2188">
            <v>0</v>
          </cell>
          <cell r="I2188">
            <v>0</v>
          </cell>
          <cell r="J2188">
            <v>392401500</v>
          </cell>
        </row>
        <row r="2189">
          <cell r="B2189" t="str">
            <v>5.2.02.08.05</v>
          </cell>
          <cell r="C2189" t="str">
            <v>Belanja Modal Alat Proteksi Radiasi/Proteksi Lingkungan</v>
          </cell>
          <cell r="D2189">
            <v>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D2190">
            <v>0</v>
          </cell>
          <cell r="E2190">
            <v>0</v>
          </cell>
          <cell r="F2190">
            <v>0</v>
          </cell>
          <cell r="G2190">
            <v>0</v>
          </cell>
          <cell r="H2190">
            <v>0</v>
          </cell>
          <cell r="I2190">
            <v>0</v>
          </cell>
          <cell r="J2190">
            <v>0</v>
          </cell>
        </row>
        <row r="2191">
          <cell r="B2191" t="str">
            <v>5.2.02.08.07</v>
          </cell>
          <cell r="C2191" t="str">
            <v>Belanja Modal Alat Laboratorium Lingkungan Hidup</v>
          </cell>
          <cell r="D2191">
            <v>0</v>
          </cell>
          <cell r="E2191">
            <v>0</v>
          </cell>
          <cell r="F2191">
            <v>0</v>
          </cell>
          <cell r="G2191">
            <v>0</v>
          </cell>
          <cell r="H2191">
            <v>0</v>
          </cell>
          <cell r="I2191">
            <v>0</v>
          </cell>
          <cell r="J2191">
            <v>0</v>
          </cell>
        </row>
        <row r="2192">
          <cell r="B2192" t="str">
            <v>5.2.02.08.08</v>
          </cell>
          <cell r="C2192" t="str">
            <v>Belanja Modal Peralatan Laboratorium Hydrodinamica</v>
          </cell>
          <cell r="D2192">
            <v>0</v>
          </cell>
          <cell r="E2192">
            <v>0</v>
          </cell>
          <cell r="F2192">
            <v>0</v>
          </cell>
          <cell r="G2192">
            <v>0</v>
          </cell>
          <cell r="H2192">
            <v>0</v>
          </cell>
          <cell r="I2192">
            <v>0</v>
          </cell>
          <cell r="J2192">
            <v>0</v>
          </cell>
        </row>
        <row r="2193">
          <cell r="B2193" t="str">
            <v>5.2.02.08.09</v>
          </cell>
          <cell r="C2193" t="str">
            <v>Belanja Modal Alat Laboratorium Standarisasi Kalibrasi dan Instrumentasi</v>
          </cell>
          <cell r="D2193">
            <v>0</v>
          </cell>
          <cell r="E2193">
            <v>0</v>
          </cell>
          <cell r="F2193">
            <v>0</v>
          </cell>
          <cell r="G2193">
            <v>0</v>
          </cell>
          <cell r="H2193">
            <v>0</v>
          </cell>
          <cell r="I2193">
            <v>0</v>
          </cell>
          <cell r="J2193">
            <v>0</v>
          </cell>
        </row>
        <row r="2194">
          <cell r="B2194" t="str">
            <v>5.2.02.10</v>
          </cell>
          <cell r="C2194" t="str">
            <v>Belanja Modal Komputer</v>
          </cell>
          <cell r="D2194">
            <v>21046009657</v>
          </cell>
          <cell r="E2194">
            <v>15299405113</v>
          </cell>
          <cell r="F2194"/>
          <cell r="G2194"/>
          <cell r="H2194"/>
          <cell r="I2194"/>
          <cell r="J2194">
            <v>15299405113</v>
          </cell>
        </row>
        <row r="2195">
          <cell r="B2195" t="str">
            <v>5.2.02.10.01</v>
          </cell>
          <cell r="C2195" t="str">
            <v>Belanja Modal Komputer Unit</v>
          </cell>
          <cell r="D2195">
            <v>18932387463</v>
          </cell>
          <cell r="E2195">
            <v>12588787486</v>
          </cell>
          <cell r="F2195">
            <v>0</v>
          </cell>
          <cell r="G2195">
            <v>0</v>
          </cell>
          <cell r="H2195">
            <v>0</v>
          </cell>
          <cell r="I2195">
            <v>0</v>
          </cell>
          <cell r="J2195">
            <v>12588787486</v>
          </cell>
        </row>
        <row r="2196">
          <cell r="B2196" t="str">
            <v>5.2.02.10.02</v>
          </cell>
          <cell r="C2196" t="str">
            <v>Belanja Modal Peralatan Komputer</v>
          </cell>
          <cell r="D2196">
            <v>2113622194</v>
          </cell>
          <cell r="E2196">
            <v>2710617627</v>
          </cell>
          <cell r="F2196">
            <v>0</v>
          </cell>
          <cell r="G2196">
            <v>0</v>
          </cell>
          <cell r="H2196">
            <v>0</v>
          </cell>
          <cell r="I2196">
            <v>0</v>
          </cell>
          <cell r="J2196">
            <v>2710617627</v>
          </cell>
        </row>
        <row r="2197">
          <cell r="B2197" t="str">
            <v>5.2.02.11</v>
          </cell>
          <cell r="C2197" t="str">
            <v>Belanja Modal Alat Eksplorasi</v>
          </cell>
          <cell r="D2197">
            <v>0</v>
          </cell>
          <cell r="E2197">
            <v>1500000</v>
          </cell>
          <cell r="F2197"/>
          <cell r="G2197"/>
          <cell r="H2197"/>
          <cell r="I2197"/>
          <cell r="J2197">
            <v>1500000</v>
          </cell>
        </row>
        <row r="2198">
          <cell r="B2198" t="str">
            <v>5.2.02.11.01</v>
          </cell>
          <cell r="C2198" t="str">
            <v>Belanja Modal Alat Eksplorasi Topografi</v>
          </cell>
          <cell r="D2198">
            <v>0</v>
          </cell>
          <cell r="E2198">
            <v>1500000</v>
          </cell>
          <cell r="F2198">
            <v>0</v>
          </cell>
          <cell r="G2198">
            <v>0</v>
          </cell>
          <cell r="H2198">
            <v>0</v>
          </cell>
          <cell r="I2198">
            <v>0</v>
          </cell>
          <cell r="J2198">
            <v>1500000</v>
          </cell>
        </row>
        <row r="2199">
          <cell r="B2199" t="str">
            <v>5.2.02.11.02</v>
          </cell>
          <cell r="C2199" t="str">
            <v>Belanja Modal Alat Eksplorasi Geofisika</v>
          </cell>
          <cell r="D2199">
            <v>0</v>
          </cell>
          <cell r="E2199">
            <v>0</v>
          </cell>
          <cell r="F2199">
            <v>0</v>
          </cell>
          <cell r="G2199">
            <v>0</v>
          </cell>
          <cell r="H2199">
            <v>0</v>
          </cell>
          <cell r="I2199">
            <v>0</v>
          </cell>
          <cell r="J2199">
            <v>0</v>
          </cell>
        </row>
        <row r="2200">
          <cell r="B2200" t="str">
            <v>5.2.02.12</v>
          </cell>
          <cell r="C2200" t="str">
            <v>Belanja Modal Alat Pengeboran</v>
          </cell>
          <cell r="D2200">
            <v>0</v>
          </cell>
          <cell r="E2200">
            <v>0</v>
          </cell>
          <cell r="F2200"/>
          <cell r="G2200"/>
          <cell r="H2200"/>
          <cell r="I2200"/>
          <cell r="J2200">
            <v>0</v>
          </cell>
        </row>
        <row r="2201">
          <cell r="B2201" t="str">
            <v>5.2.02.12.01</v>
          </cell>
          <cell r="C2201" t="str">
            <v>Belanja Modal Alat Pengeboran Mesin</v>
          </cell>
          <cell r="D2201">
            <v>0</v>
          </cell>
          <cell r="E2201">
            <v>0</v>
          </cell>
          <cell r="F2201">
            <v>0</v>
          </cell>
          <cell r="G2201">
            <v>0</v>
          </cell>
          <cell r="H2201">
            <v>0</v>
          </cell>
          <cell r="I2201">
            <v>0</v>
          </cell>
          <cell r="J2201">
            <v>0</v>
          </cell>
        </row>
        <row r="2202">
          <cell r="B2202" t="str">
            <v>5.2.02.12.02</v>
          </cell>
          <cell r="C2202" t="str">
            <v>Belanja Modal Alat Pengeboran Non Mesin</v>
          </cell>
          <cell r="D2202">
            <v>0</v>
          </cell>
          <cell r="E2202">
            <v>0</v>
          </cell>
          <cell r="F2202">
            <v>0</v>
          </cell>
          <cell r="G2202">
            <v>0</v>
          </cell>
          <cell r="H2202">
            <v>0</v>
          </cell>
          <cell r="I2202">
            <v>0</v>
          </cell>
          <cell r="J2202">
            <v>0</v>
          </cell>
        </row>
        <row r="2203">
          <cell r="B2203" t="str">
            <v>5.2.02.13</v>
          </cell>
          <cell r="C2203" t="str">
            <v>Belanja Modal Alat Produksi, Pengolahan, dan Pemurnian</v>
          </cell>
          <cell r="D2203">
            <v>619944066</v>
          </cell>
          <cell r="E2203">
            <v>132869600</v>
          </cell>
          <cell r="F2203"/>
          <cell r="G2203"/>
          <cell r="H2203"/>
          <cell r="I2203"/>
          <cell r="J2203">
            <v>132869600</v>
          </cell>
        </row>
        <row r="2204">
          <cell r="B2204" t="str">
            <v>5.2.02.13.01</v>
          </cell>
          <cell r="C2204" t="str">
            <v>Belanja Modal Sumur</v>
          </cell>
          <cell r="D2204">
            <v>429944066</v>
          </cell>
          <cell r="E2204">
            <v>132869600</v>
          </cell>
          <cell r="F2204">
            <v>0</v>
          </cell>
          <cell r="G2204">
            <v>0</v>
          </cell>
          <cell r="H2204">
            <v>0</v>
          </cell>
          <cell r="I2204">
            <v>0</v>
          </cell>
          <cell r="J2204">
            <v>132869600</v>
          </cell>
        </row>
        <row r="2205">
          <cell r="B2205" t="str">
            <v>5.2.02.13.02</v>
          </cell>
          <cell r="C2205" t="str">
            <v>Belanja Modal Produksi</v>
          </cell>
          <cell r="D2205">
            <v>0</v>
          </cell>
          <cell r="E2205">
            <v>0</v>
          </cell>
          <cell r="F2205">
            <v>0</v>
          </cell>
          <cell r="G2205">
            <v>0</v>
          </cell>
          <cell r="H2205">
            <v>0</v>
          </cell>
          <cell r="I2205">
            <v>0</v>
          </cell>
          <cell r="J2205">
            <v>0</v>
          </cell>
        </row>
        <row r="2206">
          <cell r="B2206" t="str">
            <v>5.2.02.13.03</v>
          </cell>
          <cell r="C2206" t="str">
            <v>Belanja Modal Pengolahan dan Pemurnian</v>
          </cell>
          <cell r="D2206">
            <v>190000000</v>
          </cell>
          <cell r="E2206">
            <v>0</v>
          </cell>
          <cell r="F2206">
            <v>0</v>
          </cell>
          <cell r="G2206">
            <v>0</v>
          </cell>
          <cell r="H2206">
            <v>0</v>
          </cell>
          <cell r="I2206">
            <v>0</v>
          </cell>
          <cell r="J2206">
            <v>0</v>
          </cell>
        </row>
        <row r="2207">
          <cell r="B2207" t="str">
            <v>5.2.02.14</v>
          </cell>
          <cell r="C2207" t="str">
            <v>Belanja Modal Alat Bantu Eksplorasi</v>
          </cell>
          <cell r="D2207">
            <v>0</v>
          </cell>
          <cell r="E2207">
            <v>990000</v>
          </cell>
          <cell r="F2207"/>
          <cell r="G2207"/>
          <cell r="H2207"/>
          <cell r="I2207"/>
          <cell r="J2207">
            <v>990000</v>
          </cell>
        </row>
        <row r="2208">
          <cell r="B2208" t="str">
            <v>5.2.02.14.01</v>
          </cell>
          <cell r="C2208" t="str">
            <v>Belanja Modal Alat Bantu Eksplorasi</v>
          </cell>
          <cell r="D2208">
            <v>0</v>
          </cell>
          <cell r="E2208">
            <v>0</v>
          </cell>
          <cell r="F2208">
            <v>0</v>
          </cell>
          <cell r="G2208">
            <v>0</v>
          </cell>
          <cell r="H2208">
            <v>0</v>
          </cell>
          <cell r="I2208">
            <v>0</v>
          </cell>
          <cell r="J2208">
            <v>0</v>
          </cell>
        </row>
        <row r="2209">
          <cell r="B2209" t="str">
            <v>5.2.02.14.02</v>
          </cell>
          <cell r="C2209" t="str">
            <v>Belanja Modal Alat Bantu Produksi</v>
          </cell>
          <cell r="D2209">
            <v>0</v>
          </cell>
          <cell r="E2209">
            <v>990000</v>
          </cell>
          <cell r="F2209">
            <v>0</v>
          </cell>
          <cell r="G2209">
            <v>0</v>
          </cell>
          <cell r="H2209">
            <v>0</v>
          </cell>
          <cell r="I2209">
            <v>0</v>
          </cell>
          <cell r="J2209">
            <v>990000</v>
          </cell>
        </row>
        <row r="2210">
          <cell r="B2210" t="str">
            <v>5.2.02.15</v>
          </cell>
          <cell r="C2210" t="str">
            <v>Belanja Modal Alat Keselamatan Kerja</v>
          </cell>
          <cell r="D2210">
            <v>92900000</v>
          </cell>
          <cell r="E2210">
            <v>97095000</v>
          </cell>
          <cell r="F2210"/>
          <cell r="G2210"/>
          <cell r="H2210"/>
          <cell r="I2210"/>
          <cell r="J2210">
            <v>97095000</v>
          </cell>
        </row>
        <row r="2211">
          <cell r="B2211" t="str">
            <v>5.2.02.15.01</v>
          </cell>
          <cell r="C2211" t="str">
            <v>Belanja Modal Alat Deteksi</v>
          </cell>
          <cell r="D2211">
            <v>0</v>
          </cell>
          <cell r="E2211">
            <v>40000000</v>
          </cell>
          <cell r="F2211">
            <v>0</v>
          </cell>
          <cell r="G2211">
            <v>0</v>
          </cell>
          <cell r="H2211">
            <v>0</v>
          </cell>
          <cell r="I2211">
            <v>0</v>
          </cell>
          <cell r="J2211">
            <v>40000000</v>
          </cell>
        </row>
        <row r="2212">
          <cell r="B2212" t="str">
            <v>5.2.02.15.02</v>
          </cell>
          <cell r="C2212" t="str">
            <v>Belanja Modal Alat Pelindung</v>
          </cell>
          <cell r="D2212">
            <v>92900000</v>
          </cell>
          <cell r="E2212">
            <v>57095000</v>
          </cell>
          <cell r="F2212">
            <v>0</v>
          </cell>
          <cell r="G2212">
            <v>0</v>
          </cell>
          <cell r="H2212">
            <v>0</v>
          </cell>
          <cell r="I2212">
            <v>0</v>
          </cell>
          <cell r="J2212">
            <v>57095000</v>
          </cell>
        </row>
        <row r="2213">
          <cell r="B2213" t="str">
            <v>5.2.02.15.03</v>
          </cell>
          <cell r="C2213" t="str">
            <v>Belanja Modal Alat SAR</v>
          </cell>
          <cell r="D2213">
            <v>0</v>
          </cell>
          <cell r="E2213">
            <v>0</v>
          </cell>
          <cell r="F2213">
            <v>0</v>
          </cell>
          <cell r="G2213">
            <v>0</v>
          </cell>
          <cell r="H2213">
            <v>0</v>
          </cell>
          <cell r="I2213">
            <v>0</v>
          </cell>
          <cell r="J2213">
            <v>0</v>
          </cell>
        </row>
        <row r="2214">
          <cell r="B2214" t="str">
            <v>5.2.02.15.04</v>
          </cell>
          <cell r="C2214" t="str">
            <v>Belanja Modal Alat Kerja Penerbangan</v>
          </cell>
          <cell r="D2214">
            <v>0</v>
          </cell>
          <cell r="E2214">
            <v>0</v>
          </cell>
          <cell r="F2214">
            <v>0</v>
          </cell>
          <cell r="G2214">
            <v>0</v>
          </cell>
          <cell r="H2214">
            <v>0</v>
          </cell>
          <cell r="I2214">
            <v>0</v>
          </cell>
          <cell r="J2214">
            <v>0</v>
          </cell>
        </row>
        <row r="2215">
          <cell r="B2215" t="str">
            <v>5.2.02.16</v>
          </cell>
          <cell r="C2215" t="str">
            <v>Belanja Modal Alat Peraga</v>
          </cell>
          <cell r="D2215">
            <v>0</v>
          </cell>
          <cell r="E2215">
            <v>0</v>
          </cell>
          <cell r="F2215"/>
          <cell r="G2215"/>
          <cell r="H2215"/>
          <cell r="I2215"/>
          <cell r="J2215">
            <v>0</v>
          </cell>
        </row>
        <row r="2216">
          <cell r="B2216" t="str">
            <v>5.2.02.16.01</v>
          </cell>
          <cell r="C2216" t="str">
            <v>Belanja Modal Alat Peraga Pelatihan dan Percontohan</v>
          </cell>
          <cell r="D2216">
            <v>0</v>
          </cell>
          <cell r="E2216">
            <v>0</v>
          </cell>
          <cell r="F2216">
            <v>0</v>
          </cell>
          <cell r="G2216">
            <v>0</v>
          </cell>
          <cell r="H2216">
            <v>0</v>
          </cell>
          <cell r="I2216">
            <v>0</v>
          </cell>
          <cell r="J2216">
            <v>0</v>
          </cell>
        </row>
        <row r="2217">
          <cell r="B2217" t="str">
            <v>5.2.02.17</v>
          </cell>
          <cell r="C2217" t="str">
            <v>Belanja Modal Peralatan Proses/Produksi</v>
          </cell>
          <cell r="D2217">
            <v>0</v>
          </cell>
          <cell r="E2217">
            <v>0</v>
          </cell>
          <cell r="F2217"/>
          <cell r="G2217"/>
          <cell r="H2217"/>
          <cell r="I2217"/>
          <cell r="J2217">
            <v>0</v>
          </cell>
        </row>
        <row r="2218">
          <cell r="B2218" t="str">
            <v>5.2.02.17.01</v>
          </cell>
          <cell r="C2218" t="str">
            <v>Belanja Modal Unit Peralatan Proses/Produksi</v>
          </cell>
          <cell r="D2218">
            <v>0</v>
          </cell>
          <cell r="E2218">
            <v>0</v>
          </cell>
          <cell r="F2218">
            <v>0</v>
          </cell>
          <cell r="G2218">
            <v>0</v>
          </cell>
          <cell r="H2218">
            <v>0</v>
          </cell>
          <cell r="I2218">
            <v>0</v>
          </cell>
          <cell r="J2218">
            <v>0</v>
          </cell>
        </row>
        <row r="2219">
          <cell r="B2219" t="str">
            <v>5.2.02.18</v>
          </cell>
          <cell r="C2219" t="str">
            <v>Belanja Modal Rambu-Rambu</v>
          </cell>
          <cell r="D2219">
            <v>866088000</v>
          </cell>
          <cell r="E2219">
            <v>601696000</v>
          </cell>
          <cell r="F2219"/>
          <cell r="G2219"/>
          <cell r="H2219"/>
          <cell r="I2219"/>
          <cell r="J2219">
            <v>601696000</v>
          </cell>
        </row>
        <row r="2220">
          <cell r="B2220" t="str">
            <v>5.2.02.18.01</v>
          </cell>
          <cell r="C2220" t="str">
            <v>Belanja Modal Rambu-Rambu Lalu Lintas Darat</v>
          </cell>
          <cell r="D2220">
            <v>866088000</v>
          </cell>
          <cell r="E2220">
            <v>601696000</v>
          </cell>
          <cell r="F2220">
            <v>0</v>
          </cell>
          <cell r="G2220">
            <v>0</v>
          </cell>
          <cell r="H2220">
            <v>0</v>
          </cell>
          <cell r="I2220">
            <v>0</v>
          </cell>
          <cell r="J2220">
            <v>601696000</v>
          </cell>
        </row>
        <row r="2221">
          <cell r="B2221" t="str">
            <v>5.2.02.18.02</v>
          </cell>
          <cell r="C2221" t="str">
            <v>Belanja Modal Rambu-Rambu Lalu Lintas Udara</v>
          </cell>
          <cell r="D2221">
            <v>0</v>
          </cell>
          <cell r="E2221">
            <v>0</v>
          </cell>
          <cell r="F2221">
            <v>0</v>
          </cell>
          <cell r="G2221">
            <v>0</v>
          </cell>
          <cell r="H2221">
            <v>0</v>
          </cell>
          <cell r="I2221">
            <v>0</v>
          </cell>
          <cell r="J2221">
            <v>0</v>
          </cell>
        </row>
        <row r="2222">
          <cell r="B2222" t="str">
            <v>5.2.02.18.03</v>
          </cell>
          <cell r="C2222" t="str">
            <v>Belanja Modal Rambu-Rambu Lalu Lintas Laut</v>
          </cell>
          <cell r="D2222">
            <v>0</v>
          </cell>
          <cell r="E2222">
            <v>0</v>
          </cell>
          <cell r="F2222">
            <v>0</v>
          </cell>
          <cell r="G2222">
            <v>0</v>
          </cell>
          <cell r="H2222">
            <v>0</v>
          </cell>
          <cell r="I2222">
            <v>0</v>
          </cell>
          <cell r="J2222">
            <v>0</v>
          </cell>
        </row>
        <row r="2223">
          <cell r="B2223" t="str">
            <v>5.2.02.19</v>
          </cell>
          <cell r="C2223" t="str">
            <v>Belanja Modal Peralatan Olahraga</v>
          </cell>
          <cell r="D2223">
            <v>109200000</v>
          </cell>
          <cell r="E2223">
            <v>235231000</v>
          </cell>
          <cell r="F2223"/>
          <cell r="G2223"/>
          <cell r="H2223"/>
          <cell r="I2223"/>
          <cell r="J2223">
            <v>235231000</v>
          </cell>
        </row>
        <row r="2224">
          <cell r="B2224" t="str">
            <v>5.2.02.19.01</v>
          </cell>
          <cell r="C2224" t="str">
            <v>Belanja Modal Peralatan Olahraga</v>
          </cell>
          <cell r="D2224">
            <v>109200000</v>
          </cell>
          <cell r="E2224">
            <v>235231000</v>
          </cell>
          <cell r="F2224">
            <v>0</v>
          </cell>
          <cell r="G2224">
            <v>0</v>
          </cell>
          <cell r="H2224">
            <v>0</v>
          </cell>
          <cell r="I2224">
            <v>0</v>
          </cell>
          <cell r="J2224">
            <v>235231000</v>
          </cell>
        </row>
        <row r="2225">
          <cell r="B2225" t="str">
            <v>5.2.02.88</v>
          </cell>
          <cell r="C2225" t="str">
            <v>Belanja Modal Peralatan dan Mesin BOS</v>
          </cell>
          <cell r="D2225">
            <v>3904790036</v>
          </cell>
          <cell r="E2225">
            <v>0</v>
          </cell>
          <cell r="F2225"/>
          <cell r="G2225"/>
          <cell r="H2225"/>
          <cell r="I2225"/>
          <cell r="J2225">
            <v>0</v>
          </cell>
        </row>
        <row r="2226">
          <cell r="B2226" t="str">
            <v>5.2.02.88.88</v>
          </cell>
          <cell r="C2226" t="str">
            <v>Belanja Modal Peralatan dan Mesin BOS</v>
          </cell>
          <cell r="D2226">
            <v>3904790036</v>
          </cell>
          <cell r="E2226">
            <v>0</v>
          </cell>
          <cell r="F2226">
            <v>0</v>
          </cell>
          <cell r="G2226">
            <v>0</v>
          </cell>
          <cell r="H2226">
            <v>0</v>
          </cell>
          <cell r="I2226">
            <v>0</v>
          </cell>
          <cell r="J2226">
            <v>0</v>
          </cell>
        </row>
        <row r="2227">
          <cell r="B2227" t="str">
            <v>5.2.02.89</v>
          </cell>
          <cell r="C2227" t="str">
            <v>Belanja Modal Peralatan dan Mesin BOSP</v>
          </cell>
          <cell r="D2227">
            <v>0</v>
          </cell>
          <cell r="E2227">
            <v>4218006970</v>
          </cell>
          <cell r="F2227"/>
          <cell r="G2227"/>
          <cell r="H2227"/>
          <cell r="I2227"/>
          <cell r="J2227">
            <v>4218006970</v>
          </cell>
        </row>
        <row r="2228">
          <cell r="B2228" t="str">
            <v>5.2.02.89.01</v>
          </cell>
          <cell r="C2228" t="str">
            <v>Belanja Modal Peralatan dan Mesin BOSP-BOS</v>
          </cell>
          <cell r="D2228">
            <v>0</v>
          </cell>
          <cell r="E2228">
            <v>3900845045</v>
          </cell>
          <cell r="F2228">
            <v>0</v>
          </cell>
          <cell r="G2228">
            <v>0</v>
          </cell>
          <cell r="H2228">
            <v>0</v>
          </cell>
          <cell r="I2228">
            <v>0</v>
          </cell>
          <cell r="J2228">
            <v>3900845045</v>
          </cell>
        </row>
        <row r="2229">
          <cell r="B2229" t="str">
            <v>5.2.02.89.02</v>
          </cell>
          <cell r="C2229" t="str">
            <v>Belanja Modal Peralatan dan Mesin BOSP-BOP PAUD</v>
          </cell>
          <cell r="D2229">
            <v>0</v>
          </cell>
          <cell r="E2229">
            <v>265961925</v>
          </cell>
          <cell r="F2229">
            <v>0</v>
          </cell>
          <cell r="G2229">
            <v>0</v>
          </cell>
          <cell r="H2229">
            <v>0</v>
          </cell>
          <cell r="I2229">
            <v>0</v>
          </cell>
          <cell r="J2229">
            <v>265961925</v>
          </cell>
        </row>
        <row r="2230">
          <cell r="B2230" t="str">
            <v>5.2.02.89.03</v>
          </cell>
          <cell r="C2230" t="str">
            <v>Belanja Modal Peralatan dan Mesin BOSP-BOP Kesetaraan</v>
          </cell>
          <cell r="D2230">
            <v>0</v>
          </cell>
          <cell r="E2230">
            <v>51200000</v>
          </cell>
          <cell r="F2230">
            <v>0</v>
          </cell>
          <cell r="G2230">
            <v>0</v>
          </cell>
          <cell r="H2230">
            <v>0</v>
          </cell>
          <cell r="I2230">
            <v>0</v>
          </cell>
          <cell r="J2230">
            <v>51200000</v>
          </cell>
        </row>
        <row r="2231">
          <cell r="B2231" t="str">
            <v>5.2.02.99</v>
          </cell>
          <cell r="C2231" t="str">
            <v>Belanja Modal Peralatan dan Mesin BLUD</v>
          </cell>
          <cell r="D2231">
            <v>2130347862</v>
          </cell>
          <cell r="E2231">
            <v>2249168726</v>
          </cell>
          <cell r="F2231"/>
          <cell r="G2231"/>
          <cell r="H2231"/>
          <cell r="I2231"/>
          <cell r="J2231">
            <v>2249168726</v>
          </cell>
        </row>
        <row r="2232">
          <cell r="B2232" t="str">
            <v>5.2.02.99.99</v>
          </cell>
          <cell r="C2232" t="str">
            <v>Belanja Modal Peralatan dan Mesin BLUD</v>
          </cell>
          <cell r="D2232">
            <v>2130347862</v>
          </cell>
          <cell r="E2232">
            <v>2249168726</v>
          </cell>
          <cell r="F2232">
            <v>0</v>
          </cell>
          <cell r="G2232">
            <v>0</v>
          </cell>
          <cell r="H2232">
            <v>0</v>
          </cell>
          <cell r="I2232">
            <v>0</v>
          </cell>
          <cell r="J2232">
            <v>2249168726</v>
          </cell>
        </row>
        <row r="2233">
          <cell r="B2233"/>
          <cell r="C2233"/>
          <cell r="D2233"/>
          <cell r="E2233"/>
          <cell r="F2233"/>
          <cell r="G2233"/>
          <cell r="H2233"/>
          <cell r="I2233"/>
          <cell r="J2233"/>
        </row>
        <row r="2234">
          <cell r="B2234" t="str">
            <v>5.2.03</v>
          </cell>
          <cell r="C2234" t="str">
            <v>Belanja Modal Gedung dan Bangunan</v>
          </cell>
          <cell r="D2234">
            <v>138034850857</v>
          </cell>
          <cell r="E2234">
            <v>117608552753</v>
          </cell>
          <cell r="F2234"/>
          <cell r="G2234"/>
          <cell r="H2234"/>
          <cell r="I2234"/>
          <cell r="J2234">
            <v>117608552753</v>
          </cell>
        </row>
        <row r="2235">
          <cell r="B2235" t="str">
            <v>5.2.03.01</v>
          </cell>
          <cell r="C2235" t="str">
            <v>Belanja Modal Bangunan Gedung</v>
          </cell>
          <cell r="D2235">
            <v>131368434273</v>
          </cell>
          <cell r="E2235">
            <v>110319004542</v>
          </cell>
          <cell r="F2235"/>
          <cell r="G2235"/>
          <cell r="H2235"/>
          <cell r="I2235"/>
          <cell r="J2235">
            <v>110319004542</v>
          </cell>
        </row>
        <row r="2236">
          <cell r="B2236" t="str">
            <v>5.2.03.01.01</v>
          </cell>
          <cell r="C2236" t="str">
            <v>Belanja Modal Bangunan Gedung Tempat Kerja</v>
          </cell>
          <cell r="D2236">
            <v>130341433400</v>
          </cell>
          <cell r="E2236">
            <v>107949860916</v>
          </cell>
          <cell r="F2236">
            <v>0</v>
          </cell>
          <cell r="G2236">
            <v>0</v>
          </cell>
          <cell r="H2236">
            <v>0</v>
          </cell>
          <cell r="I2236">
            <v>0</v>
          </cell>
          <cell r="J2236">
            <v>107949860916</v>
          </cell>
        </row>
        <row r="2237">
          <cell r="B2237" t="str">
            <v>5.2.03.01.02</v>
          </cell>
          <cell r="C2237" t="str">
            <v>Belanja Modal Bangunan Gedung Tempat Tinggal</v>
          </cell>
          <cell r="D2237">
            <v>1027000873</v>
          </cell>
          <cell r="E2237">
            <v>2369143626</v>
          </cell>
          <cell r="F2237">
            <v>0</v>
          </cell>
          <cell r="G2237">
            <v>0</v>
          </cell>
          <cell r="H2237">
            <v>0</v>
          </cell>
          <cell r="I2237">
            <v>0</v>
          </cell>
          <cell r="J2237">
            <v>2369143626</v>
          </cell>
        </row>
        <row r="2238">
          <cell r="B2238" t="str">
            <v>5.2.03.02</v>
          </cell>
          <cell r="C2238" t="str">
            <v>Belanja Modal Monumen</v>
          </cell>
          <cell r="D2238">
            <v>0</v>
          </cell>
          <cell r="E2238">
            <v>0</v>
          </cell>
          <cell r="F2238"/>
          <cell r="G2238"/>
          <cell r="H2238"/>
          <cell r="I2238"/>
          <cell r="J2238">
            <v>0</v>
          </cell>
        </row>
        <row r="2239">
          <cell r="B2239" t="str">
            <v>5.2.03.02.01</v>
          </cell>
          <cell r="C2239" t="str">
            <v>Belanja Modal Candi/Tugu Peringatan/Prasasti</v>
          </cell>
          <cell r="D2239">
            <v>0</v>
          </cell>
          <cell r="E2239">
            <v>0</v>
          </cell>
          <cell r="F2239">
            <v>0</v>
          </cell>
          <cell r="G2239">
            <v>0</v>
          </cell>
          <cell r="H2239">
            <v>0</v>
          </cell>
          <cell r="I2239">
            <v>0</v>
          </cell>
          <cell r="J2239">
            <v>0</v>
          </cell>
        </row>
        <row r="2240">
          <cell r="B2240" t="str">
            <v>5.2.03.03</v>
          </cell>
          <cell r="C2240" t="str">
            <v>Belanja Modal Bangunan Menara</v>
          </cell>
          <cell r="D2240">
            <v>0</v>
          </cell>
          <cell r="E2240">
            <v>0</v>
          </cell>
          <cell r="F2240"/>
          <cell r="G2240"/>
          <cell r="H2240"/>
          <cell r="I2240"/>
          <cell r="J2240">
            <v>0</v>
          </cell>
        </row>
        <row r="2241">
          <cell r="B2241" t="str">
            <v>5.2.03.03.01</v>
          </cell>
          <cell r="C2241" t="str">
            <v>Belanja Modal Bangunan Menara Perambuan</v>
          </cell>
          <cell r="D2241">
            <v>0</v>
          </cell>
          <cell r="E2241">
            <v>0</v>
          </cell>
          <cell r="F2241">
            <v>0</v>
          </cell>
          <cell r="G2241">
            <v>0</v>
          </cell>
          <cell r="H2241">
            <v>0</v>
          </cell>
          <cell r="I2241">
            <v>0</v>
          </cell>
          <cell r="J2241">
            <v>0</v>
          </cell>
        </row>
        <row r="2242">
          <cell r="B2242" t="str">
            <v>5.2.03.04</v>
          </cell>
          <cell r="C2242" t="str">
            <v>Belanja Modal Tugu Titik Kontrol/Pasti</v>
          </cell>
          <cell r="D2242">
            <v>6381416584</v>
          </cell>
          <cell r="E2242">
            <v>6388579017</v>
          </cell>
          <cell r="F2242"/>
          <cell r="G2242"/>
          <cell r="H2242"/>
          <cell r="I2242"/>
          <cell r="J2242">
            <v>6388579017</v>
          </cell>
        </row>
        <row r="2243">
          <cell r="B2243" t="str">
            <v>5.2.03.04.01</v>
          </cell>
          <cell r="C2243" t="str">
            <v>Belanja Modal Tugu/Tanda Batas</v>
          </cell>
          <cell r="D2243">
            <v>6381416584</v>
          </cell>
          <cell r="E2243">
            <v>6388579017</v>
          </cell>
          <cell r="F2243">
            <v>0</v>
          </cell>
          <cell r="G2243">
            <v>0</v>
          </cell>
          <cell r="H2243">
            <v>0</v>
          </cell>
          <cell r="I2243">
            <v>0</v>
          </cell>
          <cell r="J2243">
            <v>6388579017</v>
          </cell>
        </row>
        <row r="2244">
          <cell r="B2244" t="str">
            <v>5.2.03.99</v>
          </cell>
          <cell r="C2244" t="str">
            <v>Belanja Modal Gedung dan Bangunan BLUD</v>
          </cell>
          <cell r="D2244">
            <v>285000000</v>
          </cell>
          <cell r="E2244">
            <v>900969194</v>
          </cell>
          <cell r="F2244"/>
          <cell r="G2244"/>
          <cell r="H2244"/>
          <cell r="I2244"/>
          <cell r="J2244">
            <v>900969194</v>
          </cell>
        </row>
        <row r="2245">
          <cell r="B2245" t="str">
            <v>5.2.03.99.99</v>
          </cell>
          <cell r="C2245" t="str">
            <v>Belanja Modal Gedung dan Bangunan BLUD</v>
          </cell>
          <cell r="D2245">
            <v>285000000</v>
          </cell>
          <cell r="E2245">
            <v>900969194</v>
          </cell>
          <cell r="F2245">
            <v>0</v>
          </cell>
          <cell r="G2245">
            <v>0</v>
          </cell>
          <cell r="H2245">
            <v>0</v>
          </cell>
          <cell r="I2245">
            <v>0</v>
          </cell>
          <cell r="J2245">
            <v>900969194</v>
          </cell>
        </row>
        <row r="2246">
          <cell r="B2246"/>
          <cell r="C2246"/>
          <cell r="D2246"/>
          <cell r="E2246"/>
          <cell r="F2246"/>
          <cell r="G2246"/>
          <cell r="H2246"/>
          <cell r="I2246"/>
          <cell r="J2246"/>
        </row>
        <row r="2247">
          <cell r="B2247" t="str">
            <v>5.2.04</v>
          </cell>
          <cell r="C2247" t="str">
            <v>Belanja Modal Jalan, Jaringan, dan Irigasi</v>
          </cell>
          <cell r="D2247">
            <v>380208673163</v>
          </cell>
          <cell r="E2247">
            <v>317616860031</v>
          </cell>
          <cell r="F2247"/>
          <cell r="G2247"/>
          <cell r="H2247"/>
          <cell r="I2247"/>
          <cell r="J2247">
            <v>317616860031</v>
          </cell>
        </row>
        <row r="2248">
          <cell r="B2248" t="str">
            <v>5.2.04.01</v>
          </cell>
          <cell r="C2248" t="str">
            <v>Belanja Modal Jalan dan Jembatan</v>
          </cell>
          <cell r="D2248">
            <v>283535866585</v>
          </cell>
          <cell r="E2248">
            <v>226378027822</v>
          </cell>
          <cell r="F2248"/>
          <cell r="G2248"/>
          <cell r="H2248"/>
          <cell r="I2248"/>
          <cell r="J2248">
            <v>226378027822</v>
          </cell>
        </row>
        <row r="2249">
          <cell r="B2249" t="str">
            <v>5.2.04.01.01</v>
          </cell>
          <cell r="C2249" t="str">
            <v>Belanja Modal Jalan</v>
          </cell>
          <cell r="D2249">
            <v>275058523635</v>
          </cell>
          <cell r="E2249">
            <v>214945915772</v>
          </cell>
          <cell r="F2249">
            <v>0</v>
          </cell>
          <cell r="G2249">
            <v>0</v>
          </cell>
          <cell r="H2249">
            <v>0</v>
          </cell>
          <cell r="I2249">
            <v>0</v>
          </cell>
          <cell r="J2249">
            <v>214945915772</v>
          </cell>
        </row>
        <row r="2250">
          <cell r="B2250" t="str">
            <v>5.2.04.01.02</v>
          </cell>
          <cell r="C2250" t="str">
            <v>Belanja Modal Jembatan</v>
          </cell>
          <cell r="D2250">
            <v>8477342950</v>
          </cell>
          <cell r="E2250">
            <v>11432112050</v>
          </cell>
          <cell r="F2250">
            <v>0</v>
          </cell>
          <cell r="G2250">
            <v>0</v>
          </cell>
          <cell r="H2250">
            <v>0</v>
          </cell>
          <cell r="I2250">
            <v>0</v>
          </cell>
          <cell r="J2250">
            <v>11432112050</v>
          </cell>
        </row>
        <row r="2251">
          <cell r="B2251" t="str">
            <v>5.2.04.02</v>
          </cell>
          <cell r="C2251" t="str">
            <v>Belanja Modal Bangunan Air</v>
          </cell>
          <cell r="D2251">
            <v>46200671426</v>
          </cell>
          <cell r="E2251">
            <v>72506182035</v>
          </cell>
          <cell r="F2251"/>
          <cell r="G2251"/>
          <cell r="H2251"/>
          <cell r="I2251"/>
          <cell r="J2251">
            <v>72506182035</v>
          </cell>
        </row>
        <row r="2252">
          <cell r="B2252" t="str">
            <v>5.2.04.02.01</v>
          </cell>
          <cell r="C2252" t="str">
            <v>Belanja Modal Bangunan Air Irigasi</v>
          </cell>
          <cell r="D2252">
            <v>16298596150</v>
          </cell>
          <cell r="E2252">
            <v>20551213600</v>
          </cell>
          <cell r="F2252">
            <v>0</v>
          </cell>
          <cell r="G2252">
            <v>0</v>
          </cell>
          <cell r="H2252">
            <v>0</v>
          </cell>
          <cell r="I2252">
            <v>0</v>
          </cell>
          <cell r="J2252">
            <v>20551213600</v>
          </cell>
        </row>
        <row r="2253">
          <cell r="B2253" t="str">
            <v>5.2.04.02.02</v>
          </cell>
          <cell r="C2253" t="str">
            <v>Belanja Modal Bangunan Pengairan Pasang Surut</v>
          </cell>
          <cell r="D2253">
            <v>0</v>
          </cell>
          <cell r="E2253">
            <v>0</v>
          </cell>
          <cell r="F2253">
            <v>0</v>
          </cell>
          <cell r="G2253">
            <v>0</v>
          </cell>
          <cell r="H2253">
            <v>0</v>
          </cell>
          <cell r="I2253">
            <v>0</v>
          </cell>
          <cell r="J2253">
            <v>0</v>
          </cell>
        </row>
        <row r="2254">
          <cell r="B2254" t="str">
            <v>5.2.04.02.03</v>
          </cell>
          <cell r="C2254" t="str">
            <v>Belanja Modal Bangunan Pengembangan Rawa dan Polder</v>
          </cell>
          <cell r="D2254">
            <v>0</v>
          </cell>
          <cell r="E2254">
            <v>0</v>
          </cell>
          <cell r="F2254">
            <v>0</v>
          </cell>
          <cell r="G2254">
            <v>0</v>
          </cell>
          <cell r="H2254">
            <v>0</v>
          </cell>
          <cell r="I2254">
            <v>0</v>
          </cell>
          <cell r="J2254">
            <v>0</v>
          </cell>
        </row>
        <row r="2255">
          <cell r="B2255" t="str">
            <v>5.2.04.02.04</v>
          </cell>
          <cell r="C2255" t="str">
            <v>Belanja Modal Bangunan Pengaman Sungai/Pantai dan Penanggulangan Bencana Alam</v>
          </cell>
          <cell r="D2255">
            <v>23579319676</v>
          </cell>
          <cell r="E2255">
            <v>39354137224</v>
          </cell>
          <cell r="F2255">
            <v>0</v>
          </cell>
          <cell r="G2255">
            <v>0</v>
          </cell>
          <cell r="H2255">
            <v>0</v>
          </cell>
          <cell r="I2255">
            <v>0</v>
          </cell>
          <cell r="J2255">
            <v>39354137224</v>
          </cell>
        </row>
        <row r="2256">
          <cell r="B2256" t="str">
            <v>5.2.04.02.05</v>
          </cell>
          <cell r="C2256" t="str">
            <v>Belanja Modal Bangunan Pengembangan Sumber Air dan Air Tanah</v>
          </cell>
          <cell r="D2256">
            <v>0</v>
          </cell>
          <cell r="E2256">
            <v>0</v>
          </cell>
          <cell r="F2256">
            <v>0</v>
          </cell>
          <cell r="G2256">
            <v>0</v>
          </cell>
          <cell r="H2256">
            <v>0</v>
          </cell>
          <cell r="I2256">
            <v>0</v>
          </cell>
          <cell r="J2256">
            <v>0</v>
          </cell>
        </row>
        <row r="2257">
          <cell r="B2257" t="str">
            <v>5.2.04.02.06</v>
          </cell>
          <cell r="C2257" t="str">
            <v>Belanja Modal Bangunan Air Bersih/Air Baku</v>
          </cell>
          <cell r="D2257">
            <v>1508840100</v>
          </cell>
          <cell r="E2257">
            <v>2133634611</v>
          </cell>
          <cell r="F2257">
            <v>0</v>
          </cell>
          <cell r="G2257">
            <v>0</v>
          </cell>
          <cell r="H2257">
            <v>0</v>
          </cell>
          <cell r="I2257">
            <v>0</v>
          </cell>
          <cell r="J2257">
            <v>2133634611</v>
          </cell>
        </row>
        <row r="2258">
          <cell r="B2258" t="str">
            <v>5.2.04.02.07</v>
          </cell>
          <cell r="C2258" t="str">
            <v>Belanja Modal Bangunan Air Kotor</v>
          </cell>
          <cell r="D2258">
            <v>4813915500</v>
          </cell>
          <cell r="E2258">
            <v>10467196600</v>
          </cell>
          <cell r="F2258">
            <v>0</v>
          </cell>
          <cell r="G2258">
            <v>0</v>
          </cell>
          <cell r="H2258">
            <v>0</v>
          </cell>
          <cell r="I2258">
            <v>0</v>
          </cell>
          <cell r="J2258">
            <v>10467196600</v>
          </cell>
        </row>
        <row r="2259">
          <cell r="B2259" t="str">
            <v>5.2.04.03</v>
          </cell>
          <cell r="C2259" t="str">
            <v>Belanja Modal Instalasi</v>
          </cell>
          <cell r="D2259">
            <v>24703670852</v>
          </cell>
          <cell r="E2259">
            <v>6915787011</v>
          </cell>
          <cell r="F2259"/>
          <cell r="G2259"/>
          <cell r="H2259"/>
          <cell r="I2259"/>
          <cell r="J2259">
            <v>6915787011</v>
          </cell>
        </row>
        <row r="2260">
          <cell r="B2260" t="str">
            <v>5.2.04.03.01</v>
          </cell>
          <cell r="C2260" t="str">
            <v>Belanja Modal Instalasi Air Bersih/Air Baku</v>
          </cell>
          <cell r="D2260">
            <v>10617616089</v>
          </cell>
          <cell r="E2260">
            <v>6766339011</v>
          </cell>
          <cell r="F2260">
            <v>0</v>
          </cell>
          <cell r="G2260">
            <v>0</v>
          </cell>
          <cell r="H2260">
            <v>0</v>
          </cell>
          <cell r="I2260">
            <v>0</v>
          </cell>
          <cell r="J2260">
            <v>6766339011</v>
          </cell>
        </row>
        <row r="2261">
          <cell r="B2261" t="str">
            <v>5.2.04.03.02</v>
          </cell>
          <cell r="C2261" t="str">
            <v>Belanja Modal Instalasi Air Kotor</v>
          </cell>
          <cell r="D2261">
            <v>9406004763</v>
          </cell>
          <cell r="E2261">
            <v>0</v>
          </cell>
          <cell r="F2261">
            <v>0</v>
          </cell>
          <cell r="G2261">
            <v>0</v>
          </cell>
          <cell r="H2261">
            <v>0</v>
          </cell>
          <cell r="I2261">
            <v>0</v>
          </cell>
          <cell r="J2261">
            <v>0</v>
          </cell>
        </row>
        <row r="2262">
          <cell r="B2262" t="str">
            <v>5.2.04.03.03</v>
          </cell>
          <cell r="C2262" t="str">
            <v>Belanja Modal Instalasi Pengolahan Sampah</v>
          </cell>
          <cell r="D2262">
            <v>0</v>
          </cell>
          <cell r="E2262">
            <v>0</v>
          </cell>
          <cell r="F2262">
            <v>0</v>
          </cell>
          <cell r="G2262">
            <v>0</v>
          </cell>
          <cell r="H2262">
            <v>0</v>
          </cell>
          <cell r="I2262">
            <v>0</v>
          </cell>
          <cell r="J2262">
            <v>0</v>
          </cell>
        </row>
        <row r="2263">
          <cell r="B2263" t="str">
            <v>5.2.04.03.04</v>
          </cell>
          <cell r="C2263" t="str">
            <v>Belanja Modal Instalasi Pengolahan Bahan Bangunan</v>
          </cell>
          <cell r="D2263">
            <v>0</v>
          </cell>
          <cell r="E2263">
            <v>0</v>
          </cell>
          <cell r="F2263">
            <v>0</v>
          </cell>
          <cell r="G2263">
            <v>0</v>
          </cell>
          <cell r="H2263">
            <v>0</v>
          </cell>
          <cell r="I2263">
            <v>0</v>
          </cell>
          <cell r="J2263">
            <v>0</v>
          </cell>
        </row>
        <row r="2264">
          <cell r="B2264" t="str">
            <v>5.2.04.03.05</v>
          </cell>
          <cell r="C2264" t="str">
            <v>Belanja Modal Instalasi Pembangkit Listrik</v>
          </cell>
          <cell r="D2264">
            <v>3908000000</v>
          </cell>
          <cell r="E2264">
            <v>0</v>
          </cell>
          <cell r="F2264">
            <v>0</v>
          </cell>
          <cell r="G2264">
            <v>0</v>
          </cell>
          <cell r="H2264">
            <v>0</v>
          </cell>
          <cell r="I2264">
            <v>0</v>
          </cell>
          <cell r="J2264">
            <v>0</v>
          </cell>
        </row>
        <row r="2265">
          <cell r="B2265" t="str">
            <v>5.2.04.03.06</v>
          </cell>
          <cell r="C2265" t="str">
            <v>Belanja Modal Instalasi Gardu Listrik</v>
          </cell>
          <cell r="D2265">
            <v>772050000</v>
          </cell>
          <cell r="E2265">
            <v>0</v>
          </cell>
          <cell r="F2265">
            <v>0</v>
          </cell>
          <cell r="G2265">
            <v>0</v>
          </cell>
          <cell r="H2265">
            <v>0</v>
          </cell>
          <cell r="I2265">
            <v>0</v>
          </cell>
          <cell r="J2265">
            <v>0</v>
          </cell>
        </row>
        <row r="2266">
          <cell r="B2266" t="str">
            <v>5.2.04.03.07</v>
          </cell>
          <cell r="C2266" t="str">
            <v>Belanja Modal Instalasi Pertahanan</v>
          </cell>
          <cell r="D2266">
            <v>0</v>
          </cell>
          <cell r="E2266">
            <v>0</v>
          </cell>
          <cell r="F2266">
            <v>0</v>
          </cell>
          <cell r="G2266">
            <v>0</v>
          </cell>
          <cell r="H2266">
            <v>0</v>
          </cell>
          <cell r="I2266">
            <v>0</v>
          </cell>
          <cell r="J2266">
            <v>0</v>
          </cell>
        </row>
        <row r="2267">
          <cell r="B2267" t="str">
            <v>5.2.04.03.08</v>
          </cell>
          <cell r="C2267" t="str">
            <v>Belanja Modal Instalasi Gas</v>
          </cell>
          <cell r="D2267">
            <v>0</v>
          </cell>
          <cell r="E2267">
            <v>0</v>
          </cell>
          <cell r="F2267">
            <v>0</v>
          </cell>
          <cell r="G2267">
            <v>0</v>
          </cell>
          <cell r="H2267">
            <v>0</v>
          </cell>
          <cell r="I2267">
            <v>0</v>
          </cell>
          <cell r="J2267">
            <v>0</v>
          </cell>
        </row>
        <row r="2268">
          <cell r="B2268" t="str">
            <v>5.2.04.03.09</v>
          </cell>
          <cell r="C2268" t="str">
            <v>Belanja Modal Instalasi Pengaman</v>
          </cell>
          <cell r="D2268">
            <v>0</v>
          </cell>
          <cell r="E2268">
            <v>0</v>
          </cell>
          <cell r="F2268">
            <v>0</v>
          </cell>
          <cell r="G2268">
            <v>0</v>
          </cell>
          <cell r="H2268">
            <v>0</v>
          </cell>
          <cell r="I2268">
            <v>0</v>
          </cell>
          <cell r="J2268">
            <v>0</v>
          </cell>
        </row>
        <row r="2269">
          <cell r="B2269" t="str">
            <v>5.2.04.03.10</v>
          </cell>
          <cell r="C2269" t="str">
            <v>Belanja Modal Instalasi Lain</v>
          </cell>
          <cell r="D2269">
            <v>0</v>
          </cell>
          <cell r="E2269">
            <v>149448000</v>
          </cell>
          <cell r="F2269">
            <v>0</v>
          </cell>
          <cell r="G2269">
            <v>0</v>
          </cell>
          <cell r="H2269">
            <v>0</v>
          </cell>
          <cell r="I2269">
            <v>0</v>
          </cell>
          <cell r="J2269">
            <v>149448000</v>
          </cell>
        </row>
        <row r="2270">
          <cell r="B2270" t="str">
            <v>5.2.04.04</v>
          </cell>
          <cell r="C2270" t="str">
            <v>Belanja Modal Jaringan</v>
          </cell>
          <cell r="D2270">
            <v>25768464300</v>
          </cell>
          <cell r="E2270">
            <v>11788363163</v>
          </cell>
          <cell r="F2270"/>
          <cell r="G2270"/>
          <cell r="H2270"/>
          <cell r="I2270"/>
          <cell r="J2270">
            <v>11788363163</v>
          </cell>
        </row>
        <row r="2271">
          <cell r="B2271" t="str">
            <v>5.2.04.04.01</v>
          </cell>
          <cell r="C2271" t="str">
            <v>Belanja Modal Jaringan Air Minum</v>
          </cell>
          <cell r="D2271">
            <v>0</v>
          </cell>
          <cell r="E2271">
            <v>0</v>
          </cell>
          <cell r="F2271">
            <v>0</v>
          </cell>
          <cell r="G2271">
            <v>0</v>
          </cell>
          <cell r="H2271">
            <v>0</v>
          </cell>
          <cell r="I2271">
            <v>0</v>
          </cell>
          <cell r="J2271">
            <v>0</v>
          </cell>
        </row>
        <row r="2272">
          <cell r="B2272" t="str">
            <v>5.2.04.04.02</v>
          </cell>
          <cell r="C2272" t="str">
            <v>Belanja Modal Jaringan Listrik</v>
          </cell>
          <cell r="D2272">
            <v>25768464300</v>
          </cell>
          <cell r="E2272">
            <v>11788363163</v>
          </cell>
          <cell r="F2272">
            <v>0</v>
          </cell>
          <cell r="G2272">
            <v>0</v>
          </cell>
          <cell r="H2272">
            <v>0</v>
          </cell>
          <cell r="I2272">
            <v>0</v>
          </cell>
          <cell r="J2272">
            <v>11788363163</v>
          </cell>
        </row>
        <row r="2273">
          <cell r="B2273" t="str">
            <v>5.2.04.04.03</v>
          </cell>
          <cell r="C2273" t="str">
            <v>Belanja Modal Jaringan Telepon</v>
          </cell>
          <cell r="D2273">
            <v>0</v>
          </cell>
          <cell r="E2273">
            <v>0</v>
          </cell>
          <cell r="F2273">
            <v>0</v>
          </cell>
          <cell r="G2273">
            <v>0</v>
          </cell>
          <cell r="H2273">
            <v>0</v>
          </cell>
          <cell r="I2273">
            <v>0</v>
          </cell>
          <cell r="J2273">
            <v>0</v>
          </cell>
        </row>
        <row r="2274">
          <cell r="B2274" t="str">
            <v>5.2.04.04.04</v>
          </cell>
          <cell r="C2274" t="str">
            <v>Belanja Modal Jaringan Gas</v>
          </cell>
          <cell r="D2274">
            <v>0</v>
          </cell>
          <cell r="E2274">
            <v>0</v>
          </cell>
          <cell r="F2274">
            <v>0</v>
          </cell>
          <cell r="G2274">
            <v>0</v>
          </cell>
          <cell r="H2274">
            <v>0</v>
          </cell>
          <cell r="I2274">
            <v>0</v>
          </cell>
          <cell r="J2274">
            <v>0</v>
          </cell>
        </row>
        <row r="2275">
          <cell r="B2275" t="str">
            <v>5.2.04.99</v>
          </cell>
          <cell r="C2275" t="str">
            <v>Belanja Modal Jalan, Jaringan, dan Irigasi BLUD</v>
          </cell>
          <cell r="D2275">
            <v>0</v>
          </cell>
          <cell r="E2275">
            <v>28500000</v>
          </cell>
          <cell r="F2275"/>
          <cell r="G2275"/>
          <cell r="H2275"/>
          <cell r="I2275"/>
          <cell r="J2275">
            <v>28500000</v>
          </cell>
        </row>
        <row r="2276">
          <cell r="B2276" t="str">
            <v>5.2.04.99.99</v>
          </cell>
          <cell r="C2276" t="str">
            <v>Belanja Modal Jalan, Jaringan, dan Irigasi BLUD</v>
          </cell>
          <cell r="D2276">
            <v>0</v>
          </cell>
          <cell r="E2276">
            <v>28500000</v>
          </cell>
          <cell r="F2276">
            <v>0</v>
          </cell>
          <cell r="G2276">
            <v>0</v>
          </cell>
          <cell r="H2276">
            <v>0</v>
          </cell>
          <cell r="I2276">
            <v>0</v>
          </cell>
          <cell r="J2276">
            <v>28500000</v>
          </cell>
        </row>
        <row r="2277">
          <cell r="B2277"/>
          <cell r="C2277"/>
          <cell r="D2277"/>
          <cell r="E2277"/>
          <cell r="F2277"/>
          <cell r="G2277"/>
          <cell r="H2277"/>
          <cell r="I2277"/>
          <cell r="J2277"/>
        </row>
        <row r="2278">
          <cell r="B2278" t="str">
            <v>5.2.05</v>
          </cell>
          <cell r="C2278" t="str">
            <v>Belanja Modal Aset Tetap Lainnya</v>
          </cell>
          <cell r="D2278">
            <v>4224281790</v>
          </cell>
          <cell r="E2278">
            <v>4206116502</v>
          </cell>
          <cell r="F2278"/>
          <cell r="G2278"/>
          <cell r="H2278"/>
          <cell r="I2278"/>
          <cell r="J2278">
            <v>4206116502</v>
          </cell>
        </row>
        <row r="2279">
          <cell r="B2279" t="str">
            <v>5.2.05.01</v>
          </cell>
          <cell r="C2279" t="str">
            <v>Belanja Modal Bahan Perpustakaan</v>
          </cell>
          <cell r="D2279">
            <v>1745771640</v>
          </cell>
          <cell r="E2279">
            <v>1592782200</v>
          </cell>
          <cell r="F2279"/>
          <cell r="G2279"/>
          <cell r="H2279"/>
          <cell r="I2279"/>
          <cell r="J2279">
            <v>1592782200</v>
          </cell>
        </row>
        <row r="2280">
          <cell r="B2280" t="str">
            <v>5.2.05.01.01</v>
          </cell>
          <cell r="C2280" t="str">
            <v>Belanja Modal Bahan Perpustakaan Tercetak</v>
          </cell>
          <cell r="D2280">
            <v>1745771640</v>
          </cell>
          <cell r="E2280">
            <v>1592782200</v>
          </cell>
          <cell r="F2280">
            <v>0</v>
          </cell>
          <cell r="G2280">
            <v>0</v>
          </cell>
          <cell r="H2280">
            <v>0</v>
          </cell>
          <cell r="I2280">
            <v>0</v>
          </cell>
          <cell r="J2280">
            <v>1592782200</v>
          </cell>
        </row>
        <row r="2281">
          <cell r="B2281" t="str">
            <v>5.2.05.01.02</v>
          </cell>
          <cell r="C2281" t="str">
            <v>Belanja Modal Bahan Perpustakaan Terekam dan Bentuk Mikro</v>
          </cell>
          <cell r="D2281">
            <v>0</v>
          </cell>
          <cell r="E2281">
            <v>0</v>
          </cell>
          <cell r="F2281">
            <v>0</v>
          </cell>
          <cell r="G2281">
            <v>0</v>
          </cell>
          <cell r="H2281">
            <v>0</v>
          </cell>
          <cell r="I2281">
            <v>0</v>
          </cell>
          <cell r="J2281">
            <v>0</v>
          </cell>
        </row>
        <row r="2282">
          <cell r="B2282" t="str">
            <v>5.2.05.01.03</v>
          </cell>
          <cell r="C2282" t="str">
            <v>Belanja Modal Kartografi, Naskah, dan Lukisan</v>
          </cell>
          <cell r="D2282">
            <v>0</v>
          </cell>
          <cell r="E2282">
            <v>0</v>
          </cell>
          <cell r="F2282">
            <v>0</v>
          </cell>
          <cell r="G2282">
            <v>0</v>
          </cell>
          <cell r="H2282">
            <v>0</v>
          </cell>
          <cell r="I2282">
            <v>0</v>
          </cell>
          <cell r="J2282">
            <v>0</v>
          </cell>
        </row>
        <row r="2283">
          <cell r="B2283" t="str">
            <v>5.2.05.01.04</v>
          </cell>
          <cell r="C2283" t="str">
            <v>Belanja Modal Musik</v>
          </cell>
          <cell r="D2283">
            <v>0</v>
          </cell>
          <cell r="E2283">
            <v>0</v>
          </cell>
          <cell r="F2283">
            <v>0</v>
          </cell>
          <cell r="G2283">
            <v>0</v>
          </cell>
          <cell r="H2283">
            <v>0</v>
          </cell>
          <cell r="I2283">
            <v>0</v>
          </cell>
          <cell r="J2283">
            <v>0</v>
          </cell>
        </row>
        <row r="2284">
          <cell r="B2284" t="str">
            <v>5.2.05.01.05</v>
          </cell>
          <cell r="C2284" t="str">
            <v>Belanja Modal Karya Grafika (Graphic Material)</v>
          </cell>
          <cell r="D2284">
            <v>0</v>
          </cell>
          <cell r="E2284">
            <v>0</v>
          </cell>
          <cell r="F2284">
            <v>0</v>
          </cell>
          <cell r="G2284">
            <v>0</v>
          </cell>
          <cell r="H2284">
            <v>0</v>
          </cell>
          <cell r="I2284">
            <v>0</v>
          </cell>
          <cell r="J2284">
            <v>0</v>
          </cell>
        </row>
        <row r="2285">
          <cell r="B2285" t="str">
            <v>5.2.05.01.06</v>
          </cell>
          <cell r="C2285" t="str">
            <v>Belanja Modal Three Dimensional Artifacts and Realita</v>
          </cell>
          <cell r="D2285">
            <v>0</v>
          </cell>
          <cell r="E2285">
            <v>0</v>
          </cell>
          <cell r="F2285">
            <v>0</v>
          </cell>
          <cell r="G2285">
            <v>0</v>
          </cell>
          <cell r="H2285">
            <v>0</v>
          </cell>
          <cell r="I2285">
            <v>0</v>
          </cell>
          <cell r="J2285">
            <v>0</v>
          </cell>
        </row>
        <row r="2286">
          <cell r="B2286" t="str">
            <v>5.2.05.01.07</v>
          </cell>
          <cell r="C2286" t="str">
            <v>Belanja Modal Tarscalt</v>
          </cell>
          <cell r="D2286">
            <v>0</v>
          </cell>
          <cell r="E2286">
            <v>0</v>
          </cell>
          <cell r="F2286">
            <v>0</v>
          </cell>
          <cell r="G2286">
            <v>0</v>
          </cell>
          <cell r="H2286">
            <v>0</v>
          </cell>
          <cell r="I2286">
            <v>0</v>
          </cell>
          <cell r="J2286">
            <v>0</v>
          </cell>
        </row>
        <row r="2287">
          <cell r="B2287" t="str">
            <v>5.2.05.02</v>
          </cell>
          <cell r="C2287" t="str">
            <v>Belanja Modal Barang Bercorak Kesenian/Kebudayaan/Olahraga</v>
          </cell>
          <cell r="D2287">
            <v>563610000</v>
          </cell>
          <cell r="E2287">
            <v>97680000</v>
          </cell>
          <cell r="F2287"/>
          <cell r="G2287"/>
          <cell r="H2287"/>
          <cell r="I2287"/>
          <cell r="J2287">
            <v>97680000</v>
          </cell>
        </row>
        <row r="2288">
          <cell r="B2288" t="str">
            <v>5.2.05.02.01</v>
          </cell>
          <cell r="C2288" t="str">
            <v>Belanja Modal Barang Bercorak Kesenian</v>
          </cell>
          <cell r="D2288">
            <v>563610000</v>
          </cell>
          <cell r="E2288">
            <v>0</v>
          </cell>
          <cell r="F2288">
            <v>0</v>
          </cell>
          <cell r="G2288">
            <v>0</v>
          </cell>
          <cell r="H2288">
            <v>0</v>
          </cell>
          <cell r="I2288">
            <v>0</v>
          </cell>
          <cell r="J2288">
            <v>0</v>
          </cell>
        </row>
        <row r="2289">
          <cell r="B2289" t="str">
            <v>5.2.05.02.02</v>
          </cell>
          <cell r="C2289" t="str">
            <v>Belanja Modal Alat Bercorak Kebudayaan</v>
          </cell>
          <cell r="D2289">
            <v>0</v>
          </cell>
          <cell r="E2289">
            <v>97680000</v>
          </cell>
          <cell r="F2289">
            <v>0</v>
          </cell>
          <cell r="G2289">
            <v>0</v>
          </cell>
          <cell r="H2289">
            <v>0</v>
          </cell>
          <cell r="I2289">
            <v>0</v>
          </cell>
          <cell r="J2289">
            <v>97680000</v>
          </cell>
        </row>
        <row r="2290">
          <cell r="B2290" t="str">
            <v>5.2.05.02.03</v>
          </cell>
          <cell r="C2290" t="str">
            <v>Belanja Modal Tanda Penghargaan</v>
          </cell>
          <cell r="D2290">
            <v>0</v>
          </cell>
          <cell r="E2290">
            <v>0</v>
          </cell>
          <cell r="F2290">
            <v>0</v>
          </cell>
          <cell r="G2290">
            <v>0</v>
          </cell>
          <cell r="H2290">
            <v>0</v>
          </cell>
          <cell r="I2290">
            <v>0</v>
          </cell>
          <cell r="J2290">
            <v>0</v>
          </cell>
        </row>
        <row r="2291">
          <cell r="B2291" t="str">
            <v>5.2.05.03</v>
          </cell>
          <cell r="C2291" t="str">
            <v>Belanja Modal Hewan</v>
          </cell>
          <cell r="D2291">
            <v>0</v>
          </cell>
          <cell r="E2291">
            <v>0</v>
          </cell>
          <cell r="F2291"/>
          <cell r="G2291"/>
          <cell r="H2291"/>
          <cell r="I2291"/>
          <cell r="J2291">
            <v>0</v>
          </cell>
        </row>
        <row r="2292">
          <cell r="B2292" t="str">
            <v>5.2.05.03.01</v>
          </cell>
          <cell r="C2292" t="str">
            <v>Belanja Modal Hewan Piaraan</v>
          </cell>
          <cell r="D2292">
            <v>0</v>
          </cell>
          <cell r="E2292">
            <v>0</v>
          </cell>
          <cell r="F2292">
            <v>0</v>
          </cell>
          <cell r="G2292">
            <v>0</v>
          </cell>
          <cell r="H2292">
            <v>0</v>
          </cell>
          <cell r="I2292">
            <v>0</v>
          </cell>
          <cell r="J2292">
            <v>0</v>
          </cell>
        </row>
        <row r="2293">
          <cell r="B2293" t="str">
            <v>5.2.05.03.02</v>
          </cell>
          <cell r="C2293" t="str">
            <v>Belanja Modal Ternak</v>
          </cell>
          <cell r="D2293">
            <v>0</v>
          </cell>
          <cell r="E2293">
            <v>0</v>
          </cell>
          <cell r="F2293">
            <v>0</v>
          </cell>
          <cell r="G2293">
            <v>0</v>
          </cell>
          <cell r="H2293">
            <v>0</v>
          </cell>
          <cell r="I2293">
            <v>0</v>
          </cell>
          <cell r="J2293">
            <v>0</v>
          </cell>
        </row>
        <row r="2294">
          <cell r="B2294" t="str">
            <v>5.2.05.03.03</v>
          </cell>
          <cell r="C2294" t="str">
            <v>Belanja Modal Hewan Lainnya</v>
          </cell>
          <cell r="D2294">
            <v>0</v>
          </cell>
          <cell r="E2294">
            <v>0</v>
          </cell>
          <cell r="F2294">
            <v>0</v>
          </cell>
          <cell r="G2294">
            <v>0</v>
          </cell>
          <cell r="H2294">
            <v>0</v>
          </cell>
          <cell r="I2294">
            <v>0</v>
          </cell>
          <cell r="J2294">
            <v>0</v>
          </cell>
        </row>
        <row r="2295">
          <cell r="B2295" t="str">
            <v>5.2.05.04</v>
          </cell>
          <cell r="C2295" t="str">
            <v>Belanja Modal Biota Perairan</v>
          </cell>
          <cell r="D2295">
            <v>0</v>
          </cell>
          <cell r="E2295">
            <v>0</v>
          </cell>
          <cell r="F2295"/>
          <cell r="G2295"/>
          <cell r="H2295"/>
          <cell r="I2295"/>
          <cell r="J2295">
            <v>0</v>
          </cell>
        </row>
        <row r="2296">
          <cell r="B2296" t="str">
            <v>5.2.05.04.01</v>
          </cell>
          <cell r="C2296" t="str">
            <v>Belanja Modal Ikan Bersirip (Pisces/Ikan Bersirip)</v>
          </cell>
          <cell r="D2296">
            <v>0</v>
          </cell>
          <cell r="E2296">
            <v>0</v>
          </cell>
          <cell r="F2296">
            <v>0</v>
          </cell>
          <cell r="G2296">
            <v>0</v>
          </cell>
          <cell r="H2296">
            <v>0</v>
          </cell>
          <cell r="I2296">
            <v>0</v>
          </cell>
          <cell r="J2296">
            <v>0</v>
          </cell>
        </row>
        <row r="2297">
          <cell r="B2297" t="str">
            <v>5.2.05.04.02</v>
          </cell>
          <cell r="C2297" t="str">
            <v>Belanja Modal Crustacea (Udang, Rajungan, Kepiting, dan Sebangsanya)</v>
          </cell>
          <cell r="D2297">
            <v>0</v>
          </cell>
          <cell r="E2297">
            <v>0</v>
          </cell>
          <cell r="F2297">
            <v>0</v>
          </cell>
          <cell r="G2297">
            <v>0</v>
          </cell>
          <cell r="H2297">
            <v>0</v>
          </cell>
          <cell r="I2297">
            <v>0</v>
          </cell>
          <cell r="J2297">
            <v>0</v>
          </cell>
        </row>
        <row r="2298">
          <cell r="B2298" t="str">
            <v>5.2.05.04.03</v>
          </cell>
          <cell r="C2298" t="str">
            <v>Belanja Modal Mollusca (Kerang, Tiram, Cumi-cumi, Gurita, Siput, dan Sebangsanya)</v>
          </cell>
          <cell r="D2298">
            <v>0</v>
          </cell>
          <cell r="E2298">
            <v>0</v>
          </cell>
          <cell r="F2298">
            <v>0</v>
          </cell>
          <cell r="G2298">
            <v>0</v>
          </cell>
          <cell r="H2298">
            <v>0</v>
          </cell>
          <cell r="I2298">
            <v>0</v>
          </cell>
          <cell r="J2298">
            <v>0</v>
          </cell>
        </row>
        <row r="2299">
          <cell r="B2299" t="str">
            <v>5.2.05.04.04</v>
          </cell>
          <cell r="C2299" t="str">
            <v>Belanja Modal Coelenterata (Ubur-ubur dan Sebangsanya)</v>
          </cell>
          <cell r="D2299">
            <v>0</v>
          </cell>
          <cell r="E2299">
            <v>0</v>
          </cell>
          <cell r="F2299">
            <v>0</v>
          </cell>
          <cell r="G2299">
            <v>0</v>
          </cell>
          <cell r="H2299">
            <v>0</v>
          </cell>
          <cell r="I2299">
            <v>0</v>
          </cell>
          <cell r="J2299">
            <v>0</v>
          </cell>
        </row>
        <row r="2300">
          <cell r="B2300" t="str">
            <v>5.2.05.04.05</v>
          </cell>
          <cell r="C2300" t="str">
            <v>Belanja Modal Echinodermata (Tripang, Bulu Babi, dan Sebangsanya)</v>
          </cell>
          <cell r="D2300">
            <v>0</v>
          </cell>
          <cell r="E2300">
            <v>0</v>
          </cell>
          <cell r="F2300">
            <v>0</v>
          </cell>
          <cell r="G2300">
            <v>0</v>
          </cell>
          <cell r="H2300">
            <v>0</v>
          </cell>
          <cell r="I2300">
            <v>0</v>
          </cell>
          <cell r="J2300">
            <v>0</v>
          </cell>
        </row>
        <row r="2301">
          <cell r="B2301" t="str">
            <v>5.2.05.04.06</v>
          </cell>
          <cell r="C2301" t="str">
            <v>Belanja Modal Amphibia (Kodok dan Sebangsanya)</v>
          </cell>
          <cell r="D2301">
            <v>0</v>
          </cell>
          <cell r="E2301">
            <v>0</v>
          </cell>
          <cell r="F2301">
            <v>0</v>
          </cell>
          <cell r="G2301">
            <v>0</v>
          </cell>
          <cell r="H2301">
            <v>0</v>
          </cell>
          <cell r="I2301">
            <v>0</v>
          </cell>
          <cell r="J2301">
            <v>0</v>
          </cell>
        </row>
        <row r="2302">
          <cell r="B2302" t="str">
            <v>5.2.05.04.07</v>
          </cell>
          <cell r="C2302" t="str">
            <v>Belanja Modal Reptilia (Buaya, Penyu, Kura-kura, Biawak, Ular Air, dan Sebangsanya)</v>
          </cell>
          <cell r="D2302">
            <v>0</v>
          </cell>
          <cell r="E2302">
            <v>0</v>
          </cell>
          <cell r="F2302">
            <v>0</v>
          </cell>
          <cell r="G2302">
            <v>0</v>
          </cell>
          <cell r="H2302">
            <v>0</v>
          </cell>
          <cell r="I2302">
            <v>0</v>
          </cell>
          <cell r="J2302">
            <v>0</v>
          </cell>
        </row>
        <row r="2303">
          <cell r="B2303" t="str">
            <v>5.2.05.04.08</v>
          </cell>
          <cell r="C2303" t="str">
            <v>Belanja Modal Mammalia (Paus, Lumba-lumba, Pesut, Duyung, dan Sebangsanya)</v>
          </cell>
          <cell r="D2303">
            <v>0</v>
          </cell>
          <cell r="E2303">
            <v>0</v>
          </cell>
          <cell r="F2303">
            <v>0</v>
          </cell>
          <cell r="G2303">
            <v>0</v>
          </cell>
          <cell r="H2303">
            <v>0</v>
          </cell>
          <cell r="I2303">
            <v>0</v>
          </cell>
          <cell r="J2303">
            <v>0</v>
          </cell>
        </row>
        <row r="2304">
          <cell r="B2304" t="str">
            <v>5.2.05.04.09</v>
          </cell>
          <cell r="C2304" t="str">
            <v>Belanja Modal Algae (Rumput Laut dan Tumbuh-Tumbuhan Lain yang Hidup di Dalam Air)</v>
          </cell>
          <cell r="D2304">
            <v>0</v>
          </cell>
          <cell r="E2304">
            <v>0</v>
          </cell>
          <cell r="F2304">
            <v>0</v>
          </cell>
          <cell r="G2304">
            <v>0</v>
          </cell>
          <cell r="H2304">
            <v>0</v>
          </cell>
          <cell r="I2304">
            <v>0</v>
          </cell>
          <cell r="J2304">
            <v>0</v>
          </cell>
        </row>
        <row r="2305">
          <cell r="B2305" t="str">
            <v>5.2.05.04.10</v>
          </cell>
          <cell r="C2305" t="str">
            <v>Belanja Modal Biota Perairan Lainnya</v>
          </cell>
          <cell r="D2305">
            <v>0</v>
          </cell>
          <cell r="E2305">
            <v>0</v>
          </cell>
          <cell r="F2305">
            <v>0</v>
          </cell>
          <cell r="G2305">
            <v>0</v>
          </cell>
          <cell r="H2305">
            <v>0</v>
          </cell>
          <cell r="I2305">
            <v>0</v>
          </cell>
          <cell r="J2305">
            <v>0</v>
          </cell>
        </row>
        <row r="2306">
          <cell r="B2306" t="str">
            <v>5.2.05.05</v>
          </cell>
          <cell r="C2306" t="str">
            <v>Belanja Modal Tanaman</v>
          </cell>
          <cell r="D2306">
            <v>0</v>
          </cell>
          <cell r="E2306">
            <v>99740000</v>
          </cell>
          <cell r="F2306"/>
          <cell r="G2306"/>
          <cell r="H2306"/>
          <cell r="I2306"/>
          <cell r="J2306">
            <v>99740000</v>
          </cell>
        </row>
        <row r="2307">
          <cell r="B2307" t="str">
            <v>5.2.05.05.01</v>
          </cell>
          <cell r="C2307" t="str">
            <v>Belanja Modal Tanaman</v>
          </cell>
          <cell r="D2307">
            <v>0</v>
          </cell>
          <cell r="E2307">
            <v>99740000</v>
          </cell>
          <cell r="F2307">
            <v>0</v>
          </cell>
          <cell r="G2307">
            <v>0</v>
          </cell>
          <cell r="H2307">
            <v>0</v>
          </cell>
          <cell r="I2307">
            <v>0</v>
          </cell>
          <cell r="J2307">
            <v>99740000</v>
          </cell>
        </row>
        <row r="2308">
          <cell r="B2308" t="str">
            <v>5.2.05.06</v>
          </cell>
          <cell r="C2308" t="str">
            <v>Belanja Modal Barang Koleksi Non Budaya</v>
          </cell>
          <cell r="D2308">
            <v>0</v>
          </cell>
          <cell r="E2308">
            <v>0</v>
          </cell>
          <cell r="F2308"/>
          <cell r="G2308"/>
          <cell r="H2308"/>
          <cell r="I2308"/>
          <cell r="J2308">
            <v>0</v>
          </cell>
        </row>
        <row r="2309">
          <cell r="B2309" t="str">
            <v>5.2.05.06.01</v>
          </cell>
          <cell r="C2309" t="str">
            <v>Belanja Modal Barang Koleksi Non Budaya</v>
          </cell>
          <cell r="D2309">
            <v>0</v>
          </cell>
          <cell r="E2309">
            <v>0</v>
          </cell>
          <cell r="F2309">
            <v>0</v>
          </cell>
          <cell r="G2309">
            <v>0</v>
          </cell>
          <cell r="H2309">
            <v>0</v>
          </cell>
          <cell r="I2309">
            <v>0</v>
          </cell>
          <cell r="J2309">
            <v>0</v>
          </cell>
        </row>
        <row r="2310">
          <cell r="B2310" t="str">
            <v>5.2.05.07</v>
          </cell>
          <cell r="C2310" t="str">
            <v>Belanja Modal Aset Tetap Dalam Renovasi</v>
          </cell>
          <cell r="D2310">
            <v>0</v>
          </cell>
          <cell r="E2310">
            <v>0</v>
          </cell>
          <cell r="F2310"/>
          <cell r="G2310"/>
          <cell r="H2310"/>
          <cell r="I2310"/>
          <cell r="J2310">
            <v>0</v>
          </cell>
        </row>
        <row r="2311">
          <cell r="B2311" t="str">
            <v>5.2.05.07.01</v>
          </cell>
          <cell r="C2311" t="str">
            <v>Belanja Modal Aset Tetap Dalam Renovasi</v>
          </cell>
          <cell r="D2311">
            <v>0</v>
          </cell>
          <cell r="E2311">
            <v>0</v>
          </cell>
          <cell r="F2311">
            <v>0</v>
          </cell>
          <cell r="G2311">
            <v>0</v>
          </cell>
          <cell r="H2311">
            <v>0</v>
          </cell>
          <cell r="I2311">
            <v>0</v>
          </cell>
          <cell r="J2311">
            <v>0</v>
          </cell>
        </row>
        <row r="2312">
          <cell r="B2312" t="str">
            <v>5.2.05.08</v>
          </cell>
          <cell r="C2312" t="str">
            <v>Belanja Modal Aset Tidak Berwujud</v>
          </cell>
          <cell r="D2312">
            <v>0</v>
          </cell>
          <cell r="E2312">
            <v>0</v>
          </cell>
          <cell r="F2312"/>
          <cell r="G2312"/>
          <cell r="H2312"/>
          <cell r="I2312"/>
          <cell r="J2312">
            <v>0</v>
          </cell>
        </row>
        <row r="2313">
          <cell r="B2313" t="str">
            <v>5.2.05.08.01</v>
          </cell>
          <cell r="C2313" t="str">
            <v>Belanja Modal Aset Tidak Berwujud</v>
          </cell>
          <cell r="D2313">
            <v>0</v>
          </cell>
          <cell r="E2313">
            <v>0</v>
          </cell>
          <cell r="F2313">
            <v>0</v>
          </cell>
          <cell r="G2313">
            <v>0</v>
          </cell>
          <cell r="H2313">
            <v>0</v>
          </cell>
          <cell r="I2313">
            <v>0</v>
          </cell>
          <cell r="J2313">
            <v>0</v>
          </cell>
        </row>
        <row r="2314">
          <cell r="B2314" t="str">
            <v>5.2.05.88</v>
          </cell>
          <cell r="C2314" t="str">
            <v>Belanja Modal Aset Tetap Lainnya BOS</v>
          </cell>
          <cell r="D2314">
            <v>1870184150</v>
          </cell>
          <cell r="E2314">
            <v>0</v>
          </cell>
          <cell r="F2314"/>
          <cell r="G2314"/>
          <cell r="H2314"/>
          <cell r="I2314"/>
          <cell r="J2314">
            <v>0</v>
          </cell>
        </row>
        <row r="2315">
          <cell r="B2315" t="str">
            <v>5.2.05.88.88</v>
          </cell>
          <cell r="C2315" t="str">
            <v>Belanja Modal Aset Tetap Lainnya BOS</v>
          </cell>
          <cell r="D2315">
            <v>1870184150</v>
          </cell>
          <cell r="E2315">
            <v>0</v>
          </cell>
          <cell r="F2315">
            <v>0</v>
          </cell>
          <cell r="G2315">
            <v>0</v>
          </cell>
          <cell r="H2315">
            <v>0</v>
          </cell>
          <cell r="I2315">
            <v>0</v>
          </cell>
          <cell r="J2315">
            <v>0</v>
          </cell>
        </row>
        <row r="2316">
          <cell r="B2316" t="str">
            <v>5.2.05.89</v>
          </cell>
          <cell r="C2316" t="str">
            <v>Belanja Modal Aset Tetap Lainnya BOSP</v>
          </cell>
          <cell r="D2316">
            <v>0</v>
          </cell>
          <cell r="E2316">
            <v>2415914302</v>
          </cell>
          <cell r="F2316"/>
          <cell r="G2316"/>
          <cell r="H2316"/>
          <cell r="I2316"/>
          <cell r="J2316">
            <v>2415914302</v>
          </cell>
        </row>
        <row r="2317">
          <cell r="B2317" t="str">
            <v>5.2.05.89.01</v>
          </cell>
          <cell r="C2317" t="str">
            <v>Belanja Modal Aset Tetap Lainnya BOSP-BOS</v>
          </cell>
          <cell r="D2317">
            <v>0</v>
          </cell>
          <cell r="E2317">
            <v>2250156702</v>
          </cell>
          <cell r="F2317">
            <v>0</v>
          </cell>
          <cell r="G2317">
            <v>0</v>
          </cell>
          <cell r="H2317">
            <v>0</v>
          </cell>
          <cell r="I2317">
            <v>0</v>
          </cell>
          <cell r="J2317">
            <v>2250156702</v>
          </cell>
        </row>
        <row r="2318">
          <cell r="B2318" t="str">
            <v>5.2.05.89.02</v>
          </cell>
          <cell r="C2318" t="str">
            <v>Belanja Modal Aset Tetap Lainnya BOSP-BOP PAUD</v>
          </cell>
          <cell r="D2318">
            <v>0</v>
          </cell>
          <cell r="E2318">
            <v>147007600</v>
          </cell>
          <cell r="F2318">
            <v>0</v>
          </cell>
          <cell r="G2318">
            <v>0</v>
          </cell>
          <cell r="H2318">
            <v>0</v>
          </cell>
          <cell r="I2318">
            <v>0</v>
          </cell>
          <cell r="J2318">
            <v>147007600</v>
          </cell>
        </row>
        <row r="2319">
          <cell r="B2319" t="str">
            <v>5.2.05.89.03</v>
          </cell>
          <cell r="C2319" t="str">
            <v>Belanja Modal Aset Tetap Lainnya BOSP-BOP Kesetaraan</v>
          </cell>
          <cell r="D2319">
            <v>0</v>
          </cell>
          <cell r="E2319">
            <v>18750000</v>
          </cell>
          <cell r="F2319">
            <v>0</v>
          </cell>
          <cell r="G2319">
            <v>0</v>
          </cell>
          <cell r="H2319">
            <v>0</v>
          </cell>
          <cell r="I2319">
            <v>0</v>
          </cell>
          <cell r="J2319">
            <v>18750000</v>
          </cell>
        </row>
        <row r="2320">
          <cell r="B2320" t="str">
            <v>5.2.05.99</v>
          </cell>
          <cell r="C2320" t="str">
            <v>Belanja Modal Aset Tetap Lainnya BLUD</v>
          </cell>
          <cell r="D2320">
            <v>44716000</v>
          </cell>
          <cell r="E2320">
            <v>0</v>
          </cell>
          <cell r="F2320"/>
          <cell r="G2320"/>
          <cell r="H2320"/>
          <cell r="I2320"/>
          <cell r="J2320">
            <v>0</v>
          </cell>
        </row>
        <row r="2321">
          <cell r="B2321" t="str">
            <v>5.2.05.99.99</v>
          </cell>
          <cell r="C2321" t="str">
            <v>Belanja Modal Aset Tetap Lainnya BLUD</v>
          </cell>
          <cell r="D2321">
            <v>44716000</v>
          </cell>
          <cell r="E2321">
            <v>0</v>
          </cell>
          <cell r="F2321">
            <v>0</v>
          </cell>
          <cell r="G2321">
            <v>0</v>
          </cell>
          <cell r="H2321">
            <v>0</v>
          </cell>
          <cell r="I2321">
            <v>0</v>
          </cell>
          <cell r="J2321">
            <v>0</v>
          </cell>
        </row>
        <row r="2322">
          <cell r="B2322"/>
          <cell r="C2322"/>
          <cell r="D2322"/>
          <cell r="E2322"/>
          <cell r="F2322"/>
          <cell r="G2322"/>
          <cell r="H2322"/>
          <cell r="I2322"/>
          <cell r="J2322"/>
        </row>
        <row r="2323">
          <cell r="B2323" t="str">
            <v>5.2.06</v>
          </cell>
          <cell r="C2323" t="str">
            <v>Belanja Modal Aset Lainnya</v>
          </cell>
          <cell r="D2323">
            <v>80945000</v>
          </cell>
          <cell r="E2323">
            <v>1951532000</v>
          </cell>
          <cell r="F2323"/>
          <cell r="G2323"/>
          <cell r="H2323"/>
          <cell r="I2323"/>
          <cell r="J2323">
            <v>1951532000</v>
          </cell>
        </row>
        <row r="2324">
          <cell r="B2324" t="str">
            <v>5.2.06.01</v>
          </cell>
          <cell r="C2324" t="str">
            <v>Belanja Modal Aset Lainnya-Aset Tidak Berwujud</v>
          </cell>
          <cell r="D2324">
            <v>0</v>
          </cell>
          <cell r="E2324">
            <v>1951532000</v>
          </cell>
          <cell r="F2324"/>
          <cell r="G2324"/>
          <cell r="H2324"/>
          <cell r="I2324"/>
          <cell r="J2324">
            <v>1951532000</v>
          </cell>
        </row>
        <row r="2325">
          <cell r="B2325" t="str">
            <v>5.2.06.01.01</v>
          </cell>
          <cell r="C2325" t="str">
            <v>Belanja Modal Aset Tidak Berwujud</v>
          </cell>
          <cell r="D2325">
            <v>0</v>
          </cell>
          <cell r="E2325">
            <v>1951532000</v>
          </cell>
          <cell r="F2325">
            <v>0</v>
          </cell>
          <cell r="G2325">
            <v>0</v>
          </cell>
          <cell r="H2325">
            <v>0</v>
          </cell>
          <cell r="I2325">
            <v>0</v>
          </cell>
          <cell r="J2325">
            <v>1951532000</v>
          </cell>
        </row>
        <row r="2326">
          <cell r="B2326" t="str">
            <v>5.2.06.99</v>
          </cell>
          <cell r="C2326" t="str">
            <v>Belanja Modal Aset Lainnya BLUD</v>
          </cell>
          <cell r="D2326">
            <v>80945000</v>
          </cell>
          <cell r="E2326">
            <v>0</v>
          </cell>
          <cell r="F2326"/>
          <cell r="G2326"/>
          <cell r="H2326"/>
          <cell r="I2326"/>
          <cell r="J2326">
            <v>0</v>
          </cell>
        </row>
        <row r="2327">
          <cell r="B2327" t="str">
            <v>5.2.06.99.99</v>
          </cell>
          <cell r="C2327" t="str">
            <v>Belanja Modal Aset Lainnya BLUD</v>
          </cell>
          <cell r="D2327">
            <v>80945000</v>
          </cell>
          <cell r="E2327">
            <v>0</v>
          </cell>
          <cell r="F2327">
            <v>0</v>
          </cell>
          <cell r="G2327">
            <v>0</v>
          </cell>
          <cell r="H2327">
            <v>0</v>
          </cell>
          <cell r="I2327">
            <v>0</v>
          </cell>
          <cell r="J2327">
            <v>0</v>
          </cell>
        </row>
        <row r="2328">
          <cell r="B2328"/>
          <cell r="C2328"/>
          <cell r="D2328"/>
          <cell r="E2328"/>
          <cell r="F2328"/>
          <cell r="G2328"/>
          <cell r="H2328"/>
          <cell r="I2328"/>
          <cell r="J2328"/>
        </row>
        <row r="2329">
          <cell r="B2329" t="str">
            <v>5.3</v>
          </cell>
          <cell r="C2329" t="str">
            <v>BELANJA TIDAK TERDUGA</v>
          </cell>
          <cell r="D2329">
            <v>3364608300</v>
          </cell>
          <cell r="E2329">
            <v>2043118598</v>
          </cell>
          <cell r="F2329"/>
          <cell r="G2329"/>
          <cell r="H2329"/>
          <cell r="I2329"/>
          <cell r="J2329">
            <v>2043118598</v>
          </cell>
        </row>
        <row r="2330">
          <cell r="B2330" t="str">
            <v>5.3.01</v>
          </cell>
          <cell r="C2330" t="str">
            <v>Belanja Tidak Terduga</v>
          </cell>
          <cell r="D2330">
            <v>3364608300</v>
          </cell>
          <cell r="E2330">
            <v>2043118598</v>
          </cell>
          <cell r="F2330"/>
          <cell r="G2330"/>
          <cell r="H2330"/>
          <cell r="I2330"/>
          <cell r="J2330">
            <v>2043118598</v>
          </cell>
        </row>
        <row r="2331">
          <cell r="B2331" t="str">
            <v>5.3.01.01</v>
          </cell>
          <cell r="C2331" t="str">
            <v>Belanja Tidak Terduga</v>
          </cell>
          <cell r="D2331">
            <v>3364608300</v>
          </cell>
          <cell r="E2331">
            <v>2043118598</v>
          </cell>
          <cell r="F2331"/>
          <cell r="G2331"/>
          <cell r="H2331"/>
          <cell r="I2331"/>
          <cell r="J2331">
            <v>2043118598</v>
          </cell>
        </row>
        <row r="2332">
          <cell r="B2332" t="str">
            <v>5.3.01.01.01</v>
          </cell>
          <cell r="C2332" t="str">
            <v>Belanja Tidak Terduga</v>
          </cell>
          <cell r="D2332">
            <v>3364608300</v>
          </cell>
          <cell r="E2332">
            <v>2043118598</v>
          </cell>
          <cell r="F2332">
            <v>0</v>
          </cell>
          <cell r="G2332">
            <v>0</v>
          </cell>
          <cell r="H2332">
            <v>0</v>
          </cell>
          <cell r="I2332">
            <v>0</v>
          </cell>
          <cell r="J2332">
            <v>2043118598</v>
          </cell>
        </row>
        <row r="2333">
          <cell r="B2333"/>
          <cell r="C2333"/>
          <cell r="D2333"/>
          <cell r="E2333"/>
          <cell r="F2333"/>
          <cell r="G2333"/>
          <cell r="H2333"/>
          <cell r="I2333"/>
          <cell r="J2333"/>
        </row>
        <row r="2334">
          <cell r="B2334" t="str">
            <v>5.4</v>
          </cell>
          <cell r="C2334" t="str">
            <v>BELANJA TRANSFER</v>
          </cell>
          <cell r="D2334">
            <v>171603832443</v>
          </cell>
          <cell r="E2334">
            <v>181605024962</v>
          </cell>
          <cell r="F2334"/>
          <cell r="G2334"/>
          <cell r="H2334"/>
          <cell r="I2334"/>
          <cell r="J2334">
            <v>181605024962</v>
          </cell>
        </row>
        <row r="2335">
          <cell r="B2335" t="str">
            <v>5.4.01</v>
          </cell>
          <cell r="C2335" t="str">
            <v>Belanja Bagi Hasil</v>
          </cell>
          <cell r="D2335">
            <v>10552527397</v>
          </cell>
          <cell r="E2335">
            <v>9960296381</v>
          </cell>
          <cell r="F2335"/>
          <cell r="G2335"/>
          <cell r="H2335"/>
          <cell r="I2335"/>
          <cell r="J2335">
            <v>9960296381</v>
          </cell>
        </row>
        <row r="2336">
          <cell r="B2336" t="str">
            <v>5.4.01.01</v>
          </cell>
          <cell r="C2336" t="str">
            <v>Belanja Bagi Hasil Pajak Daerah Kepada Pemerintahan Kabupaten/Kota dan Desa</v>
          </cell>
          <cell r="D2336">
            <v>10552527397</v>
          </cell>
          <cell r="E2336">
            <v>9960296381</v>
          </cell>
          <cell r="F2336"/>
          <cell r="G2336"/>
          <cell r="H2336"/>
          <cell r="I2336"/>
          <cell r="J2336">
            <v>9960296381</v>
          </cell>
        </row>
        <row r="2337">
          <cell r="B2337" t="str">
            <v>5.4.01.01.01</v>
          </cell>
          <cell r="C2337" t="str">
            <v>Belanja Bagi Hasil Pajak Daerah Kepada Pemerintahan Kabupaten</v>
          </cell>
          <cell r="D2337">
            <v>0</v>
          </cell>
          <cell r="E2337">
            <v>0</v>
          </cell>
          <cell r="F2337">
            <v>0</v>
          </cell>
          <cell r="G2337">
            <v>0</v>
          </cell>
          <cell r="H2337">
            <v>0</v>
          </cell>
          <cell r="I2337">
            <v>0</v>
          </cell>
          <cell r="J2337">
            <v>0</v>
          </cell>
        </row>
        <row r="2338">
          <cell r="B2338" t="str">
            <v>5.4.01.01.02</v>
          </cell>
          <cell r="C2338" t="str">
            <v>Belanja Bagi Hasil Pajak Daerah Kepada Pemerintahan Kota</v>
          </cell>
          <cell r="D2338">
            <v>0</v>
          </cell>
          <cell r="E2338">
            <v>0</v>
          </cell>
          <cell r="F2338">
            <v>0</v>
          </cell>
          <cell r="G2338">
            <v>0</v>
          </cell>
          <cell r="H2338">
            <v>0</v>
          </cell>
          <cell r="I2338">
            <v>0</v>
          </cell>
          <cell r="J2338">
            <v>0</v>
          </cell>
        </row>
        <row r="2339">
          <cell r="B2339" t="str">
            <v>5.4.01.01.03</v>
          </cell>
          <cell r="C2339" t="str">
            <v>Belanja Bagi Hasil Pajak Daerah Kepada Pemerintahan Desa</v>
          </cell>
          <cell r="D2339">
            <v>10552527397</v>
          </cell>
          <cell r="E2339">
            <v>9960296381</v>
          </cell>
          <cell r="F2339">
            <v>0</v>
          </cell>
          <cell r="G2339">
            <v>0</v>
          </cell>
          <cell r="H2339">
            <v>0</v>
          </cell>
          <cell r="I2339">
            <v>0</v>
          </cell>
          <cell r="J2339">
            <v>9960296381</v>
          </cell>
        </row>
        <row r="2340">
          <cell r="B2340" t="str">
            <v>5.4.01.02</v>
          </cell>
          <cell r="C2340" t="str">
            <v>Belanja Bagi Hasil Retribusi Daerah Kabupaten/Kota Kepada Pemerintah Desa</v>
          </cell>
          <cell r="D2340">
            <v>0</v>
          </cell>
          <cell r="E2340">
            <v>0</v>
          </cell>
          <cell r="F2340"/>
          <cell r="G2340"/>
          <cell r="H2340"/>
          <cell r="I2340"/>
          <cell r="J2340">
            <v>0</v>
          </cell>
        </row>
        <row r="2341">
          <cell r="B2341" t="str">
            <v>5.4.01.02.01</v>
          </cell>
          <cell r="C2341" t="str">
            <v>Belanja Bagi Hasil Retribusi Daerah Kabupaten/Kota Kepada Pemerintah Desa</v>
          </cell>
          <cell r="D2341">
            <v>0</v>
          </cell>
          <cell r="E2341">
            <v>0</v>
          </cell>
          <cell r="F2341">
            <v>0</v>
          </cell>
          <cell r="G2341">
            <v>0</v>
          </cell>
          <cell r="H2341">
            <v>0</v>
          </cell>
          <cell r="I2341">
            <v>0</v>
          </cell>
          <cell r="J2341">
            <v>0</v>
          </cell>
        </row>
        <row r="2342">
          <cell r="B2342"/>
          <cell r="C2342"/>
          <cell r="D2342"/>
          <cell r="E2342"/>
          <cell r="F2342"/>
          <cell r="G2342"/>
          <cell r="H2342"/>
          <cell r="I2342"/>
          <cell r="J2342"/>
        </row>
        <row r="2343">
          <cell r="B2343" t="str">
            <v>5.4.02</v>
          </cell>
          <cell r="C2343" t="str">
            <v>Belanja Bantuan Keuangan</v>
          </cell>
          <cell r="D2343">
            <v>161051305046</v>
          </cell>
          <cell r="E2343">
            <v>171644728581</v>
          </cell>
          <cell r="F2343"/>
          <cell r="G2343"/>
          <cell r="H2343"/>
          <cell r="I2343"/>
          <cell r="J2343">
            <v>171644728581</v>
          </cell>
        </row>
        <row r="2344">
          <cell r="B2344" t="str">
            <v>5.4.02.01</v>
          </cell>
          <cell r="C2344" t="str">
            <v>Belanja Bantuan Keuangan antar Daerah Provinsi</v>
          </cell>
          <cell r="D2344">
            <v>0</v>
          </cell>
          <cell r="E2344">
            <v>0</v>
          </cell>
          <cell r="F2344"/>
          <cell r="G2344"/>
          <cell r="H2344"/>
          <cell r="I2344"/>
          <cell r="J2344">
            <v>0</v>
          </cell>
        </row>
        <row r="2345">
          <cell r="B2345" t="str">
            <v>5.4.02.01.01</v>
          </cell>
          <cell r="C2345" t="str">
            <v>Belanja Bantuan Keuangan Umum antar Daerah Provinsi</v>
          </cell>
          <cell r="D2345">
            <v>0</v>
          </cell>
          <cell r="E2345">
            <v>0</v>
          </cell>
          <cell r="F2345">
            <v>0</v>
          </cell>
          <cell r="G2345">
            <v>0</v>
          </cell>
          <cell r="H2345">
            <v>0</v>
          </cell>
          <cell r="I2345">
            <v>0</v>
          </cell>
          <cell r="J2345">
            <v>0</v>
          </cell>
        </row>
        <row r="2346">
          <cell r="B2346" t="str">
            <v>5.4.02.01.02</v>
          </cell>
          <cell r="C2346" t="str">
            <v>Belanja Bantuan Keuangan Khusus antar Daerah Provinsi</v>
          </cell>
          <cell r="D2346">
            <v>0</v>
          </cell>
          <cell r="E2346">
            <v>0</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F2347"/>
          <cell r="G2347"/>
          <cell r="H2347"/>
          <cell r="I2347"/>
          <cell r="J2347">
            <v>0</v>
          </cell>
        </row>
        <row r="2348">
          <cell r="B2348" t="str">
            <v>5.4.02.02.01</v>
          </cell>
          <cell r="C2348" t="str">
            <v>Belanja Bantuan Keuangan Umum antar Daerah Kabupaten/Kota</v>
          </cell>
          <cell r="D2348">
            <v>0</v>
          </cell>
          <cell r="E2348">
            <v>0</v>
          </cell>
          <cell r="F2348">
            <v>0</v>
          </cell>
          <cell r="G2348">
            <v>0</v>
          </cell>
          <cell r="H2348">
            <v>0</v>
          </cell>
          <cell r="I2348">
            <v>0</v>
          </cell>
          <cell r="J2348">
            <v>0</v>
          </cell>
        </row>
        <row r="2349">
          <cell r="B2349" t="str">
            <v>5.4.02.02.02</v>
          </cell>
          <cell r="C2349" t="str">
            <v>Belanja Bantuan Keuangan Khusus kepada Pemerintah Kabupaten/Kota</v>
          </cell>
          <cell r="D2349">
            <v>0</v>
          </cell>
          <cell r="E2349">
            <v>0</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F2350"/>
          <cell r="G2350"/>
          <cell r="H2350"/>
          <cell r="I2350"/>
          <cell r="J2350">
            <v>0</v>
          </cell>
        </row>
        <row r="2351">
          <cell r="B2351" t="str">
            <v>5.4.02.03.01</v>
          </cell>
          <cell r="C2351" t="str">
            <v>Belanja Bantuan Keuangan Umum Daerah Provinsi ke Kabupaten/Kota</v>
          </cell>
          <cell r="D2351">
            <v>0</v>
          </cell>
          <cell r="E2351">
            <v>0</v>
          </cell>
          <cell r="F2351">
            <v>0</v>
          </cell>
          <cell r="G2351">
            <v>0</v>
          </cell>
          <cell r="H2351">
            <v>0</v>
          </cell>
          <cell r="I2351">
            <v>0</v>
          </cell>
          <cell r="J2351">
            <v>0</v>
          </cell>
        </row>
        <row r="2352">
          <cell r="B2352" t="str">
            <v>5.4.02.03.02</v>
          </cell>
          <cell r="C2352" t="str">
            <v>Belanja Bantuan Keuangan Khusus Daerah Provinsi ke Kabupaten/Kota</v>
          </cell>
          <cell r="D2352">
            <v>0</v>
          </cell>
          <cell r="E2352">
            <v>0</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F2353"/>
          <cell r="G2353"/>
          <cell r="H2353"/>
          <cell r="I2353"/>
          <cell r="J2353">
            <v>0</v>
          </cell>
        </row>
        <row r="2354">
          <cell r="B2354" t="str">
            <v>5.4.02.04.01</v>
          </cell>
          <cell r="C2354" t="str">
            <v>Belanja Bantuan Keuangan Umum Daerah Kabupaten/Kota ke Provinsi</v>
          </cell>
          <cell r="D2354">
            <v>0</v>
          </cell>
          <cell r="E2354">
            <v>0</v>
          </cell>
          <cell r="F2354">
            <v>0</v>
          </cell>
          <cell r="G2354">
            <v>0</v>
          </cell>
          <cell r="H2354">
            <v>0</v>
          </cell>
          <cell r="I2354">
            <v>0</v>
          </cell>
          <cell r="J2354">
            <v>0</v>
          </cell>
        </row>
        <row r="2355">
          <cell r="B2355" t="str">
            <v>5.4.02.04.02</v>
          </cell>
          <cell r="C2355" t="str">
            <v>Belanja Bantuan Keuangan Khusus Daerah Kabupaten/Kota ke Provinsi</v>
          </cell>
          <cell r="D2355">
            <v>0</v>
          </cell>
          <cell r="E2355">
            <v>0</v>
          </cell>
          <cell r="F2355">
            <v>0</v>
          </cell>
          <cell r="G2355">
            <v>0</v>
          </cell>
          <cell r="H2355">
            <v>0</v>
          </cell>
          <cell r="I2355">
            <v>0</v>
          </cell>
          <cell r="J2355">
            <v>0</v>
          </cell>
        </row>
        <row r="2356">
          <cell r="B2356" t="str">
            <v>5.4.02.05</v>
          </cell>
          <cell r="C2356" t="str">
            <v>Belanja Bantuan Keuangan Daerah Provinsi atau Kabupaten/Kota kepada Desa</v>
          </cell>
          <cell r="D2356">
            <v>161051305046</v>
          </cell>
          <cell r="E2356">
            <v>171644728581</v>
          </cell>
          <cell r="F2356"/>
          <cell r="G2356"/>
          <cell r="H2356"/>
          <cell r="I2356"/>
          <cell r="J2356">
            <v>171644728581</v>
          </cell>
        </row>
        <row r="2357">
          <cell r="B2357" t="str">
            <v>5.4.02.05.01</v>
          </cell>
          <cell r="C2357" t="str">
            <v>Belanja Bantuan Keuangan Umum Daerah Provinsi atau Kabupaten/Kota kepada Desa</v>
          </cell>
          <cell r="D2357">
            <v>0</v>
          </cell>
          <cell r="E2357">
            <v>171644728581</v>
          </cell>
          <cell r="F2357">
            <v>0</v>
          </cell>
          <cell r="G2357">
            <v>0</v>
          </cell>
          <cell r="H2357">
            <v>0</v>
          </cell>
          <cell r="I2357">
            <v>0</v>
          </cell>
          <cell r="J2357">
            <v>171644728581</v>
          </cell>
        </row>
        <row r="2358">
          <cell r="B2358" t="str">
            <v>5.4.02.05.02</v>
          </cell>
          <cell r="C2358" t="str">
            <v>Belanja Bantuan Keuangan Khusus Daerah Provinsi atau Kabupaten/Kota kepada Desa</v>
          </cell>
          <cell r="D2358">
            <v>161051305046</v>
          </cell>
          <cell r="E2358">
            <v>0</v>
          </cell>
          <cell r="F2358">
            <v>0</v>
          </cell>
          <cell r="G2358">
            <v>0</v>
          </cell>
          <cell r="H2358">
            <v>0</v>
          </cell>
          <cell r="I2358">
            <v>0</v>
          </cell>
          <cell r="J2358">
            <v>0</v>
          </cell>
        </row>
        <row r="2359">
          <cell r="B2359" t="str">
            <v>5.4.02.06</v>
          </cell>
          <cell r="C2359" t="str">
            <v>Belanja Transfer Dana Otonomi Khusus Provinsi kepada Kabupaten/Kota</v>
          </cell>
          <cell r="D2359">
            <v>0</v>
          </cell>
          <cell r="E2359">
            <v>0</v>
          </cell>
          <cell r="F2359"/>
          <cell r="G2359"/>
          <cell r="H2359"/>
          <cell r="I2359"/>
          <cell r="J2359">
            <v>0</v>
          </cell>
        </row>
        <row r="2360">
          <cell r="B2360" t="str">
            <v>5.4.02.06.01</v>
          </cell>
          <cell r="C2360" t="str">
            <v>Belanja Transfer Dana Otonomi Khusus Provinsi kepada Kabupaten/Kota</v>
          </cell>
          <cell r="D2360">
            <v>0</v>
          </cell>
          <cell r="E2360">
            <v>0</v>
          </cell>
          <cell r="F2360">
            <v>0</v>
          </cell>
          <cell r="G2360">
            <v>0</v>
          </cell>
          <cell r="H2360">
            <v>0</v>
          </cell>
          <cell r="I2360">
            <v>0</v>
          </cell>
          <cell r="J2360">
            <v>0</v>
          </cell>
        </row>
        <row r="2361">
          <cell r="B2361"/>
          <cell r="C2361"/>
          <cell r="D2361"/>
          <cell r="E2361"/>
          <cell r="F2361"/>
          <cell r="G2361"/>
          <cell r="H2361"/>
          <cell r="I2361"/>
          <cell r="J2361"/>
        </row>
        <row r="2362">
          <cell r="B2362" t="str">
            <v>LRA</v>
          </cell>
          <cell r="C2362" t="str">
            <v>SURPLUS/(DEFISIT)</v>
          </cell>
          <cell r="D2362">
            <v>152849096073.08008</v>
          </cell>
          <cell r="E2362">
            <v>822277665709.96997</v>
          </cell>
          <cell r="F2362"/>
          <cell r="G2362"/>
          <cell r="H2362"/>
          <cell r="I2362"/>
          <cell r="J2362">
            <v>822277665709.96997</v>
          </cell>
        </row>
        <row r="2363">
          <cell r="B2363"/>
          <cell r="C2363"/>
          <cell r="D2363"/>
          <cell r="E2363"/>
          <cell r="F2363"/>
          <cell r="G2363"/>
          <cell r="H2363"/>
          <cell r="I2363"/>
          <cell r="J2363"/>
        </row>
        <row r="2364">
          <cell r="B2364" t="str">
            <v>6</v>
          </cell>
          <cell r="C2364" t="str">
            <v>PEMBIAYAAN DAERAH</v>
          </cell>
          <cell r="D2364">
            <v>178752051988.94</v>
          </cell>
          <cell r="E2364">
            <v>322451709222.02002</v>
          </cell>
          <cell r="F2364"/>
          <cell r="G2364"/>
          <cell r="H2364"/>
          <cell r="I2364"/>
          <cell r="J2364">
            <v>322451709222.02002</v>
          </cell>
        </row>
        <row r="2365">
          <cell r="B2365" t="str">
            <v>6.1</v>
          </cell>
          <cell r="C2365" t="str">
            <v>PENERIMAAN PEMBIAYAAN</v>
          </cell>
          <cell r="D2365">
            <v>228752051988.94</v>
          </cell>
          <cell r="E2365">
            <v>332808429222.02002</v>
          </cell>
          <cell r="F2365"/>
          <cell r="G2365"/>
          <cell r="H2365"/>
          <cell r="I2365"/>
          <cell r="J2365">
            <v>332808429222.02002</v>
          </cell>
        </row>
        <row r="2366">
          <cell r="B2366" t="str">
            <v>6.1.01</v>
          </cell>
          <cell r="C2366" t="str">
            <v>Sisa Lebih Perhitungan Anggaran Tahun Sebelumnya</v>
          </cell>
          <cell r="D2366">
            <v>228221355096.94</v>
          </cell>
          <cell r="E2366">
            <v>331614733062.02002</v>
          </cell>
          <cell r="F2366"/>
          <cell r="G2366"/>
          <cell r="H2366"/>
          <cell r="I2366"/>
          <cell r="J2366">
            <v>331614733062.02002</v>
          </cell>
        </row>
        <row r="2367">
          <cell r="B2367" t="str">
            <v>6.1.01.01</v>
          </cell>
          <cell r="C2367" t="str">
            <v>Pelampauan Penerimaan PAD</v>
          </cell>
          <cell r="D2367">
            <v>0</v>
          </cell>
          <cell r="E2367">
            <v>0</v>
          </cell>
          <cell r="F2367"/>
          <cell r="G2367"/>
          <cell r="H2367"/>
          <cell r="I2367"/>
          <cell r="J2367">
            <v>0</v>
          </cell>
        </row>
        <row r="2368">
          <cell r="B2368" t="str">
            <v>6.1.01.01.01</v>
          </cell>
          <cell r="C2368" t="str">
            <v>Pelampauan Penerimaan PAD-Pajak Daerah</v>
          </cell>
          <cell r="D2368">
            <v>0</v>
          </cell>
          <cell r="E2368">
            <v>0</v>
          </cell>
          <cell r="F2368">
            <v>0</v>
          </cell>
          <cell r="G2368">
            <v>0</v>
          </cell>
          <cell r="H2368">
            <v>0</v>
          </cell>
          <cell r="I2368">
            <v>0</v>
          </cell>
          <cell r="J2368">
            <v>0</v>
          </cell>
        </row>
        <row r="2369">
          <cell r="B2369" t="str">
            <v>6.1.01.01.02</v>
          </cell>
          <cell r="C2369" t="str">
            <v>Pelampauan Penerimaan PAD-Retribusi Daerah</v>
          </cell>
          <cell r="D2369">
            <v>0</v>
          </cell>
          <cell r="E2369">
            <v>0</v>
          </cell>
          <cell r="F2369">
            <v>0</v>
          </cell>
          <cell r="G2369">
            <v>0</v>
          </cell>
          <cell r="H2369">
            <v>0</v>
          </cell>
          <cell r="I2369">
            <v>0</v>
          </cell>
          <cell r="J2369">
            <v>0</v>
          </cell>
        </row>
        <row r="2370">
          <cell r="B2370" t="str">
            <v>6.1.01.01.03</v>
          </cell>
          <cell r="C2370" t="str">
            <v>Pelampauan Penerimaan PAD-Hasil Pengelolaan Kekayaan Daerah yang Dipisahkan</v>
          </cell>
          <cell r="D2370">
            <v>0</v>
          </cell>
          <cell r="E2370">
            <v>0</v>
          </cell>
          <cell r="F2370">
            <v>0</v>
          </cell>
          <cell r="G2370">
            <v>0</v>
          </cell>
          <cell r="H2370">
            <v>0</v>
          </cell>
          <cell r="I2370">
            <v>0</v>
          </cell>
          <cell r="J2370">
            <v>0</v>
          </cell>
        </row>
        <row r="2371">
          <cell r="B2371" t="str">
            <v>6.1.01.01.04</v>
          </cell>
          <cell r="C2371" t="str">
            <v>Pelampauan Penerimaan PAD-Lain-lain PAD yang Sah</v>
          </cell>
          <cell r="D2371">
            <v>0</v>
          </cell>
          <cell r="E2371">
            <v>0</v>
          </cell>
          <cell r="F2371">
            <v>0</v>
          </cell>
          <cell r="G2371">
            <v>0</v>
          </cell>
          <cell r="H2371">
            <v>0</v>
          </cell>
          <cell r="I2371">
            <v>0</v>
          </cell>
          <cell r="J2371">
            <v>0</v>
          </cell>
        </row>
        <row r="2372">
          <cell r="B2372" t="str">
            <v>6.1.01.02</v>
          </cell>
          <cell r="C2372" t="str">
            <v>Pelampauan Penerimaan Pendapatan Transfer</v>
          </cell>
          <cell r="D2372">
            <v>228221355096.94</v>
          </cell>
          <cell r="E2372">
            <v>331614733062.02002</v>
          </cell>
          <cell r="F2372"/>
          <cell r="G2372"/>
          <cell r="H2372"/>
          <cell r="I2372"/>
          <cell r="J2372">
            <v>331614733062.02002</v>
          </cell>
        </row>
        <row r="2373">
          <cell r="B2373" t="str">
            <v>6.1.01.02.01</v>
          </cell>
          <cell r="C2373" t="str">
            <v>Pelampauan Penerimaan Pendapatan Transfer-Transfer Pemerintah Pusat</v>
          </cell>
          <cell r="D2373">
            <v>228221355096.94</v>
          </cell>
          <cell r="E2373">
            <v>331614733062.02002</v>
          </cell>
          <cell r="F2373">
            <v>0</v>
          </cell>
          <cell r="G2373">
            <v>0</v>
          </cell>
          <cell r="H2373">
            <v>0</v>
          </cell>
          <cell r="I2373">
            <v>0</v>
          </cell>
          <cell r="J2373">
            <v>331614733062.02002</v>
          </cell>
        </row>
        <row r="2374">
          <cell r="B2374" t="str">
            <v>6.1.01.02.02</v>
          </cell>
          <cell r="C2374" t="str">
            <v>Pelampauan Penerimaan Pendapatan Transfer antar Daerah</v>
          </cell>
          <cell r="D2374">
            <v>0</v>
          </cell>
          <cell r="E2374">
            <v>0</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F2375"/>
          <cell r="G2375"/>
          <cell r="H2375"/>
          <cell r="I2375"/>
          <cell r="J2375">
            <v>0</v>
          </cell>
        </row>
        <row r="2376">
          <cell r="B2376" t="str">
            <v>6.1.01.03.01</v>
          </cell>
          <cell r="C2376" t="str">
            <v>Pelampauan Penerimaan Lain-Lain Pendapatan Daerah yang Sah-Pendapatan Hibah</v>
          </cell>
          <cell r="D2376">
            <v>0</v>
          </cell>
          <cell r="E2376">
            <v>0</v>
          </cell>
          <cell r="F2376">
            <v>0</v>
          </cell>
          <cell r="G2376">
            <v>0</v>
          </cell>
          <cell r="H2376">
            <v>0</v>
          </cell>
          <cell r="I2376">
            <v>0</v>
          </cell>
          <cell r="J2376">
            <v>0</v>
          </cell>
        </row>
        <row r="2377">
          <cell r="B2377" t="str">
            <v>6.1.01.03.02</v>
          </cell>
          <cell r="C2377" t="str">
            <v>Pelampauan Penerimaan Lain-Lain Pendapatan Daerah yang Sah-Dana Darurat</v>
          </cell>
          <cell r="D2377">
            <v>0</v>
          </cell>
          <cell r="E2377">
            <v>0</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D2378">
            <v>0</v>
          </cell>
          <cell r="E2378">
            <v>0</v>
          </cell>
          <cell r="F2378">
            <v>0</v>
          </cell>
          <cell r="G2378">
            <v>0</v>
          </cell>
          <cell r="H2378">
            <v>0</v>
          </cell>
          <cell r="I2378">
            <v>0</v>
          </cell>
          <cell r="J2378">
            <v>0</v>
          </cell>
        </row>
        <row r="2379">
          <cell r="B2379" t="str">
            <v>6.1.01.04</v>
          </cell>
          <cell r="C2379" t="str">
            <v>Pelampauan Penerimaan Pembiayaan</v>
          </cell>
          <cell r="D2379">
            <v>0</v>
          </cell>
          <cell r="E2379">
            <v>0</v>
          </cell>
          <cell r="F2379"/>
          <cell r="G2379"/>
          <cell r="H2379"/>
          <cell r="I2379"/>
          <cell r="J2379">
            <v>0</v>
          </cell>
        </row>
        <row r="2380">
          <cell r="B2380" t="str">
            <v>6.1.01.04.01</v>
          </cell>
          <cell r="C2380" t="str">
            <v>Pelampauan Penerimaan Pembiayaan-Pencairan Dana Cadangan</v>
          </cell>
          <cell r="D2380">
            <v>0</v>
          </cell>
          <cell r="E2380">
            <v>0</v>
          </cell>
          <cell r="F2380">
            <v>0</v>
          </cell>
          <cell r="G2380">
            <v>0</v>
          </cell>
          <cell r="H2380">
            <v>0</v>
          </cell>
          <cell r="I2380">
            <v>0</v>
          </cell>
          <cell r="J2380">
            <v>0</v>
          </cell>
        </row>
        <row r="2381">
          <cell r="B2381" t="str">
            <v>6.1.01.04.02</v>
          </cell>
          <cell r="C2381" t="str">
            <v>Pelampauan Penerimaan Pembiayaan-Hasil Penjualan Kekayaan Daerah yang Dipisahkan</v>
          </cell>
          <cell r="D2381">
            <v>0</v>
          </cell>
          <cell r="E2381">
            <v>0</v>
          </cell>
          <cell r="F2381">
            <v>0</v>
          </cell>
          <cell r="G2381">
            <v>0</v>
          </cell>
          <cell r="H2381">
            <v>0</v>
          </cell>
          <cell r="I2381">
            <v>0</v>
          </cell>
          <cell r="J2381">
            <v>0</v>
          </cell>
        </row>
        <row r="2382">
          <cell r="B2382" t="str">
            <v>6.1.01.04.03</v>
          </cell>
          <cell r="C2382" t="str">
            <v>Pelampauan Penerimaan Pembiayaan-Penerimaan Pinjaman Daerah</v>
          </cell>
          <cell r="D2382">
            <v>0</v>
          </cell>
          <cell r="E2382">
            <v>0</v>
          </cell>
          <cell r="F2382">
            <v>0</v>
          </cell>
          <cell r="G2382">
            <v>0</v>
          </cell>
          <cell r="H2382">
            <v>0</v>
          </cell>
          <cell r="I2382">
            <v>0</v>
          </cell>
          <cell r="J2382">
            <v>0</v>
          </cell>
        </row>
        <row r="2383">
          <cell r="B2383" t="str">
            <v>6.1.01.04.04</v>
          </cell>
          <cell r="C2383" t="str">
            <v>Pelampauan Penerimaan Pembiayaan-Penerimaan Kembali Pemberian Pinjaman Daerah</v>
          </cell>
          <cell r="D2383">
            <v>0</v>
          </cell>
          <cell r="E2383">
            <v>0</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D2384">
            <v>0</v>
          </cell>
          <cell r="E2384">
            <v>0</v>
          </cell>
          <cell r="F2384">
            <v>0</v>
          </cell>
          <cell r="G2384">
            <v>0</v>
          </cell>
          <cell r="H2384">
            <v>0</v>
          </cell>
          <cell r="I2384">
            <v>0</v>
          </cell>
          <cell r="J2384">
            <v>0</v>
          </cell>
        </row>
        <row r="2385">
          <cell r="B2385" t="str">
            <v>6.1.01.04.06</v>
          </cell>
          <cell r="C2385" t="str">
            <v>Pelampauan Penerimaan Pembiayaan-Penarikan Pokok Dana Abadi Daerah</v>
          </cell>
          <cell r="D2385">
            <v>0</v>
          </cell>
          <cell r="E2385">
            <v>0</v>
          </cell>
          <cell r="F2385">
            <v>0</v>
          </cell>
          <cell r="G2385">
            <v>0</v>
          </cell>
          <cell r="H2385">
            <v>0</v>
          </cell>
          <cell r="I2385">
            <v>0</v>
          </cell>
          <cell r="J2385">
            <v>0</v>
          </cell>
        </row>
        <row r="2386">
          <cell r="B2386" t="str">
            <v>6.1.01.04.07</v>
          </cell>
          <cell r="C2386" t="str">
            <v>Pelampauan Penerimaan Pembiayaan-Penerimaan Pembiayaan Utang Daerah</v>
          </cell>
          <cell r="D2386">
            <v>0</v>
          </cell>
          <cell r="E2386">
            <v>0</v>
          </cell>
          <cell r="F2386">
            <v>0</v>
          </cell>
          <cell r="G2386">
            <v>0</v>
          </cell>
          <cell r="H2386">
            <v>0</v>
          </cell>
          <cell r="I2386">
            <v>0</v>
          </cell>
          <cell r="J2386">
            <v>0</v>
          </cell>
        </row>
        <row r="2387">
          <cell r="B2387" t="str">
            <v>6.1.01.05</v>
          </cell>
          <cell r="C2387" t="str">
            <v>Penghematan Belanja</v>
          </cell>
          <cell r="D2387">
            <v>0</v>
          </cell>
          <cell r="E2387">
            <v>0</v>
          </cell>
          <cell r="F2387"/>
          <cell r="G2387"/>
          <cell r="H2387"/>
          <cell r="I2387"/>
          <cell r="J2387">
            <v>0</v>
          </cell>
        </row>
        <row r="2388">
          <cell r="B2388" t="str">
            <v>6.1.01.05.01</v>
          </cell>
          <cell r="C2388" t="str">
            <v>Penghematan Belanja-Belanja Operasi</v>
          </cell>
          <cell r="D2388">
            <v>0</v>
          </cell>
          <cell r="E2388">
            <v>0</v>
          </cell>
          <cell r="F2388">
            <v>0</v>
          </cell>
          <cell r="G2388">
            <v>0</v>
          </cell>
          <cell r="H2388">
            <v>0</v>
          </cell>
          <cell r="I2388">
            <v>0</v>
          </cell>
          <cell r="J2388">
            <v>0</v>
          </cell>
        </row>
        <row r="2389">
          <cell r="B2389" t="str">
            <v>6.1.01.05.02</v>
          </cell>
          <cell r="C2389" t="str">
            <v>Penghematan Belanja-Belanja Modal</v>
          </cell>
          <cell r="D2389">
            <v>0</v>
          </cell>
          <cell r="E2389">
            <v>0</v>
          </cell>
          <cell r="F2389">
            <v>0</v>
          </cell>
          <cell r="G2389">
            <v>0</v>
          </cell>
          <cell r="H2389">
            <v>0</v>
          </cell>
          <cell r="I2389">
            <v>0</v>
          </cell>
          <cell r="J2389">
            <v>0</v>
          </cell>
        </row>
        <row r="2390">
          <cell r="B2390" t="str">
            <v>6.1.01.05.03</v>
          </cell>
          <cell r="C2390" t="str">
            <v>Sisa Penggunaan Belanja Tidak Terduga</v>
          </cell>
          <cell r="D2390">
            <v>0</v>
          </cell>
          <cell r="E2390">
            <v>0</v>
          </cell>
          <cell r="F2390">
            <v>0</v>
          </cell>
          <cell r="G2390">
            <v>0</v>
          </cell>
          <cell r="H2390">
            <v>0</v>
          </cell>
          <cell r="I2390">
            <v>0</v>
          </cell>
          <cell r="J2390">
            <v>0</v>
          </cell>
        </row>
        <row r="2391">
          <cell r="B2391" t="str">
            <v>6.1.01.05.04</v>
          </cell>
          <cell r="C2391" t="str">
            <v>Sisa Belanja Transfer</v>
          </cell>
          <cell r="D2391">
            <v>0</v>
          </cell>
          <cell r="E2391">
            <v>0</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F2392"/>
          <cell r="G2392"/>
          <cell r="H2392"/>
          <cell r="I2392"/>
          <cell r="J2392">
            <v>0</v>
          </cell>
        </row>
        <row r="2393">
          <cell r="B2393" t="str">
            <v>6.1.01.06.01</v>
          </cell>
          <cell r="C2393" t="str">
            <v>Uang Jaminan</v>
          </cell>
          <cell r="D2393">
            <v>0</v>
          </cell>
          <cell r="E2393">
            <v>0</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0</v>
          </cell>
          <cell r="E2394">
            <v>0</v>
          </cell>
          <cell r="F2394"/>
          <cell r="G2394"/>
          <cell r="H2394"/>
          <cell r="I2394"/>
          <cell r="J2394">
            <v>0</v>
          </cell>
        </row>
        <row r="2395">
          <cell r="B2395" t="str">
            <v>6.1.01.07.01</v>
          </cell>
          <cell r="C2395" t="str">
            <v>Sisa Dana Akibat Tidak Tercapainya Capaian Target Kinerja</v>
          </cell>
          <cell r="D2395">
            <v>0</v>
          </cell>
          <cell r="E2395">
            <v>0</v>
          </cell>
          <cell r="F2395">
            <v>0</v>
          </cell>
          <cell r="G2395">
            <v>0</v>
          </cell>
          <cell r="H2395">
            <v>0</v>
          </cell>
          <cell r="I2395">
            <v>0</v>
          </cell>
          <cell r="J2395">
            <v>0</v>
          </cell>
        </row>
        <row r="2396">
          <cell r="B2396" t="str">
            <v>6.1.01.07.02</v>
          </cell>
          <cell r="C2396" t="str">
            <v>Sisa Dana Pengeluaran Pembiayaan</v>
          </cell>
          <cell r="D2396">
            <v>0</v>
          </cell>
          <cell r="E2396">
            <v>0</v>
          </cell>
          <cell r="F2396">
            <v>0</v>
          </cell>
          <cell r="G2396">
            <v>0</v>
          </cell>
          <cell r="H2396">
            <v>0</v>
          </cell>
          <cell r="I2396">
            <v>0</v>
          </cell>
          <cell r="J2396">
            <v>0</v>
          </cell>
        </row>
        <row r="2397">
          <cell r="B2397" t="str">
            <v>6.1.01.08</v>
          </cell>
          <cell r="C2397" t="str">
            <v>Sisa Belanja Lainnya</v>
          </cell>
          <cell r="D2397">
            <v>0</v>
          </cell>
          <cell r="E2397">
            <v>0</v>
          </cell>
          <cell r="F2397"/>
          <cell r="G2397"/>
          <cell r="H2397"/>
          <cell r="I2397"/>
          <cell r="J2397">
            <v>0</v>
          </cell>
        </row>
        <row r="2398">
          <cell r="B2398" t="str">
            <v>6.1.01.08.01</v>
          </cell>
          <cell r="C2398" t="str">
            <v>Sisa Lebih Perhitungan Anggaran BLUD</v>
          </cell>
          <cell r="D2398">
            <v>0</v>
          </cell>
          <cell r="E2398">
            <v>0</v>
          </cell>
          <cell r="F2398">
            <v>0</v>
          </cell>
          <cell r="G2398">
            <v>0</v>
          </cell>
          <cell r="H2398">
            <v>0</v>
          </cell>
          <cell r="I2398">
            <v>0</v>
          </cell>
          <cell r="J2398">
            <v>0</v>
          </cell>
        </row>
        <row r="2399">
          <cell r="B2399" t="str">
            <v>6.1.01.08.02</v>
          </cell>
          <cell r="C2399" t="str">
            <v>Sisa Dana BOS</v>
          </cell>
          <cell r="D2399">
            <v>0</v>
          </cell>
          <cell r="E2399">
            <v>0</v>
          </cell>
          <cell r="F2399">
            <v>0</v>
          </cell>
          <cell r="G2399">
            <v>0</v>
          </cell>
          <cell r="H2399">
            <v>0</v>
          </cell>
          <cell r="I2399">
            <v>0</v>
          </cell>
          <cell r="J2399">
            <v>0</v>
          </cell>
        </row>
        <row r="2400">
          <cell r="B2400" t="str">
            <v>6.1.01.08.03</v>
          </cell>
          <cell r="C2400" t="str">
            <v>Sisa Dana Kapitasi</v>
          </cell>
          <cell r="D2400">
            <v>0</v>
          </cell>
          <cell r="E2400">
            <v>0</v>
          </cell>
          <cell r="F2400">
            <v>0</v>
          </cell>
          <cell r="G2400">
            <v>0</v>
          </cell>
          <cell r="H2400">
            <v>0</v>
          </cell>
          <cell r="I2400">
            <v>0</v>
          </cell>
          <cell r="J2400">
            <v>0</v>
          </cell>
        </row>
        <row r="2401">
          <cell r="B2401" t="str">
            <v>6.1.01.08.04</v>
          </cell>
          <cell r="C2401" t="str">
            <v>Sisa Dana BOSP</v>
          </cell>
          <cell r="D2401">
            <v>0</v>
          </cell>
          <cell r="E2401">
            <v>0</v>
          </cell>
          <cell r="F2401">
            <v>0</v>
          </cell>
          <cell r="G2401">
            <v>0</v>
          </cell>
          <cell r="H2401">
            <v>0</v>
          </cell>
          <cell r="I2401">
            <v>0</v>
          </cell>
          <cell r="J2401">
            <v>0</v>
          </cell>
        </row>
        <row r="2402">
          <cell r="B2402" t="str">
            <v>6.1.01.08.05</v>
          </cell>
          <cell r="C2402" t="str">
            <v>Sisa Dana BOK Puskesmas</v>
          </cell>
          <cell r="D2402">
            <v>0</v>
          </cell>
          <cell r="E2402">
            <v>0</v>
          </cell>
          <cell r="F2402">
            <v>0</v>
          </cell>
          <cell r="G2402">
            <v>0</v>
          </cell>
          <cell r="H2402">
            <v>0</v>
          </cell>
          <cell r="I2402">
            <v>0</v>
          </cell>
          <cell r="J2402">
            <v>0</v>
          </cell>
        </row>
        <row r="2403">
          <cell r="B2403" t="str">
            <v>6.1.01.09</v>
          </cell>
          <cell r="C2403" t="str">
            <v>Penarikan Sisa Lebih Perhitungan Anggaran BLUD</v>
          </cell>
          <cell r="D2403">
            <v>0</v>
          </cell>
          <cell r="E2403">
            <v>0</v>
          </cell>
          <cell r="F2403"/>
          <cell r="G2403"/>
          <cell r="H2403"/>
          <cell r="I2403"/>
          <cell r="J2403">
            <v>0</v>
          </cell>
        </row>
        <row r="2404">
          <cell r="B2404" t="str">
            <v>6.1.01.09.01</v>
          </cell>
          <cell r="C2404" t="str">
            <v>Penarikan Sisa Lebih Perhitungan Anggaran BLUD</v>
          </cell>
          <cell r="D2404">
            <v>0</v>
          </cell>
          <cell r="E2404">
            <v>0</v>
          </cell>
          <cell r="F2404">
            <v>0</v>
          </cell>
          <cell r="G2404">
            <v>0</v>
          </cell>
          <cell r="H2404">
            <v>0</v>
          </cell>
          <cell r="I2404">
            <v>0</v>
          </cell>
          <cell r="J2404">
            <v>0</v>
          </cell>
        </row>
        <row r="2405">
          <cell r="B2405" t="str">
            <v>6.1.01.10</v>
          </cell>
          <cell r="C2405" t="str">
            <v>Sisa Dana Otonomi Khusus</v>
          </cell>
          <cell r="D2405">
            <v>0</v>
          </cell>
          <cell r="E2405">
            <v>0</v>
          </cell>
          <cell r="F2405"/>
          <cell r="G2405"/>
          <cell r="H2405"/>
          <cell r="I2405"/>
          <cell r="J2405">
            <v>0</v>
          </cell>
        </row>
        <row r="2406">
          <cell r="B2406" t="str">
            <v>6.1.01.10.01</v>
          </cell>
          <cell r="C2406" t="str">
            <v>Sisa Dana Otonomi Khusus-Papua</v>
          </cell>
          <cell r="D2406">
            <v>0</v>
          </cell>
          <cell r="E2406">
            <v>0</v>
          </cell>
          <cell r="F2406">
            <v>0</v>
          </cell>
          <cell r="G2406">
            <v>0</v>
          </cell>
          <cell r="H2406">
            <v>0</v>
          </cell>
          <cell r="I2406">
            <v>0</v>
          </cell>
          <cell r="J2406">
            <v>0</v>
          </cell>
        </row>
        <row r="2407">
          <cell r="B2407" t="str">
            <v>6.1.01.10.02</v>
          </cell>
          <cell r="C2407" t="str">
            <v>Sisa Dana Otonomi Khusus-Aceh</v>
          </cell>
          <cell r="D2407">
            <v>0</v>
          </cell>
          <cell r="E2407">
            <v>0</v>
          </cell>
          <cell r="F2407">
            <v>0</v>
          </cell>
          <cell r="G2407">
            <v>0</v>
          </cell>
          <cell r="H2407">
            <v>0</v>
          </cell>
          <cell r="I2407">
            <v>0</v>
          </cell>
          <cell r="J2407">
            <v>0</v>
          </cell>
        </row>
        <row r="2408">
          <cell r="B2408"/>
          <cell r="C2408"/>
          <cell r="D2408"/>
          <cell r="E2408"/>
          <cell r="F2408"/>
          <cell r="G2408"/>
          <cell r="H2408"/>
          <cell r="I2408"/>
          <cell r="J2408"/>
        </row>
        <row r="2409">
          <cell r="B2409" t="str">
            <v>6.1.02</v>
          </cell>
          <cell r="C2409" t="str">
            <v>Pencairan Dana Cadangan</v>
          </cell>
          <cell r="D2409">
            <v>0</v>
          </cell>
          <cell r="E2409">
            <v>0</v>
          </cell>
          <cell r="F2409"/>
          <cell r="G2409"/>
          <cell r="H2409"/>
          <cell r="I2409"/>
          <cell r="J2409">
            <v>0</v>
          </cell>
        </row>
        <row r="2410">
          <cell r="B2410" t="str">
            <v>6.1.02.01</v>
          </cell>
          <cell r="C2410" t="str">
            <v>Pencairan Dana Cadangan</v>
          </cell>
          <cell r="D2410">
            <v>0</v>
          </cell>
          <cell r="E2410">
            <v>0</v>
          </cell>
          <cell r="F2410"/>
          <cell r="G2410"/>
          <cell r="H2410"/>
          <cell r="I2410"/>
          <cell r="J2410">
            <v>0</v>
          </cell>
        </row>
        <row r="2411">
          <cell r="B2411" t="str">
            <v>6.1.02.01.01</v>
          </cell>
          <cell r="C2411" t="str">
            <v>Pencairan Dana Cadangan</v>
          </cell>
          <cell r="D2411"/>
          <cell r="E2411"/>
          <cell r="F2411">
            <v>0</v>
          </cell>
          <cell r="G2411">
            <v>0</v>
          </cell>
          <cell r="H2411">
            <v>0</v>
          </cell>
          <cell r="I2411">
            <v>0</v>
          </cell>
          <cell r="J2411">
            <v>0</v>
          </cell>
        </row>
        <row r="2412">
          <cell r="B2412" t="str">
            <v>6.1.02.02</v>
          </cell>
          <cell r="C2412" t="str">
            <v>Pencairan Dana Cadangan untuk Pembayaran Pokok Obligasi</v>
          </cell>
          <cell r="D2412">
            <v>0</v>
          </cell>
          <cell r="E2412">
            <v>0</v>
          </cell>
          <cell r="F2412"/>
          <cell r="G2412"/>
          <cell r="H2412"/>
          <cell r="I2412"/>
          <cell r="J2412">
            <v>0</v>
          </cell>
        </row>
        <row r="2413">
          <cell r="B2413" t="str">
            <v>6.1.02.02.01</v>
          </cell>
          <cell r="C2413" t="str">
            <v>Pencairan Dana Cadangan untuk Pembayaran Pokok Obligasi</v>
          </cell>
          <cell r="D2413"/>
          <cell r="E2413"/>
          <cell r="F2413">
            <v>0</v>
          </cell>
          <cell r="G2413">
            <v>0</v>
          </cell>
          <cell r="H2413">
            <v>0</v>
          </cell>
          <cell r="I2413">
            <v>0</v>
          </cell>
          <cell r="J2413">
            <v>0</v>
          </cell>
        </row>
        <row r="2414">
          <cell r="B2414" t="str">
            <v>6.1.02.03</v>
          </cell>
          <cell r="C2414" t="str">
            <v>Pencairan Dana Cadangan untuk Pembayaran Pokok Sukuk</v>
          </cell>
          <cell r="D2414">
            <v>0</v>
          </cell>
          <cell r="E2414">
            <v>0</v>
          </cell>
          <cell r="F2414"/>
          <cell r="G2414"/>
          <cell r="H2414"/>
          <cell r="I2414"/>
          <cell r="J2414">
            <v>0</v>
          </cell>
        </row>
        <row r="2415">
          <cell r="B2415" t="str">
            <v>6.1.02.03.01</v>
          </cell>
          <cell r="C2415" t="str">
            <v>Pencairan Dana Cadangan untuk Pembayaran Pokok Sukuk</v>
          </cell>
          <cell r="D2415"/>
          <cell r="E2415"/>
          <cell r="F2415">
            <v>0</v>
          </cell>
          <cell r="G2415">
            <v>0</v>
          </cell>
          <cell r="H2415">
            <v>0</v>
          </cell>
          <cell r="I2415">
            <v>0</v>
          </cell>
          <cell r="J2415">
            <v>0</v>
          </cell>
        </row>
        <row r="2416">
          <cell r="B2416"/>
          <cell r="C2416"/>
          <cell r="D2416"/>
          <cell r="E2416"/>
          <cell r="F2416"/>
          <cell r="G2416"/>
          <cell r="H2416"/>
          <cell r="I2416"/>
          <cell r="J2416"/>
        </row>
        <row r="2417">
          <cell r="B2417" t="str">
            <v>6.1.03</v>
          </cell>
          <cell r="C2417" t="str">
            <v>Hasil Penjualan Kekayaan Daerah yang Dipisahkan</v>
          </cell>
          <cell r="D2417">
            <v>0</v>
          </cell>
          <cell r="E2417">
            <v>0</v>
          </cell>
          <cell r="F2417"/>
          <cell r="G2417"/>
          <cell r="H2417"/>
          <cell r="I2417"/>
          <cell r="J2417">
            <v>0</v>
          </cell>
        </row>
        <row r="2418">
          <cell r="B2418" t="str">
            <v>6.1.03.01</v>
          </cell>
          <cell r="C2418" t="str">
            <v>Hasil Penjualan Kekayaan Daerah yang Dipisahkan pada Badan Usaha Milik Negara (BUMN)</v>
          </cell>
          <cell r="D2418">
            <v>0</v>
          </cell>
          <cell r="E2418">
            <v>0</v>
          </cell>
          <cell r="F2418"/>
          <cell r="G2418"/>
          <cell r="H2418"/>
          <cell r="I2418"/>
          <cell r="J2418">
            <v>0</v>
          </cell>
        </row>
        <row r="2419">
          <cell r="B2419" t="str">
            <v>6.1.03.01.01</v>
          </cell>
          <cell r="C2419" t="str">
            <v>Hasil Penjualan Kekayaan Daerah yang Dipisahkan pada BUMN</v>
          </cell>
          <cell r="D2419">
            <v>0</v>
          </cell>
          <cell r="E2419">
            <v>0</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F2420"/>
          <cell r="G2420"/>
          <cell r="H2420"/>
          <cell r="I2420"/>
          <cell r="J2420">
            <v>0</v>
          </cell>
        </row>
        <row r="2421">
          <cell r="B2421" t="str">
            <v>6.1.03.02.01</v>
          </cell>
          <cell r="C2421" t="str">
            <v>Hasil Penjualan Kekayaan Daerah yang Dipisahkan pada BUMD</v>
          </cell>
          <cell r="D2421">
            <v>0</v>
          </cell>
          <cell r="E2421">
            <v>0</v>
          </cell>
          <cell r="F2421">
            <v>0</v>
          </cell>
          <cell r="G2421">
            <v>0</v>
          </cell>
          <cell r="H2421">
            <v>0</v>
          </cell>
          <cell r="I2421">
            <v>0</v>
          </cell>
          <cell r="J2421">
            <v>0</v>
          </cell>
        </row>
        <row r="2422">
          <cell r="B2422"/>
          <cell r="C2422"/>
          <cell r="D2422"/>
          <cell r="E2422"/>
          <cell r="F2422"/>
          <cell r="G2422"/>
          <cell r="H2422"/>
          <cell r="I2422"/>
          <cell r="J2422"/>
        </row>
        <row r="2423">
          <cell r="B2423" t="str">
            <v>6.1.04</v>
          </cell>
          <cell r="C2423" t="str">
            <v>Penerimaan Pinjaman Daerah</v>
          </cell>
          <cell r="D2423">
            <v>0</v>
          </cell>
          <cell r="E2423">
            <v>0</v>
          </cell>
          <cell r="F2423"/>
          <cell r="G2423"/>
          <cell r="H2423"/>
          <cell r="I2423"/>
          <cell r="J2423">
            <v>0</v>
          </cell>
        </row>
        <row r="2424">
          <cell r="B2424" t="str">
            <v>6.1.04.01</v>
          </cell>
          <cell r="C2424" t="str">
            <v>Pinjaman Daerah dari Pemerintah Pusat</v>
          </cell>
          <cell r="D2424">
            <v>0</v>
          </cell>
          <cell r="E2424">
            <v>0</v>
          </cell>
          <cell r="F2424"/>
          <cell r="G2424"/>
          <cell r="H2424"/>
          <cell r="I2424"/>
          <cell r="J2424">
            <v>0</v>
          </cell>
        </row>
        <row r="2425">
          <cell r="B2425" t="str">
            <v>6.1.04.01.01</v>
          </cell>
          <cell r="C2425" t="str">
            <v>Pinjaman Daerah dari Pemerintah Pusat-Penerusan Pinjaman Dalam Negeri-Jangka Menengah</v>
          </cell>
          <cell r="D2425">
            <v>0</v>
          </cell>
          <cell r="E2425">
            <v>0</v>
          </cell>
          <cell r="F2425">
            <v>0</v>
          </cell>
          <cell r="G2425">
            <v>0</v>
          </cell>
          <cell r="H2425">
            <v>0</v>
          </cell>
          <cell r="I2425">
            <v>0</v>
          </cell>
          <cell r="J2425">
            <v>0</v>
          </cell>
        </row>
        <row r="2426">
          <cell r="B2426" t="str">
            <v>6.1.04.01.02</v>
          </cell>
          <cell r="C2426" t="str">
            <v>Pinjaman Daerah dari Pemerintah Pusat-Penerusan Pinjaman Dalam Negeri-Jangka Panjang</v>
          </cell>
          <cell r="D2426">
            <v>0</v>
          </cell>
          <cell r="E2426">
            <v>0</v>
          </cell>
          <cell r="F2426">
            <v>0</v>
          </cell>
          <cell r="G2426">
            <v>0</v>
          </cell>
          <cell r="H2426">
            <v>0</v>
          </cell>
          <cell r="I2426">
            <v>0</v>
          </cell>
          <cell r="J2426">
            <v>0</v>
          </cell>
        </row>
        <row r="2427">
          <cell r="B2427" t="str">
            <v>6.1.04.01.03</v>
          </cell>
          <cell r="C2427" t="str">
            <v>Pinjaman Daerah dari Pemerintah Pusat-Penerusan Pinjaman Luar Negeri-Jangka Menengah</v>
          </cell>
          <cell r="D2427">
            <v>0</v>
          </cell>
          <cell r="E2427">
            <v>0</v>
          </cell>
          <cell r="F2427">
            <v>0</v>
          </cell>
          <cell r="G2427">
            <v>0</v>
          </cell>
          <cell r="H2427">
            <v>0</v>
          </cell>
          <cell r="I2427">
            <v>0</v>
          </cell>
          <cell r="J2427">
            <v>0</v>
          </cell>
        </row>
        <row r="2428">
          <cell r="B2428" t="str">
            <v>6.1.04.01.04</v>
          </cell>
          <cell r="C2428" t="str">
            <v>Pinjaman Daerah dari Pemerintah Pusat-Penerusan Pinjaman Luar Negeri-Jangka Panjang</v>
          </cell>
          <cell r="D2428">
            <v>0</v>
          </cell>
          <cell r="E2428">
            <v>0</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D2429">
            <v>0</v>
          </cell>
          <cell r="E2429">
            <v>0</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D2430">
            <v>0</v>
          </cell>
          <cell r="E2430">
            <v>0</v>
          </cell>
          <cell r="F2430">
            <v>0</v>
          </cell>
          <cell r="G2430">
            <v>0</v>
          </cell>
          <cell r="H2430">
            <v>0</v>
          </cell>
          <cell r="I2430">
            <v>0</v>
          </cell>
          <cell r="J2430">
            <v>0</v>
          </cell>
        </row>
        <row r="2431">
          <cell r="B2431" t="str">
            <v>6.1.04.02</v>
          </cell>
          <cell r="C2431" t="str">
            <v>Pinjaman Daerah dari Pemerintah Daerah Lain</v>
          </cell>
          <cell r="D2431">
            <v>0</v>
          </cell>
          <cell r="E2431">
            <v>0</v>
          </cell>
          <cell r="F2431"/>
          <cell r="G2431"/>
          <cell r="H2431"/>
          <cell r="I2431"/>
          <cell r="J2431">
            <v>0</v>
          </cell>
        </row>
        <row r="2432">
          <cell r="B2432" t="str">
            <v>6.1.04.02.01</v>
          </cell>
          <cell r="C2432" t="str">
            <v>Pinjaman Daerah dari Pemerintah Daerah-Jangka Pendek</v>
          </cell>
          <cell r="D2432">
            <v>0</v>
          </cell>
          <cell r="E2432">
            <v>0</v>
          </cell>
          <cell r="F2432">
            <v>0</v>
          </cell>
          <cell r="G2432">
            <v>0</v>
          </cell>
          <cell r="H2432">
            <v>0</v>
          </cell>
          <cell r="I2432">
            <v>0</v>
          </cell>
          <cell r="J2432">
            <v>0</v>
          </cell>
        </row>
        <row r="2433">
          <cell r="B2433" t="str">
            <v>6.1.04.03</v>
          </cell>
          <cell r="C2433" t="str">
            <v>Pinjaman Daerah dari Lembaga Keuangan Bank (LKB)</v>
          </cell>
          <cell r="D2433">
            <v>0</v>
          </cell>
          <cell r="E2433">
            <v>0</v>
          </cell>
          <cell r="F2433"/>
          <cell r="G2433"/>
          <cell r="H2433"/>
          <cell r="I2433"/>
          <cell r="J2433">
            <v>0</v>
          </cell>
        </row>
        <row r="2434">
          <cell r="B2434" t="str">
            <v>6.1.04.03.01</v>
          </cell>
          <cell r="C2434" t="str">
            <v>Pinjaman Daerah dari Lembaga Keuangan Bank (LKB)-BUMN-Jangka Pendek</v>
          </cell>
          <cell r="D2434">
            <v>0</v>
          </cell>
          <cell r="E2434">
            <v>0</v>
          </cell>
          <cell r="F2434">
            <v>0</v>
          </cell>
          <cell r="G2434">
            <v>0</v>
          </cell>
          <cell r="H2434">
            <v>0</v>
          </cell>
          <cell r="I2434">
            <v>0</v>
          </cell>
          <cell r="J2434">
            <v>0</v>
          </cell>
        </row>
        <row r="2435">
          <cell r="B2435" t="str">
            <v>6.1.04.03.02</v>
          </cell>
          <cell r="C2435" t="str">
            <v>Pinjaman Daerah dari Lembaga Keuangan Bank (LKB)-BUMN-Jangka Menengah</v>
          </cell>
          <cell r="D2435">
            <v>0</v>
          </cell>
          <cell r="E2435">
            <v>0</v>
          </cell>
          <cell r="F2435">
            <v>0</v>
          </cell>
          <cell r="G2435">
            <v>0</v>
          </cell>
          <cell r="H2435">
            <v>0</v>
          </cell>
          <cell r="I2435">
            <v>0</v>
          </cell>
          <cell r="J2435">
            <v>0</v>
          </cell>
        </row>
        <row r="2436">
          <cell r="B2436" t="str">
            <v>6.1.04.03.03</v>
          </cell>
          <cell r="C2436" t="str">
            <v>Pinjaman Daerah dari Lembaga Keuangan Bank (LKB)-BUMN-Jangka Panjang</v>
          </cell>
          <cell r="D2436">
            <v>0</v>
          </cell>
          <cell r="E2436">
            <v>0</v>
          </cell>
          <cell r="F2436">
            <v>0</v>
          </cell>
          <cell r="G2436">
            <v>0</v>
          </cell>
          <cell r="H2436">
            <v>0</v>
          </cell>
          <cell r="I2436">
            <v>0</v>
          </cell>
          <cell r="J2436">
            <v>0</v>
          </cell>
        </row>
        <row r="2437">
          <cell r="B2437" t="str">
            <v>6.1.04.03.04</v>
          </cell>
          <cell r="C2437" t="str">
            <v>Pinjaman Daerah dari Lembaga Keuangan Bank (LKB)-BUMD-Jangka Pendek</v>
          </cell>
          <cell r="D2437">
            <v>0</v>
          </cell>
          <cell r="E2437">
            <v>0</v>
          </cell>
          <cell r="F2437">
            <v>0</v>
          </cell>
          <cell r="G2437">
            <v>0</v>
          </cell>
          <cell r="H2437">
            <v>0</v>
          </cell>
          <cell r="I2437">
            <v>0</v>
          </cell>
          <cell r="J2437">
            <v>0</v>
          </cell>
        </row>
        <row r="2438">
          <cell r="B2438" t="str">
            <v>6.1.04.03.05</v>
          </cell>
          <cell r="C2438" t="str">
            <v>Pinjaman Daerah dari Lembaga Keuangan Bank (LKB)-BUMD-Jangka Menengah</v>
          </cell>
          <cell r="D2438">
            <v>0</v>
          </cell>
          <cell r="E2438">
            <v>0</v>
          </cell>
          <cell r="F2438">
            <v>0</v>
          </cell>
          <cell r="G2438">
            <v>0</v>
          </cell>
          <cell r="H2438">
            <v>0</v>
          </cell>
          <cell r="I2438">
            <v>0</v>
          </cell>
          <cell r="J2438">
            <v>0</v>
          </cell>
        </row>
        <row r="2439">
          <cell r="B2439" t="str">
            <v>6.1.04.03.06</v>
          </cell>
          <cell r="C2439" t="str">
            <v>Pinjaman Daerah dari Lembaga Keuangan Bank (LKB)-BUMD-Jangka Panjang</v>
          </cell>
          <cell r="D2439">
            <v>0</v>
          </cell>
          <cell r="E2439">
            <v>0</v>
          </cell>
          <cell r="F2439">
            <v>0</v>
          </cell>
          <cell r="G2439">
            <v>0</v>
          </cell>
          <cell r="H2439">
            <v>0</v>
          </cell>
          <cell r="I2439">
            <v>0</v>
          </cell>
          <cell r="J2439">
            <v>0</v>
          </cell>
        </row>
        <row r="2440">
          <cell r="B2440" t="str">
            <v>6.1.04.03.07</v>
          </cell>
          <cell r="C2440" t="str">
            <v>Pinjaman Daerah dari Lembaga Keuangan Bank (LKB)-Swasta-Jangka Pendek</v>
          </cell>
          <cell r="D2440">
            <v>0</v>
          </cell>
          <cell r="E2440">
            <v>0</v>
          </cell>
          <cell r="F2440">
            <v>0</v>
          </cell>
          <cell r="G2440">
            <v>0</v>
          </cell>
          <cell r="H2440">
            <v>0</v>
          </cell>
          <cell r="I2440">
            <v>0</v>
          </cell>
          <cell r="J2440">
            <v>0</v>
          </cell>
        </row>
        <row r="2441">
          <cell r="B2441" t="str">
            <v>6.1.04.03.08</v>
          </cell>
          <cell r="C2441" t="str">
            <v>Pinjaman Daerah dari Lembaga Keuangan Bank (LKB)-Swasta-Jangka Menengah</v>
          </cell>
          <cell r="D2441">
            <v>0</v>
          </cell>
          <cell r="E2441">
            <v>0</v>
          </cell>
          <cell r="F2441">
            <v>0</v>
          </cell>
          <cell r="G2441">
            <v>0</v>
          </cell>
          <cell r="H2441">
            <v>0</v>
          </cell>
          <cell r="I2441">
            <v>0</v>
          </cell>
          <cell r="J2441">
            <v>0</v>
          </cell>
        </row>
        <row r="2442">
          <cell r="B2442" t="str">
            <v>6.1.04.03.09</v>
          </cell>
          <cell r="C2442" t="str">
            <v>Pinjaman Daerah dari Lembaga Keuangan Bank (LKB)-Swasta-Jangka Panjang</v>
          </cell>
          <cell r="D2442">
            <v>0</v>
          </cell>
          <cell r="E2442">
            <v>0</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F2443"/>
          <cell r="G2443"/>
          <cell r="H2443"/>
          <cell r="I2443"/>
          <cell r="J2443">
            <v>0</v>
          </cell>
        </row>
        <row r="2444">
          <cell r="B2444" t="str">
            <v>6.1.04.04.01</v>
          </cell>
          <cell r="C2444" t="str">
            <v>Pinjaman Daerah dari Lembaga Keuangan Bukan Bank (LKBB)-BUMN-Jangka Pendek</v>
          </cell>
          <cell r="D2444"/>
          <cell r="E2444"/>
          <cell r="F2444">
            <v>0</v>
          </cell>
          <cell r="G2444">
            <v>0</v>
          </cell>
          <cell r="H2444">
            <v>0</v>
          </cell>
          <cell r="I2444">
            <v>0</v>
          </cell>
          <cell r="J2444">
            <v>0</v>
          </cell>
        </row>
        <row r="2445">
          <cell r="B2445" t="str">
            <v>6.1.04.04.02</v>
          </cell>
          <cell r="C2445" t="str">
            <v>Pinjaman Daerah dari Lembaga Keuangan Bukan Bank (LKBB)-BUMN-Jangka Menengah</v>
          </cell>
          <cell r="D2445"/>
          <cell r="E2445"/>
          <cell r="F2445">
            <v>0</v>
          </cell>
          <cell r="G2445">
            <v>0</v>
          </cell>
          <cell r="H2445">
            <v>0</v>
          </cell>
          <cell r="I2445">
            <v>0</v>
          </cell>
          <cell r="J2445">
            <v>0</v>
          </cell>
        </row>
        <row r="2446">
          <cell r="B2446" t="str">
            <v>6.1.04.04.03</v>
          </cell>
          <cell r="C2446" t="str">
            <v>Pinjaman Daerah dari Lembaga Keuangan Bukan Bank (LKBB)-BUMN-Jangka Panjang</v>
          </cell>
          <cell r="D2446"/>
          <cell r="E2446"/>
          <cell r="F2446">
            <v>0</v>
          </cell>
          <cell r="G2446">
            <v>0</v>
          </cell>
          <cell r="H2446">
            <v>0</v>
          </cell>
          <cell r="I2446">
            <v>0</v>
          </cell>
          <cell r="J2446">
            <v>0</v>
          </cell>
        </row>
        <row r="2447">
          <cell r="B2447" t="str">
            <v>6.1.04.04.04</v>
          </cell>
          <cell r="C2447" t="str">
            <v>Pinjaman Daerah dari Lembaga Keuangan Bukan Bank (LKBB)-BUMD-Jangka Pendek</v>
          </cell>
          <cell r="D2447"/>
          <cell r="E2447"/>
          <cell r="F2447">
            <v>0</v>
          </cell>
          <cell r="G2447">
            <v>0</v>
          </cell>
          <cell r="H2447">
            <v>0</v>
          </cell>
          <cell r="I2447">
            <v>0</v>
          </cell>
          <cell r="J2447">
            <v>0</v>
          </cell>
        </row>
        <row r="2448">
          <cell r="B2448" t="str">
            <v>6.1.04.04.05</v>
          </cell>
          <cell r="C2448" t="str">
            <v>Pinjaman Daerah dari Lembaga Keuangan Bukan Bank (LKBB)-BUMD-Jangka Menengah</v>
          </cell>
          <cell r="D2448"/>
          <cell r="E2448"/>
          <cell r="F2448">
            <v>0</v>
          </cell>
          <cell r="G2448">
            <v>0</v>
          </cell>
          <cell r="H2448">
            <v>0</v>
          </cell>
          <cell r="I2448">
            <v>0</v>
          </cell>
          <cell r="J2448">
            <v>0</v>
          </cell>
        </row>
        <row r="2449">
          <cell r="B2449" t="str">
            <v>6.1.04.04.06</v>
          </cell>
          <cell r="C2449" t="str">
            <v>Pinjaman Daerah dari Lembaga Keuangan Bukan Bank (LKBB)-BUMD-Jangka Panjang</v>
          </cell>
          <cell r="D2449"/>
          <cell r="E2449"/>
          <cell r="F2449">
            <v>0</v>
          </cell>
          <cell r="G2449">
            <v>0</v>
          </cell>
          <cell r="H2449">
            <v>0</v>
          </cell>
          <cell r="I2449">
            <v>0</v>
          </cell>
          <cell r="J2449">
            <v>0</v>
          </cell>
        </row>
        <row r="2450">
          <cell r="B2450" t="str">
            <v>6.1.04.04.07</v>
          </cell>
          <cell r="C2450" t="str">
            <v>Pinjaman Daerah dari Lembaga Keuangan Bukan Bank (LKBB)-Swasta-Jangka Pendek</v>
          </cell>
          <cell r="D2450"/>
          <cell r="E2450"/>
          <cell r="F2450">
            <v>0</v>
          </cell>
          <cell r="G2450">
            <v>0</v>
          </cell>
          <cell r="H2450">
            <v>0</v>
          </cell>
          <cell r="I2450">
            <v>0</v>
          </cell>
          <cell r="J2450">
            <v>0</v>
          </cell>
        </row>
        <row r="2451">
          <cell r="B2451" t="str">
            <v>6.1.04.04.08</v>
          </cell>
          <cell r="C2451" t="str">
            <v>Pinjaman Daerah dari Lembaga Keuangan Bukan Bank (LKBB)-Swasta-Jangka Menengah</v>
          </cell>
          <cell r="D2451"/>
          <cell r="E2451"/>
          <cell r="F2451">
            <v>0</v>
          </cell>
          <cell r="G2451">
            <v>0</v>
          </cell>
          <cell r="H2451">
            <v>0</v>
          </cell>
          <cell r="I2451">
            <v>0</v>
          </cell>
          <cell r="J2451">
            <v>0</v>
          </cell>
        </row>
        <row r="2452">
          <cell r="B2452" t="str">
            <v>6.1.04.04.09</v>
          </cell>
          <cell r="C2452" t="str">
            <v>Pinjaman Daerah dari Lembaga Keuangan Bukan Bank (LKBB)-Swasta-Jangka Panjang</v>
          </cell>
          <cell r="D2452"/>
          <cell r="E2452"/>
          <cell r="F2452">
            <v>0</v>
          </cell>
          <cell r="G2452">
            <v>0</v>
          </cell>
          <cell r="H2452">
            <v>0</v>
          </cell>
          <cell r="I2452">
            <v>0</v>
          </cell>
          <cell r="J2452">
            <v>0</v>
          </cell>
        </row>
        <row r="2453">
          <cell r="B2453" t="str">
            <v>6.1.04.05</v>
          </cell>
          <cell r="C2453" t="str">
            <v>Pinjaman Daerah dari Masyarakat</v>
          </cell>
          <cell r="D2453">
            <v>0</v>
          </cell>
          <cell r="E2453">
            <v>0</v>
          </cell>
          <cell r="F2453"/>
          <cell r="G2453"/>
          <cell r="H2453"/>
          <cell r="I2453"/>
          <cell r="J2453">
            <v>0</v>
          </cell>
        </row>
        <row r="2454">
          <cell r="B2454" t="str">
            <v>6.1.04.05.01</v>
          </cell>
          <cell r="C2454" t="str">
            <v>Obligasi Daerah</v>
          </cell>
          <cell r="D2454"/>
          <cell r="E2454"/>
          <cell r="F2454">
            <v>0</v>
          </cell>
          <cell r="G2454">
            <v>0</v>
          </cell>
          <cell r="H2454">
            <v>0</v>
          </cell>
          <cell r="I2454">
            <v>0</v>
          </cell>
          <cell r="J2454">
            <v>0</v>
          </cell>
        </row>
        <row r="2455">
          <cell r="B2455"/>
          <cell r="C2455"/>
          <cell r="D2455"/>
          <cell r="E2455"/>
          <cell r="F2455"/>
          <cell r="G2455"/>
          <cell r="H2455"/>
          <cell r="I2455"/>
          <cell r="J2455"/>
        </row>
        <row r="2456">
          <cell r="B2456" t="str">
            <v>6.1.05</v>
          </cell>
          <cell r="C2456" t="str">
            <v>Penerimaan Kembali Pemberian Pinjaman Daerah</v>
          </cell>
          <cell r="D2456">
            <v>530696892</v>
          </cell>
          <cell r="E2456">
            <v>1193696160</v>
          </cell>
          <cell r="F2456"/>
          <cell r="G2456"/>
          <cell r="H2456"/>
          <cell r="I2456"/>
          <cell r="J2456">
            <v>1193696160</v>
          </cell>
        </row>
        <row r="2457">
          <cell r="B2457" t="str">
            <v>6.1.05.01</v>
          </cell>
          <cell r="C2457" t="str">
            <v>Penerimaan Kembali Pemberian Pinjaman Daerah kepada Pemerintah Pusat</v>
          </cell>
          <cell r="D2457">
            <v>0</v>
          </cell>
          <cell r="E2457">
            <v>0</v>
          </cell>
          <cell r="F2457"/>
          <cell r="G2457"/>
          <cell r="H2457"/>
          <cell r="I2457"/>
          <cell r="J2457">
            <v>0</v>
          </cell>
        </row>
        <row r="2458">
          <cell r="B2458" t="str">
            <v>6.1.05.01.01</v>
          </cell>
          <cell r="C2458" t="str">
            <v>Penerimaan Kembali Pemberian Pinjaman Daerah kepada Pemerintah Pusat</v>
          </cell>
          <cell r="D2458">
            <v>0</v>
          </cell>
          <cell r="E2458">
            <v>0</v>
          </cell>
          <cell r="F2458">
            <v>0</v>
          </cell>
          <cell r="G2458">
            <v>0</v>
          </cell>
          <cell r="H2458">
            <v>0</v>
          </cell>
          <cell r="I2458">
            <v>0</v>
          </cell>
          <cell r="J2458">
            <v>0</v>
          </cell>
        </row>
        <row r="2459">
          <cell r="B2459" t="str">
            <v>6.1.05.01.02</v>
          </cell>
          <cell r="C2459" t="str">
            <v>Penerimaan Kembali Investasi dalam Proyek Pembangunan kepada Pemerintah Pusat</v>
          </cell>
          <cell r="D2459">
            <v>0</v>
          </cell>
          <cell r="E2459">
            <v>0</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F2460"/>
          <cell r="G2460"/>
          <cell r="H2460"/>
          <cell r="I2460"/>
          <cell r="J2460">
            <v>0</v>
          </cell>
        </row>
        <row r="2461">
          <cell r="B2461" t="str">
            <v>6.1.05.02.01</v>
          </cell>
          <cell r="C2461" t="str">
            <v>Penerimaan Kembali Pemberian Pinjaman Daerah kepada Pemerintah Daerah Lainnya</v>
          </cell>
          <cell r="D2461"/>
          <cell r="E2461"/>
          <cell r="F2461">
            <v>0</v>
          </cell>
          <cell r="G2461">
            <v>0</v>
          </cell>
          <cell r="H2461">
            <v>0</v>
          </cell>
          <cell r="I2461">
            <v>0</v>
          </cell>
          <cell r="J2461">
            <v>0</v>
          </cell>
        </row>
        <row r="2462">
          <cell r="B2462" t="str">
            <v>6.1.05.02.02</v>
          </cell>
          <cell r="C2462" t="str">
            <v>Penerimaan Kembali Investasi dalam Proyek Pembangunan kepada Pemerintah Daerah Lainnya</v>
          </cell>
          <cell r="D2462"/>
          <cell r="E2462"/>
          <cell r="F2462">
            <v>0</v>
          </cell>
          <cell r="G2462">
            <v>0</v>
          </cell>
          <cell r="H2462">
            <v>0</v>
          </cell>
          <cell r="I2462">
            <v>0</v>
          </cell>
          <cell r="J2462">
            <v>0</v>
          </cell>
        </row>
        <row r="2463">
          <cell r="B2463" t="str">
            <v>6.1.05.03</v>
          </cell>
          <cell r="C2463" t="str">
            <v>Penerimaan Kembali Pinjaman kepada BUMD</v>
          </cell>
          <cell r="D2463">
            <v>0</v>
          </cell>
          <cell r="E2463">
            <v>0</v>
          </cell>
          <cell r="F2463"/>
          <cell r="G2463"/>
          <cell r="H2463"/>
          <cell r="I2463"/>
          <cell r="J2463">
            <v>0</v>
          </cell>
        </row>
        <row r="2464">
          <cell r="B2464" t="str">
            <v>6.1.05.03.01</v>
          </cell>
          <cell r="C2464" t="str">
            <v>Penerimaan Kembali Pinjaman kepada BUMD</v>
          </cell>
          <cell r="D2464">
            <v>0</v>
          </cell>
          <cell r="E2464">
            <v>0</v>
          </cell>
          <cell r="F2464">
            <v>0</v>
          </cell>
          <cell r="G2464">
            <v>0</v>
          </cell>
          <cell r="H2464">
            <v>0</v>
          </cell>
          <cell r="I2464">
            <v>0</v>
          </cell>
          <cell r="J2464">
            <v>0</v>
          </cell>
        </row>
        <row r="2465">
          <cell r="B2465" t="str">
            <v>6.1.05.03.02</v>
          </cell>
          <cell r="C2465" t="str">
            <v>Penerimaan Kembali Investasi Non Permanen kepada BUMD</v>
          </cell>
          <cell r="D2465">
            <v>0</v>
          </cell>
          <cell r="E2465">
            <v>0</v>
          </cell>
          <cell r="F2465">
            <v>0</v>
          </cell>
          <cell r="G2465">
            <v>0</v>
          </cell>
          <cell r="H2465">
            <v>0</v>
          </cell>
          <cell r="I2465">
            <v>0</v>
          </cell>
          <cell r="J2465">
            <v>0</v>
          </cell>
        </row>
        <row r="2466">
          <cell r="B2466" t="str">
            <v>6.1.05.04</v>
          </cell>
          <cell r="C2466" t="str">
            <v>Penerimaan Kembali Pinjaman kepada BUMN</v>
          </cell>
          <cell r="D2466">
            <v>0</v>
          </cell>
          <cell r="E2466">
            <v>0</v>
          </cell>
          <cell r="F2466"/>
          <cell r="G2466"/>
          <cell r="H2466"/>
          <cell r="I2466"/>
          <cell r="J2466">
            <v>0</v>
          </cell>
        </row>
        <row r="2467">
          <cell r="B2467" t="str">
            <v>6.1.05.04.01</v>
          </cell>
          <cell r="C2467" t="str">
            <v>Penerimaan Kembali Pinjaman kepada BUMN</v>
          </cell>
          <cell r="D2467"/>
          <cell r="E2467"/>
          <cell r="F2467">
            <v>0</v>
          </cell>
          <cell r="G2467">
            <v>0</v>
          </cell>
          <cell r="H2467">
            <v>0</v>
          </cell>
          <cell r="I2467">
            <v>0</v>
          </cell>
          <cell r="J2467">
            <v>0</v>
          </cell>
        </row>
        <row r="2468">
          <cell r="B2468" t="str">
            <v>6.1.05.04.02</v>
          </cell>
          <cell r="C2468" t="str">
            <v>Penerimaan Kembali Investasi Non Permanen kepada BUMN</v>
          </cell>
          <cell r="D2468"/>
          <cell r="E2468"/>
          <cell r="F2468">
            <v>0</v>
          </cell>
          <cell r="G2468">
            <v>0</v>
          </cell>
          <cell r="H2468">
            <v>0</v>
          </cell>
          <cell r="I2468">
            <v>0</v>
          </cell>
          <cell r="J2468">
            <v>0</v>
          </cell>
        </row>
        <row r="2469">
          <cell r="B2469" t="str">
            <v>6.1.05.05</v>
          </cell>
          <cell r="C2469" t="str">
            <v>Penerimaan Kembali Pinjaman kepada Koperasi</v>
          </cell>
          <cell r="D2469">
            <v>530696892</v>
          </cell>
          <cell r="E2469">
            <v>1193696160</v>
          </cell>
          <cell r="F2469"/>
          <cell r="G2469"/>
          <cell r="H2469"/>
          <cell r="I2469"/>
          <cell r="J2469">
            <v>1193696160</v>
          </cell>
        </row>
        <row r="2470">
          <cell r="B2470" t="str">
            <v>6.1.05.05.01</v>
          </cell>
          <cell r="C2470" t="str">
            <v>Penerimaan Kembali Pinjaman kepada Koperasi</v>
          </cell>
          <cell r="D2470">
            <v>530696892</v>
          </cell>
          <cell r="E2470">
            <v>1193696160</v>
          </cell>
          <cell r="F2470">
            <v>0</v>
          </cell>
          <cell r="G2470">
            <v>0</v>
          </cell>
          <cell r="H2470">
            <v>0</v>
          </cell>
          <cell r="I2470">
            <v>0</v>
          </cell>
          <cell r="J2470">
            <v>1193696160</v>
          </cell>
        </row>
        <row r="2471">
          <cell r="B2471" t="str">
            <v>6.1.05.05.02</v>
          </cell>
          <cell r="C2471" t="str">
            <v>Penerimaan Kembali Dana Bergulir kepada Koperasi</v>
          </cell>
          <cell r="D2471">
            <v>0</v>
          </cell>
          <cell r="E2471">
            <v>0</v>
          </cell>
          <cell r="F2471">
            <v>0</v>
          </cell>
          <cell r="G2471">
            <v>0</v>
          </cell>
          <cell r="H2471">
            <v>0</v>
          </cell>
          <cell r="I2471">
            <v>0</v>
          </cell>
          <cell r="J2471">
            <v>0</v>
          </cell>
        </row>
        <row r="2472">
          <cell r="B2472" t="str">
            <v>6.1.05.06</v>
          </cell>
          <cell r="C2472" t="str">
            <v>Penerimaan Kembali Pinjaman kepada Masyarakat</v>
          </cell>
          <cell r="D2472">
            <v>0</v>
          </cell>
          <cell r="E2472">
            <v>0</v>
          </cell>
          <cell r="F2472"/>
          <cell r="G2472"/>
          <cell r="H2472"/>
          <cell r="I2472"/>
          <cell r="J2472">
            <v>0</v>
          </cell>
        </row>
        <row r="2473">
          <cell r="B2473" t="str">
            <v>6.1.05.06.01</v>
          </cell>
          <cell r="C2473" t="str">
            <v>Penerimaan Kembali Pinjaman kepada Masyarakat</v>
          </cell>
          <cell r="D2473"/>
          <cell r="E2473"/>
          <cell r="F2473">
            <v>0</v>
          </cell>
          <cell r="G2473">
            <v>0</v>
          </cell>
          <cell r="H2473">
            <v>0</v>
          </cell>
          <cell r="I2473">
            <v>0</v>
          </cell>
          <cell r="J2473">
            <v>0</v>
          </cell>
        </row>
        <row r="2474">
          <cell r="B2474" t="str">
            <v>6.1.05.06.02</v>
          </cell>
          <cell r="C2474" t="str">
            <v>Penerimaan Kembali Dana Bergulir kepada Masyarakat</v>
          </cell>
          <cell r="D2474"/>
          <cell r="E2474"/>
          <cell r="F2474">
            <v>0</v>
          </cell>
          <cell r="G2474">
            <v>0</v>
          </cell>
          <cell r="H2474">
            <v>0</v>
          </cell>
          <cell r="I2474">
            <v>0</v>
          </cell>
          <cell r="J2474">
            <v>0</v>
          </cell>
        </row>
        <row r="2475">
          <cell r="B2475" t="str">
            <v>6.1.05.07</v>
          </cell>
          <cell r="C2475" t="str">
            <v>Penerimaan Kembali Dana Bergulir kepada BLUD</v>
          </cell>
          <cell r="D2475">
            <v>0</v>
          </cell>
          <cell r="E2475">
            <v>0</v>
          </cell>
          <cell r="F2475"/>
          <cell r="G2475"/>
          <cell r="H2475"/>
          <cell r="I2475"/>
          <cell r="J2475">
            <v>0</v>
          </cell>
        </row>
        <row r="2476">
          <cell r="B2476" t="str">
            <v>6.1.05.07.01</v>
          </cell>
          <cell r="C2476" t="str">
            <v>Penerimaan Kembali Dana Bergulir kepada BLUD</v>
          </cell>
          <cell r="D2476"/>
          <cell r="E2476"/>
          <cell r="F2476">
            <v>0</v>
          </cell>
          <cell r="G2476">
            <v>0</v>
          </cell>
          <cell r="H2476">
            <v>0</v>
          </cell>
          <cell r="I2476">
            <v>0</v>
          </cell>
          <cell r="J2476">
            <v>0</v>
          </cell>
        </row>
        <row r="2477">
          <cell r="B2477"/>
          <cell r="C2477"/>
          <cell r="D2477"/>
          <cell r="E2477"/>
          <cell r="F2477"/>
          <cell r="G2477"/>
          <cell r="H2477"/>
          <cell r="I2477"/>
          <cell r="J2477"/>
        </row>
        <row r="2478">
          <cell r="B2478" t="str">
            <v>6.1.06</v>
          </cell>
          <cell r="C2478" t="str">
            <v>Penerimaan Pembiayaan Lainnya Sesuai dengan Ketentuan Peraturan Perundang-Undangan</v>
          </cell>
          <cell r="D2478">
            <v>0</v>
          </cell>
          <cell r="E2478">
            <v>0</v>
          </cell>
          <cell r="F2478"/>
          <cell r="G2478"/>
          <cell r="H2478"/>
          <cell r="I2478"/>
          <cell r="J2478">
            <v>0</v>
          </cell>
        </row>
        <row r="2479">
          <cell r="B2479" t="str">
            <v>6.1.06.01</v>
          </cell>
          <cell r="C2479" t="str">
            <v>Penerimaan Kembali Pinjaman melalui BLUD</v>
          </cell>
          <cell r="D2479">
            <v>0</v>
          </cell>
          <cell r="E2479">
            <v>0</v>
          </cell>
          <cell r="F2479"/>
          <cell r="G2479"/>
          <cell r="H2479"/>
          <cell r="I2479"/>
          <cell r="J2479">
            <v>0</v>
          </cell>
        </row>
        <row r="2480">
          <cell r="B2480" t="str">
            <v>6.1.06.01.01</v>
          </cell>
          <cell r="C2480" t="str">
            <v>Penerimaan Kembali Pinjaman melalui BLUD-Jangka Pendek</v>
          </cell>
          <cell r="D2480"/>
          <cell r="E2480"/>
          <cell r="F2480">
            <v>0</v>
          </cell>
          <cell r="G2480">
            <v>0</v>
          </cell>
          <cell r="H2480">
            <v>0</v>
          </cell>
          <cell r="I2480">
            <v>0</v>
          </cell>
          <cell r="J2480">
            <v>0</v>
          </cell>
        </row>
        <row r="2481">
          <cell r="B2481" t="str">
            <v>6.1.06.01.02</v>
          </cell>
          <cell r="C2481" t="str">
            <v>Penerimaan Kembali Pinjaman melalui BLUD-Jangka Menengah</v>
          </cell>
          <cell r="D2481"/>
          <cell r="E2481"/>
          <cell r="F2481">
            <v>0</v>
          </cell>
          <cell r="G2481">
            <v>0</v>
          </cell>
          <cell r="H2481">
            <v>0</v>
          </cell>
          <cell r="I2481">
            <v>0</v>
          </cell>
          <cell r="J2481">
            <v>0</v>
          </cell>
        </row>
        <row r="2482">
          <cell r="B2482" t="str">
            <v>6.1.06.01.03</v>
          </cell>
          <cell r="C2482" t="str">
            <v>Penerimaan Kembali Pinjaman melalui BLUD-Jangka Panjang</v>
          </cell>
          <cell r="D2482"/>
          <cell r="E2482"/>
          <cell r="F2482">
            <v>0</v>
          </cell>
          <cell r="G2482">
            <v>0</v>
          </cell>
          <cell r="H2482">
            <v>0</v>
          </cell>
          <cell r="I2482">
            <v>0</v>
          </cell>
          <cell r="J2482">
            <v>0</v>
          </cell>
        </row>
        <row r="2483">
          <cell r="B2483" t="str">
            <v>6.1.06.02</v>
          </cell>
          <cell r="C2483" t="str">
            <v>Divestasi BLUD</v>
          </cell>
          <cell r="D2483">
            <v>0</v>
          </cell>
          <cell r="E2483">
            <v>0</v>
          </cell>
          <cell r="F2483"/>
          <cell r="G2483"/>
          <cell r="H2483"/>
          <cell r="I2483"/>
          <cell r="J2483">
            <v>0</v>
          </cell>
        </row>
        <row r="2484">
          <cell r="B2484" t="str">
            <v>6.1.06.02.01</v>
          </cell>
          <cell r="C2484" t="str">
            <v>Divestasi Jangka Pendek BLUD</v>
          </cell>
          <cell r="D2484"/>
          <cell r="E2484"/>
          <cell r="F2484">
            <v>0</v>
          </cell>
          <cell r="G2484">
            <v>0</v>
          </cell>
          <cell r="H2484">
            <v>0</v>
          </cell>
          <cell r="I2484">
            <v>0</v>
          </cell>
          <cell r="J2484">
            <v>0</v>
          </cell>
        </row>
        <row r="2485">
          <cell r="B2485"/>
          <cell r="C2485"/>
          <cell r="D2485"/>
          <cell r="E2485"/>
          <cell r="F2485"/>
          <cell r="G2485"/>
          <cell r="H2485"/>
          <cell r="I2485"/>
          <cell r="J2485"/>
        </row>
        <row r="2486">
          <cell r="B2486" t="str">
            <v>6.1.07</v>
          </cell>
          <cell r="C2486" t="str">
            <v>Penarikan Pokok Dana Abadi Daerah</v>
          </cell>
          <cell r="D2486">
            <v>0</v>
          </cell>
          <cell r="E2486">
            <v>0</v>
          </cell>
          <cell r="F2486"/>
          <cell r="G2486"/>
          <cell r="H2486"/>
          <cell r="I2486"/>
          <cell r="J2486">
            <v>0</v>
          </cell>
        </row>
        <row r="2487">
          <cell r="B2487" t="str">
            <v>6.1.07.01</v>
          </cell>
          <cell r="C2487" t="str">
            <v>Penarikan Pokok Dana Abadi Daerah Dalam Kondisi Darurat</v>
          </cell>
          <cell r="D2487">
            <v>0</v>
          </cell>
          <cell r="E2487">
            <v>0</v>
          </cell>
          <cell r="F2487"/>
          <cell r="G2487"/>
          <cell r="H2487"/>
          <cell r="I2487"/>
          <cell r="J2487">
            <v>0</v>
          </cell>
        </row>
        <row r="2488">
          <cell r="B2488" t="str">
            <v>6.1.07.01.01</v>
          </cell>
          <cell r="C2488" t="str">
            <v>Penarikan Pokok Dana Abadi Daerah Dalam Kondisi Darurat</v>
          </cell>
          <cell r="D2488"/>
          <cell r="E2488"/>
          <cell r="F2488">
            <v>0</v>
          </cell>
          <cell r="G2488">
            <v>0</v>
          </cell>
          <cell r="H2488">
            <v>0</v>
          </cell>
          <cell r="I2488">
            <v>0</v>
          </cell>
          <cell r="J2488">
            <v>0</v>
          </cell>
        </row>
        <row r="2489">
          <cell r="B2489"/>
          <cell r="C2489"/>
          <cell r="D2489"/>
          <cell r="E2489"/>
          <cell r="F2489"/>
          <cell r="G2489"/>
          <cell r="H2489"/>
          <cell r="I2489"/>
          <cell r="J2489"/>
        </row>
        <row r="2490">
          <cell r="B2490" t="str">
            <v>6.1.08</v>
          </cell>
          <cell r="C2490" t="str">
            <v>Penerimaan Pembiayaan Utang Daerah</v>
          </cell>
          <cell r="D2490">
            <v>0</v>
          </cell>
          <cell r="E2490">
            <v>0</v>
          </cell>
          <cell r="F2490"/>
          <cell r="G2490"/>
          <cell r="H2490"/>
          <cell r="I2490"/>
          <cell r="J2490">
            <v>0</v>
          </cell>
        </row>
        <row r="2491">
          <cell r="B2491" t="str">
            <v>6.1.08.01</v>
          </cell>
          <cell r="C2491" t="str">
            <v>Pinjaman Daerah</v>
          </cell>
          <cell r="D2491">
            <v>0</v>
          </cell>
          <cell r="E2491">
            <v>0</v>
          </cell>
          <cell r="F2491"/>
          <cell r="G2491"/>
          <cell r="H2491"/>
          <cell r="I2491"/>
          <cell r="J2491">
            <v>0</v>
          </cell>
        </row>
        <row r="2492">
          <cell r="B2492" t="str">
            <v>6.1.08.01.01</v>
          </cell>
          <cell r="C2492" t="str">
            <v>Pinjaman Daerah dari Pemerintah</v>
          </cell>
          <cell r="D2492"/>
          <cell r="E2492"/>
          <cell r="F2492">
            <v>0</v>
          </cell>
          <cell r="G2492">
            <v>0</v>
          </cell>
          <cell r="H2492">
            <v>0</v>
          </cell>
          <cell r="I2492">
            <v>0</v>
          </cell>
          <cell r="J2492">
            <v>0</v>
          </cell>
        </row>
        <row r="2493">
          <cell r="B2493" t="str">
            <v>6.1.08.01.02</v>
          </cell>
          <cell r="C2493" t="str">
            <v>Pinjaman Daerah dari Pemerintah Daerah Lain</v>
          </cell>
          <cell r="D2493"/>
          <cell r="E2493"/>
          <cell r="F2493">
            <v>0</v>
          </cell>
          <cell r="G2493">
            <v>0</v>
          </cell>
          <cell r="H2493">
            <v>0</v>
          </cell>
          <cell r="I2493">
            <v>0</v>
          </cell>
          <cell r="J2493">
            <v>0</v>
          </cell>
        </row>
        <row r="2494">
          <cell r="B2494" t="str">
            <v>6.1.08.01.03</v>
          </cell>
          <cell r="C2494" t="str">
            <v>Pinjaman Daerah dari Lembaga Keuangan Bank (LKB)</v>
          </cell>
          <cell r="D2494"/>
          <cell r="E2494"/>
          <cell r="F2494">
            <v>0</v>
          </cell>
          <cell r="G2494">
            <v>0</v>
          </cell>
          <cell r="H2494">
            <v>0</v>
          </cell>
          <cell r="I2494">
            <v>0</v>
          </cell>
          <cell r="J2494">
            <v>0</v>
          </cell>
        </row>
        <row r="2495">
          <cell r="B2495" t="str">
            <v>6.1.08.01.04</v>
          </cell>
          <cell r="C2495" t="str">
            <v>Pinjaman Daerah dari Lembaga Keuangan Bukan Bank (LKBB)</v>
          </cell>
          <cell r="D2495"/>
          <cell r="E2495"/>
          <cell r="F2495">
            <v>0</v>
          </cell>
          <cell r="G2495">
            <v>0</v>
          </cell>
          <cell r="H2495">
            <v>0</v>
          </cell>
          <cell r="I2495">
            <v>0</v>
          </cell>
          <cell r="J2495">
            <v>0</v>
          </cell>
        </row>
        <row r="2496">
          <cell r="B2496" t="str">
            <v>6.1.08.02</v>
          </cell>
          <cell r="C2496" t="str">
            <v>Obligasi Daerah</v>
          </cell>
          <cell r="D2496">
            <v>0</v>
          </cell>
          <cell r="E2496">
            <v>0</v>
          </cell>
          <cell r="F2496"/>
          <cell r="G2496"/>
          <cell r="H2496"/>
          <cell r="I2496"/>
          <cell r="J2496">
            <v>0</v>
          </cell>
        </row>
        <row r="2497">
          <cell r="B2497" t="str">
            <v>6.1.08.02.01</v>
          </cell>
          <cell r="C2497" t="str">
            <v>Obligasi Daerah</v>
          </cell>
          <cell r="D2497"/>
          <cell r="E2497"/>
          <cell r="F2497">
            <v>0</v>
          </cell>
          <cell r="G2497">
            <v>0</v>
          </cell>
          <cell r="H2497">
            <v>0</v>
          </cell>
          <cell r="I2497">
            <v>0</v>
          </cell>
          <cell r="J2497">
            <v>0</v>
          </cell>
        </row>
        <row r="2498">
          <cell r="B2498" t="str">
            <v>6.1.08.03</v>
          </cell>
          <cell r="C2498" t="str">
            <v>Sukuk Daerah</v>
          </cell>
          <cell r="D2498">
            <v>0</v>
          </cell>
          <cell r="E2498">
            <v>0</v>
          </cell>
          <cell r="F2498"/>
          <cell r="G2498"/>
          <cell r="H2498"/>
          <cell r="I2498"/>
          <cell r="J2498">
            <v>0</v>
          </cell>
        </row>
        <row r="2499">
          <cell r="B2499" t="str">
            <v>6.1.08.03.01</v>
          </cell>
          <cell r="C2499" t="str">
            <v>Sukuk Daerah</v>
          </cell>
          <cell r="D2499"/>
          <cell r="E2499"/>
          <cell r="F2499">
            <v>0</v>
          </cell>
          <cell r="G2499">
            <v>0</v>
          </cell>
          <cell r="H2499">
            <v>0</v>
          </cell>
          <cell r="I2499">
            <v>0</v>
          </cell>
          <cell r="J2499">
            <v>0</v>
          </cell>
        </row>
        <row r="2500">
          <cell r="B2500"/>
          <cell r="C2500"/>
          <cell r="D2500"/>
          <cell r="E2500"/>
          <cell r="F2500"/>
          <cell r="G2500"/>
          <cell r="H2500"/>
          <cell r="I2500"/>
          <cell r="J2500"/>
        </row>
        <row r="2501">
          <cell r="B2501" t="str">
            <v>6.2</v>
          </cell>
          <cell r="C2501" t="str">
            <v>PENGELUARAN PEMBIAYAAN</v>
          </cell>
          <cell r="D2501">
            <v>50000000000</v>
          </cell>
          <cell r="E2501">
            <v>10356720000</v>
          </cell>
          <cell r="F2501"/>
          <cell r="G2501"/>
          <cell r="H2501"/>
          <cell r="I2501"/>
          <cell r="J2501">
            <v>10356720000</v>
          </cell>
        </row>
        <row r="2502">
          <cell r="B2502" t="str">
            <v>6.2.01</v>
          </cell>
          <cell r="C2502" t="str">
            <v>Pembentukan Dana Cadangan</v>
          </cell>
          <cell r="D2502">
            <v>0</v>
          </cell>
          <cell r="E2502">
            <v>0</v>
          </cell>
          <cell r="F2502"/>
          <cell r="G2502"/>
          <cell r="H2502"/>
          <cell r="I2502"/>
          <cell r="J2502">
            <v>0</v>
          </cell>
        </row>
        <row r="2503">
          <cell r="B2503" t="str">
            <v>6.2.01.01</v>
          </cell>
          <cell r="C2503" t="str">
            <v>Pembentukan Dana Cadangan</v>
          </cell>
          <cell r="D2503">
            <v>0</v>
          </cell>
          <cell r="E2503">
            <v>0</v>
          </cell>
          <cell r="F2503"/>
          <cell r="G2503"/>
          <cell r="H2503"/>
          <cell r="I2503"/>
          <cell r="J2503">
            <v>0</v>
          </cell>
        </row>
        <row r="2504">
          <cell r="B2504" t="str">
            <v>6.2.01.01.01</v>
          </cell>
          <cell r="C2504" t="str">
            <v>Pembentukan Dana Cadangan</v>
          </cell>
          <cell r="D2504"/>
          <cell r="E2504"/>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F2505"/>
          <cell r="G2505"/>
          <cell r="H2505"/>
          <cell r="I2505"/>
          <cell r="J2505">
            <v>0</v>
          </cell>
        </row>
        <row r="2506">
          <cell r="B2506" t="str">
            <v>6.2.01.02.01</v>
          </cell>
          <cell r="C2506" t="str">
            <v>Pembentukan Dana Cadangan untuk Pembayaran Pokok Obligasi</v>
          </cell>
          <cell r="D2506"/>
          <cell r="E2506"/>
          <cell r="F2506">
            <v>0</v>
          </cell>
          <cell r="G2506">
            <v>0</v>
          </cell>
          <cell r="H2506">
            <v>0</v>
          </cell>
          <cell r="I2506">
            <v>0</v>
          </cell>
          <cell r="J2506">
            <v>0</v>
          </cell>
        </row>
        <row r="2507">
          <cell r="B2507" t="str">
            <v>6.2.01.03</v>
          </cell>
          <cell r="C2507" t="str">
            <v>Pembentukan Dana Cadangan untuk Pembayaran Pokok Sukuk</v>
          </cell>
          <cell r="D2507">
            <v>0</v>
          </cell>
          <cell r="E2507">
            <v>0</v>
          </cell>
          <cell r="F2507"/>
          <cell r="G2507"/>
          <cell r="H2507"/>
          <cell r="I2507"/>
          <cell r="J2507">
            <v>0</v>
          </cell>
        </row>
        <row r="2508">
          <cell r="B2508" t="str">
            <v>6.2.01.03.01</v>
          </cell>
          <cell r="C2508" t="str">
            <v>Pembentukan Dana Cadangan untuk Pembayaran Pokok Sukuk</v>
          </cell>
          <cell r="D2508"/>
          <cell r="E2508"/>
          <cell r="F2508">
            <v>0</v>
          </cell>
          <cell r="G2508">
            <v>0</v>
          </cell>
          <cell r="H2508">
            <v>0</v>
          </cell>
          <cell r="I2508">
            <v>0</v>
          </cell>
          <cell r="J2508">
            <v>0</v>
          </cell>
        </row>
        <row r="2509">
          <cell r="B2509"/>
          <cell r="C2509"/>
          <cell r="D2509"/>
          <cell r="E2509"/>
          <cell r="F2509"/>
          <cell r="G2509"/>
          <cell r="H2509"/>
          <cell r="I2509"/>
          <cell r="J2509"/>
        </row>
        <row r="2510">
          <cell r="B2510" t="str">
            <v>6.2.02</v>
          </cell>
          <cell r="C2510" t="str">
            <v>Penyertaan Modal Daerah</v>
          </cell>
          <cell r="D2510">
            <v>50000000000</v>
          </cell>
          <cell r="E2510">
            <v>10356720000</v>
          </cell>
          <cell r="F2510"/>
          <cell r="G2510"/>
          <cell r="H2510"/>
          <cell r="I2510"/>
          <cell r="J2510">
            <v>10356720000</v>
          </cell>
        </row>
        <row r="2511">
          <cell r="B2511" t="str">
            <v>6.2.02.01</v>
          </cell>
          <cell r="C2511" t="str">
            <v>Penyertaan Modal Daerah pada Badan Usaha Milik Negara (BUMN)</v>
          </cell>
          <cell r="D2511">
            <v>0</v>
          </cell>
          <cell r="E2511">
            <v>0</v>
          </cell>
          <cell r="F2511"/>
          <cell r="G2511"/>
          <cell r="H2511"/>
          <cell r="I2511"/>
          <cell r="J2511">
            <v>0</v>
          </cell>
        </row>
        <row r="2512">
          <cell r="B2512" t="str">
            <v>6.2.02.01.01</v>
          </cell>
          <cell r="C2512" t="str">
            <v>Penyertaan Modal Daerah pada BUMN</v>
          </cell>
          <cell r="D2512"/>
          <cell r="E2512"/>
          <cell r="F2512">
            <v>0</v>
          </cell>
          <cell r="G2512">
            <v>0</v>
          </cell>
          <cell r="H2512">
            <v>0</v>
          </cell>
          <cell r="I2512">
            <v>0</v>
          </cell>
          <cell r="J2512">
            <v>0</v>
          </cell>
        </row>
        <row r="2513">
          <cell r="B2513" t="str">
            <v>6.2.02.02</v>
          </cell>
          <cell r="C2513" t="str">
            <v>Penyertaan Modal Daerah pada Badan Usaha Milik Daerah (BUMD)</v>
          </cell>
          <cell r="D2513">
            <v>50000000000</v>
          </cell>
          <cell r="E2513">
            <v>10356720000</v>
          </cell>
          <cell r="F2513"/>
          <cell r="G2513"/>
          <cell r="H2513"/>
          <cell r="I2513"/>
          <cell r="J2513">
            <v>10356720000</v>
          </cell>
        </row>
        <row r="2514">
          <cell r="B2514" t="str">
            <v>6.2.02.02.01</v>
          </cell>
          <cell r="C2514" t="str">
            <v>Penyertaan Modal Daerah pada BUMD</v>
          </cell>
          <cell r="D2514">
            <v>50000000000</v>
          </cell>
          <cell r="E2514">
            <v>10356720000</v>
          </cell>
          <cell r="F2514">
            <v>0</v>
          </cell>
          <cell r="G2514">
            <v>0</v>
          </cell>
          <cell r="H2514">
            <v>0</v>
          </cell>
          <cell r="I2514">
            <v>0</v>
          </cell>
          <cell r="J2514">
            <v>10356720000</v>
          </cell>
        </row>
        <row r="2515">
          <cell r="B2515"/>
          <cell r="C2515"/>
          <cell r="D2515"/>
          <cell r="E2515"/>
          <cell r="F2515"/>
          <cell r="G2515"/>
          <cell r="H2515"/>
          <cell r="I2515"/>
          <cell r="J2515"/>
        </row>
        <row r="2516">
          <cell r="B2516" t="str">
            <v>6.2.03</v>
          </cell>
          <cell r="C2516" t="str">
            <v>Pembayaran Cicilan Pokok Utang yang Jatuh Tempo</v>
          </cell>
          <cell r="D2516">
            <v>0</v>
          </cell>
          <cell r="E2516">
            <v>0</v>
          </cell>
          <cell r="F2516"/>
          <cell r="G2516"/>
          <cell r="H2516"/>
          <cell r="I2516"/>
          <cell r="J2516">
            <v>0</v>
          </cell>
        </row>
        <row r="2517">
          <cell r="B2517" t="str">
            <v>6.2.03.01</v>
          </cell>
          <cell r="C2517" t="str">
            <v>Pembayaran Pinjaman Daerah dari Pemerintah Pusat</v>
          </cell>
          <cell r="D2517">
            <v>0</v>
          </cell>
          <cell r="E2517">
            <v>0</v>
          </cell>
          <cell r="F2517"/>
          <cell r="G2517"/>
          <cell r="H2517"/>
          <cell r="I2517"/>
          <cell r="J2517">
            <v>0</v>
          </cell>
        </row>
        <row r="2518">
          <cell r="B2518" t="str">
            <v>6.2.03.01.01</v>
          </cell>
          <cell r="C2518" t="str">
            <v>Pembayaran Pinjaman Daerah dari Pemerintah Pusat-Penerusan Pinjaman Dalam Negeri-Jangka Menengah</v>
          </cell>
          <cell r="D2518"/>
          <cell r="E2518"/>
          <cell r="F2518">
            <v>0</v>
          </cell>
          <cell r="G2518">
            <v>0</v>
          </cell>
          <cell r="H2518">
            <v>0</v>
          </cell>
          <cell r="I2518">
            <v>0</v>
          </cell>
          <cell r="J2518">
            <v>0</v>
          </cell>
        </row>
        <row r="2519">
          <cell r="B2519" t="str">
            <v>6.2.03.01.02</v>
          </cell>
          <cell r="C2519" t="str">
            <v>Pembayaran Pinjaman Daerah dari Pemerintah Pusat-Penerusan Pinjaman Dalam Negeri-Jangka Panjang</v>
          </cell>
          <cell r="D2519"/>
          <cell r="E2519"/>
          <cell r="F2519">
            <v>0</v>
          </cell>
          <cell r="G2519">
            <v>0</v>
          </cell>
          <cell r="H2519">
            <v>0</v>
          </cell>
          <cell r="I2519">
            <v>0</v>
          </cell>
          <cell r="J2519">
            <v>0</v>
          </cell>
        </row>
        <row r="2520">
          <cell r="B2520" t="str">
            <v>6.2.03.01.03</v>
          </cell>
          <cell r="C2520" t="str">
            <v>Pembayaran Pinjaman Daerah dari Pemerintah Pusat-Penerusan Pinjaman Luar Negeri-Jangka Menengah</v>
          </cell>
          <cell r="D2520"/>
          <cell r="E2520"/>
          <cell r="F2520">
            <v>0</v>
          </cell>
          <cell r="G2520">
            <v>0</v>
          </cell>
          <cell r="H2520">
            <v>0</v>
          </cell>
          <cell r="I2520">
            <v>0</v>
          </cell>
          <cell r="J2520">
            <v>0</v>
          </cell>
        </row>
        <row r="2521">
          <cell r="B2521" t="str">
            <v>6.2.03.01.04</v>
          </cell>
          <cell r="C2521" t="str">
            <v>Pembayaran Pinjaman Daerah dari Pemerintah Pusat-Penerusan Pinjaman Luar Negeri-Jangka Panjang</v>
          </cell>
          <cell r="D2521"/>
          <cell r="E2521"/>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D2522"/>
          <cell r="E2522"/>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D2523"/>
          <cell r="E2523"/>
          <cell r="F2523">
            <v>0</v>
          </cell>
          <cell r="G2523">
            <v>0</v>
          </cell>
          <cell r="H2523">
            <v>0</v>
          </cell>
          <cell r="I2523">
            <v>0</v>
          </cell>
          <cell r="J2523">
            <v>0</v>
          </cell>
        </row>
        <row r="2524">
          <cell r="B2524" t="str">
            <v>6.2.03.02</v>
          </cell>
          <cell r="C2524" t="str">
            <v>Pembayaran Pinjaman dari Pemerintah Daerah Lain</v>
          </cell>
          <cell r="D2524">
            <v>0</v>
          </cell>
          <cell r="E2524">
            <v>0</v>
          </cell>
          <cell r="F2524"/>
          <cell r="G2524"/>
          <cell r="H2524"/>
          <cell r="I2524"/>
          <cell r="J2524">
            <v>0</v>
          </cell>
        </row>
        <row r="2525">
          <cell r="B2525" t="str">
            <v>6.2.03.02.01</v>
          </cell>
          <cell r="C2525" t="str">
            <v>Pembayaran Pinjaman dari Pemerintah Daerah Lain-Jangka Pendek</v>
          </cell>
          <cell r="D2525"/>
          <cell r="E2525"/>
          <cell r="F2525">
            <v>0</v>
          </cell>
          <cell r="G2525">
            <v>0</v>
          </cell>
          <cell r="H2525">
            <v>0</v>
          </cell>
          <cell r="I2525">
            <v>0</v>
          </cell>
          <cell r="J2525">
            <v>0</v>
          </cell>
        </row>
        <row r="2526">
          <cell r="B2526" t="str">
            <v>6.2.03.03</v>
          </cell>
          <cell r="C2526" t="str">
            <v>Pembayaran Pinjaman dari Lembaga Keuangan Bank (LKB)</v>
          </cell>
          <cell r="D2526">
            <v>0</v>
          </cell>
          <cell r="E2526">
            <v>0</v>
          </cell>
          <cell r="F2526"/>
          <cell r="G2526"/>
          <cell r="H2526"/>
          <cell r="I2526"/>
          <cell r="J2526">
            <v>0</v>
          </cell>
        </row>
        <row r="2527">
          <cell r="B2527" t="str">
            <v>6.2.03.03.01</v>
          </cell>
          <cell r="C2527" t="str">
            <v>Pembayaran Pinjaman dari Lembaga Keuangan Bank (LKB)-BUMN-Jangka Pendek</v>
          </cell>
          <cell r="D2527"/>
          <cell r="E2527"/>
          <cell r="F2527">
            <v>0</v>
          </cell>
          <cell r="G2527">
            <v>0</v>
          </cell>
          <cell r="H2527">
            <v>0</v>
          </cell>
          <cell r="I2527">
            <v>0</v>
          </cell>
          <cell r="J2527">
            <v>0</v>
          </cell>
        </row>
        <row r="2528">
          <cell r="B2528" t="str">
            <v>6.2.03.03.02</v>
          </cell>
          <cell r="C2528" t="str">
            <v>Pembayaran Pinjaman dari Lembaga Keuangan Bank (LKB)-BUMN-Jangka Menengah</v>
          </cell>
          <cell r="D2528"/>
          <cell r="E2528"/>
          <cell r="F2528">
            <v>0</v>
          </cell>
          <cell r="G2528">
            <v>0</v>
          </cell>
          <cell r="H2528">
            <v>0</v>
          </cell>
          <cell r="I2528">
            <v>0</v>
          </cell>
          <cell r="J2528">
            <v>0</v>
          </cell>
        </row>
        <row r="2529">
          <cell r="B2529" t="str">
            <v>6.2.03.03.03</v>
          </cell>
          <cell r="C2529" t="str">
            <v>Pembayaran Pinjaman dari Lembaga Keuangan Bank (LKB)-BUMN-Jangka Panjang</v>
          </cell>
          <cell r="D2529"/>
          <cell r="E2529"/>
          <cell r="F2529">
            <v>0</v>
          </cell>
          <cell r="G2529">
            <v>0</v>
          </cell>
          <cell r="H2529">
            <v>0</v>
          </cell>
          <cell r="I2529">
            <v>0</v>
          </cell>
          <cell r="J2529">
            <v>0</v>
          </cell>
        </row>
        <row r="2530">
          <cell r="B2530" t="str">
            <v>6.2.03.03.04</v>
          </cell>
          <cell r="C2530" t="str">
            <v>Pembayaran Pinjaman dari Lembaga Keuangan Bank (LKB)-BUMD-Jangka Pendek</v>
          </cell>
          <cell r="D2530"/>
          <cell r="E2530"/>
          <cell r="F2530">
            <v>0</v>
          </cell>
          <cell r="G2530">
            <v>0</v>
          </cell>
          <cell r="H2530">
            <v>0</v>
          </cell>
          <cell r="I2530">
            <v>0</v>
          </cell>
          <cell r="J2530">
            <v>0</v>
          </cell>
        </row>
        <row r="2531">
          <cell r="B2531" t="str">
            <v>6.2.03.03.05</v>
          </cell>
          <cell r="C2531" t="str">
            <v>Pembayaran Pinjaman dari Lembaga Keuangan Bank (LKB)-BUMD-Jangka Menengah</v>
          </cell>
          <cell r="D2531"/>
          <cell r="E2531"/>
          <cell r="F2531">
            <v>0</v>
          </cell>
          <cell r="G2531">
            <v>0</v>
          </cell>
          <cell r="H2531">
            <v>0</v>
          </cell>
          <cell r="I2531">
            <v>0</v>
          </cell>
          <cell r="J2531">
            <v>0</v>
          </cell>
        </row>
        <row r="2532">
          <cell r="B2532" t="str">
            <v>6.2.03.03.06</v>
          </cell>
          <cell r="C2532" t="str">
            <v>Pembayaran Pinjaman dari Lembaga Keuangan Bank (LKB)-BUMD-Jangka Panjang</v>
          </cell>
          <cell r="D2532"/>
          <cell r="E2532"/>
          <cell r="F2532">
            <v>0</v>
          </cell>
          <cell r="G2532">
            <v>0</v>
          </cell>
          <cell r="H2532">
            <v>0</v>
          </cell>
          <cell r="I2532">
            <v>0</v>
          </cell>
          <cell r="J2532">
            <v>0</v>
          </cell>
        </row>
        <row r="2533">
          <cell r="B2533" t="str">
            <v>6.2.03.03.07</v>
          </cell>
          <cell r="C2533" t="str">
            <v>Pembayaran Pinjaman dari Lembaga Keuangan Bank (LKB)-Swasta-Jangka Pendek</v>
          </cell>
          <cell r="D2533"/>
          <cell r="E2533"/>
          <cell r="F2533">
            <v>0</v>
          </cell>
          <cell r="G2533">
            <v>0</v>
          </cell>
          <cell r="H2533">
            <v>0</v>
          </cell>
          <cell r="I2533">
            <v>0</v>
          </cell>
          <cell r="J2533">
            <v>0</v>
          </cell>
        </row>
        <row r="2534">
          <cell r="B2534" t="str">
            <v>6.2.03.03.08</v>
          </cell>
          <cell r="C2534" t="str">
            <v>Pembayaran Pinjaman dari Lembaga Keuangan Bank (LKB)-Swasta-Jangka Menengah</v>
          </cell>
          <cell r="D2534"/>
          <cell r="E2534"/>
          <cell r="F2534">
            <v>0</v>
          </cell>
          <cell r="G2534">
            <v>0</v>
          </cell>
          <cell r="H2534">
            <v>0</v>
          </cell>
          <cell r="I2534">
            <v>0</v>
          </cell>
          <cell r="J2534">
            <v>0</v>
          </cell>
        </row>
        <row r="2535">
          <cell r="B2535" t="str">
            <v>6.2.03.03.09</v>
          </cell>
          <cell r="C2535" t="str">
            <v>Pembayaran Pinjaman dari Lembaga Keuangan Bank (LKB)-Swasta-Jangka Panjang</v>
          </cell>
          <cell r="D2535"/>
          <cell r="E2535"/>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F2536"/>
          <cell r="G2536"/>
          <cell r="H2536"/>
          <cell r="I2536"/>
          <cell r="J2536">
            <v>0</v>
          </cell>
        </row>
        <row r="2537">
          <cell r="B2537" t="str">
            <v>6.2.03.04.01</v>
          </cell>
          <cell r="C2537" t="str">
            <v>Pembayaran Pinjaman dari Lembaga Keuangan Bukan Bank (LKBB)-BUMN-Jangka Pendek</v>
          </cell>
          <cell r="D2537"/>
          <cell r="E2537"/>
          <cell r="F2537">
            <v>0</v>
          </cell>
          <cell r="G2537">
            <v>0</v>
          </cell>
          <cell r="H2537">
            <v>0</v>
          </cell>
          <cell r="I2537">
            <v>0</v>
          </cell>
          <cell r="J2537">
            <v>0</v>
          </cell>
        </row>
        <row r="2538">
          <cell r="B2538" t="str">
            <v>6.2.03.04.02</v>
          </cell>
          <cell r="C2538" t="str">
            <v>Pembayaran Pinjaman dari Lembaga Keuangan Bukan Bank (LKBB)-BUMN-Jangka Menengah</v>
          </cell>
          <cell r="D2538"/>
          <cell r="E2538"/>
          <cell r="F2538">
            <v>0</v>
          </cell>
          <cell r="G2538">
            <v>0</v>
          </cell>
          <cell r="H2538">
            <v>0</v>
          </cell>
          <cell r="I2538">
            <v>0</v>
          </cell>
          <cell r="J2538">
            <v>0</v>
          </cell>
        </row>
        <row r="2539">
          <cell r="B2539" t="str">
            <v>6.2.03.04.03</v>
          </cell>
          <cell r="C2539" t="str">
            <v>Pembayaran Pinjaman dari Lembaga Keuangan Bukan Bank (LKBB)-BUMN-Jangka Panjang</v>
          </cell>
          <cell r="D2539"/>
          <cell r="E2539"/>
          <cell r="F2539">
            <v>0</v>
          </cell>
          <cell r="G2539">
            <v>0</v>
          </cell>
          <cell r="H2539">
            <v>0</v>
          </cell>
          <cell r="I2539">
            <v>0</v>
          </cell>
          <cell r="J2539">
            <v>0</v>
          </cell>
        </row>
        <row r="2540">
          <cell r="B2540" t="str">
            <v>6.2.03.04.04</v>
          </cell>
          <cell r="C2540" t="str">
            <v>Pembayaran Pinjaman dari Lembaga Keuangan Bukan Bank (LKBB)-BUMD-Jangka Pendek</v>
          </cell>
          <cell r="D2540"/>
          <cell r="E2540"/>
          <cell r="F2540">
            <v>0</v>
          </cell>
          <cell r="G2540">
            <v>0</v>
          </cell>
          <cell r="H2540">
            <v>0</v>
          </cell>
          <cell r="I2540">
            <v>0</v>
          </cell>
          <cell r="J2540">
            <v>0</v>
          </cell>
        </row>
        <row r="2541">
          <cell r="B2541" t="str">
            <v>6.2.03.04.05</v>
          </cell>
          <cell r="C2541" t="str">
            <v>Pembayaran Pinjaman dari Lembaga Keuangan Bukan Bank (LKBB)-BUMD-Jangka Menengah</v>
          </cell>
          <cell r="D2541"/>
          <cell r="E2541"/>
          <cell r="F2541">
            <v>0</v>
          </cell>
          <cell r="G2541">
            <v>0</v>
          </cell>
          <cell r="H2541">
            <v>0</v>
          </cell>
          <cell r="I2541">
            <v>0</v>
          </cell>
          <cell r="J2541">
            <v>0</v>
          </cell>
        </row>
        <row r="2542">
          <cell r="B2542" t="str">
            <v>6.2.03.04.06</v>
          </cell>
          <cell r="C2542" t="str">
            <v>Pembayaran Pinjaman dari Lembaga Keuangan Bukan Bank (LKBB)-BUMD-Jangka Panjang</v>
          </cell>
          <cell r="D2542"/>
          <cell r="E2542"/>
          <cell r="F2542">
            <v>0</v>
          </cell>
          <cell r="G2542">
            <v>0</v>
          </cell>
          <cell r="H2542">
            <v>0</v>
          </cell>
          <cell r="I2542">
            <v>0</v>
          </cell>
          <cell r="J2542">
            <v>0</v>
          </cell>
        </row>
        <row r="2543">
          <cell r="B2543" t="str">
            <v>6.2.03.04.07</v>
          </cell>
          <cell r="C2543" t="str">
            <v>Pembayaran Pinjaman dari Lembaga Keuangan Bukan Bank (LKBB)-Swasta-Jangka Pendek</v>
          </cell>
          <cell r="D2543"/>
          <cell r="E2543"/>
          <cell r="F2543">
            <v>0</v>
          </cell>
          <cell r="G2543">
            <v>0</v>
          </cell>
          <cell r="H2543">
            <v>0</v>
          </cell>
          <cell r="I2543">
            <v>0</v>
          </cell>
          <cell r="J2543">
            <v>0</v>
          </cell>
        </row>
        <row r="2544">
          <cell r="B2544" t="str">
            <v>6.2.03.04.08</v>
          </cell>
          <cell r="C2544" t="str">
            <v>Pembayaran Pinjaman dari Lembaga Keuangan Bukan Bank (LKBB)-Swasta-Jangka Menengah</v>
          </cell>
          <cell r="D2544"/>
          <cell r="E2544"/>
          <cell r="F2544">
            <v>0</v>
          </cell>
          <cell r="G2544">
            <v>0</v>
          </cell>
          <cell r="H2544">
            <v>0</v>
          </cell>
          <cell r="I2544">
            <v>0</v>
          </cell>
          <cell r="J2544">
            <v>0</v>
          </cell>
        </row>
        <row r="2545">
          <cell r="B2545" t="str">
            <v>6.2.03.04.09</v>
          </cell>
          <cell r="C2545" t="str">
            <v>Pembayaran Pinjaman dari Lembaga Keuangan Bukan Bank (LKBB)-Swasta-Jangka Panjang</v>
          </cell>
          <cell r="D2545"/>
          <cell r="E2545"/>
          <cell r="F2545">
            <v>0</v>
          </cell>
          <cell r="G2545">
            <v>0</v>
          </cell>
          <cell r="H2545">
            <v>0</v>
          </cell>
          <cell r="I2545">
            <v>0</v>
          </cell>
          <cell r="J2545">
            <v>0</v>
          </cell>
        </row>
        <row r="2546">
          <cell r="B2546" t="str">
            <v>6.2.03.05</v>
          </cell>
          <cell r="C2546" t="str">
            <v>Pembayaran Pinjaman Daerah dari Masyarakat</v>
          </cell>
          <cell r="D2546">
            <v>0</v>
          </cell>
          <cell r="E2546">
            <v>0</v>
          </cell>
          <cell r="F2546"/>
          <cell r="G2546"/>
          <cell r="H2546"/>
          <cell r="I2546"/>
          <cell r="J2546">
            <v>0</v>
          </cell>
        </row>
        <row r="2547">
          <cell r="B2547" t="str">
            <v>6.2.03.05.01</v>
          </cell>
          <cell r="C2547" t="str">
            <v>Pembayaran Obligasi Daerah</v>
          </cell>
          <cell r="D2547"/>
          <cell r="E2547"/>
          <cell r="F2547">
            <v>0</v>
          </cell>
          <cell r="G2547">
            <v>0</v>
          </cell>
          <cell r="H2547">
            <v>0</v>
          </cell>
          <cell r="I2547">
            <v>0</v>
          </cell>
          <cell r="J2547">
            <v>0</v>
          </cell>
        </row>
        <row r="2548">
          <cell r="B2548"/>
          <cell r="C2548"/>
          <cell r="D2548"/>
          <cell r="E2548"/>
          <cell r="F2548"/>
          <cell r="G2548"/>
          <cell r="H2548"/>
          <cell r="I2548"/>
          <cell r="J2548"/>
        </row>
        <row r="2549">
          <cell r="B2549" t="str">
            <v>6.2.04</v>
          </cell>
          <cell r="C2549" t="str">
            <v>Pemberian Pinjaman Daerah</v>
          </cell>
          <cell r="D2549">
            <v>0</v>
          </cell>
          <cell r="E2549">
            <v>0</v>
          </cell>
          <cell r="F2549"/>
          <cell r="G2549"/>
          <cell r="H2549"/>
          <cell r="I2549"/>
          <cell r="J2549">
            <v>0</v>
          </cell>
        </row>
        <row r="2550">
          <cell r="B2550" t="str">
            <v>6.2.04.01</v>
          </cell>
          <cell r="C2550" t="str">
            <v>Pemberian Pinjaman Daerah kepada Pemerintah Pusat</v>
          </cell>
          <cell r="D2550">
            <v>0</v>
          </cell>
          <cell r="E2550">
            <v>0</v>
          </cell>
          <cell r="F2550"/>
          <cell r="G2550"/>
          <cell r="H2550"/>
          <cell r="I2550"/>
          <cell r="J2550">
            <v>0</v>
          </cell>
        </row>
        <row r="2551">
          <cell r="B2551" t="str">
            <v>6.2.04.01.01</v>
          </cell>
          <cell r="C2551" t="str">
            <v>Pemberian Pinjaman Daerah kepada Pemerintah Pusat</v>
          </cell>
          <cell r="D2551"/>
          <cell r="E2551"/>
          <cell r="F2551">
            <v>0</v>
          </cell>
          <cell r="G2551">
            <v>0</v>
          </cell>
          <cell r="H2551">
            <v>0</v>
          </cell>
          <cell r="I2551">
            <v>0</v>
          </cell>
          <cell r="J2551">
            <v>0</v>
          </cell>
        </row>
        <row r="2552">
          <cell r="B2552" t="str">
            <v>6.2.04.01.02</v>
          </cell>
          <cell r="C2552" t="str">
            <v>Pemberian Pinjaman-Investasi dalam Proyek Pembangunan kepada Pemerintah Pusat</v>
          </cell>
          <cell r="D2552"/>
          <cell r="E2552"/>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F2553"/>
          <cell r="G2553"/>
          <cell r="H2553"/>
          <cell r="I2553"/>
          <cell r="J2553">
            <v>0</v>
          </cell>
        </row>
        <row r="2554">
          <cell r="B2554" t="str">
            <v>6.2.04.02.01</v>
          </cell>
          <cell r="C2554" t="str">
            <v>Pemberian Pinjaman Daerah kepada Pemerintah Daerah Lainnya</v>
          </cell>
          <cell r="D2554"/>
          <cell r="E2554"/>
          <cell r="F2554">
            <v>0</v>
          </cell>
          <cell r="G2554">
            <v>0</v>
          </cell>
          <cell r="H2554">
            <v>0</v>
          </cell>
          <cell r="I2554">
            <v>0</v>
          </cell>
          <cell r="J2554">
            <v>0</v>
          </cell>
        </row>
        <row r="2555">
          <cell r="B2555" t="str">
            <v>6.2.04.02.02</v>
          </cell>
          <cell r="C2555" t="str">
            <v>Pemberian Pinjaman-Investasi dalam Proyek Pembangunan kepada Pemerintah Daerah Lainnya</v>
          </cell>
          <cell r="D2555"/>
          <cell r="E2555"/>
          <cell r="F2555">
            <v>0</v>
          </cell>
          <cell r="G2555">
            <v>0</v>
          </cell>
          <cell r="H2555">
            <v>0</v>
          </cell>
          <cell r="I2555">
            <v>0</v>
          </cell>
          <cell r="J2555">
            <v>0</v>
          </cell>
        </row>
        <row r="2556">
          <cell r="B2556" t="str">
            <v>6.2.04.03</v>
          </cell>
          <cell r="C2556" t="str">
            <v>Pemberian Pinjaman Daerah kepada BUMD</v>
          </cell>
          <cell r="D2556">
            <v>0</v>
          </cell>
          <cell r="E2556">
            <v>0</v>
          </cell>
          <cell r="F2556"/>
          <cell r="G2556"/>
          <cell r="H2556"/>
          <cell r="I2556"/>
          <cell r="J2556">
            <v>0</v>
          </cell>
        </row>
        <row r="2557">
          <cell r="B2557" t="str">
            <v>6.2.04.03.01</v>
          </cell>
          <cell r="C2557" t="str">
            <v>Pemberian Pinjaman Daerah kepada BUMD</v>
          </cell>
          <cell r="D2557"/>
          <cell r="E2557"/>
          <cell r="F2557">
            <v>0</v>
          </cell>
          <cell r="G2557">
            <v>0</v>
          </cell>
          <cell r="H2557">
            <v>0</v>
          </cell>
          <cell r="I2557">
            <v>0</v>
          </cell>
          <cell r="J2557">
            <v>0</v>
          </cell>
        </row>
        <row r="2558">
          <cell r="B2558" t="str">
            <v>6.2.04.03.02</v>
          </cell>
          <cell r="C2558" t="str">
            <v>Pemberian Pinjaman-Investasi Non Permanen kepada BUMD</v>
          </cell>
          <cell r="D2558"/>
          <cell r="E2558"/>
          <cell r="F2558">
            <v>0</v>
          </cell>
          <cell r="G2558">
            <v>0</v>
          </cell>
          <cell r="H2558">
            <v>0</v>
          </cell>
          <cell r="I2558">
            <v>0</v>
          </cell>
          <cell r="J2558">
            <v>0</v>
          </cell>
        </row>
        <row r="2559">
          <cell r="B2559" t="str">
            <v>6.2.04.04</v>
          </cell>
          <cell r="C2559" t="str">
            <v>Pemberian Pinjaman Daerah kepada BUMN</v>
          </cell>
          <cell r="D2559">
            <v>0</v>
          </cell>
          <cell r="E2559">
            <v>0</v>
          </cell>
          <cell r="F2559"/>
          <cell r="G2559"/>
          <cell r="H2559"/>
          <cell r="I2559"/>
          <cell r="J2559">
            <v>0</v>
          </cell>
        </row>
        <row r="2560">
          <cell r="B2560" t="str">
            <v>6.2.04.04.01</v>
          </cell>
          <cell r="C2560" t="str">
            <v>Pemberian Pinjaman Daerah kepada BUMN</v>
          </cell>
          <cell r="D2560"/>
          <cell r="E2560"/>
          <cell r="F2560">
            <v>0</v>
          </cell>
          <cell r="G2560">
            <v>0</v>
          </cell>
          <cell r="H2560">
            <v>0</v>
          </cell>
          <cell r="I2560">
            <v>0</v>
          </cell>
          <cell r="J2560">
            <v>0</v>
          </cell>
        </row>
        <row r="2561">
          <cell r="B2561" t="str">
            <v>6.2.04.04.02</v>
          </cell>
          <cell r="C2561" t="str">
            <v>Pemberian Pinjaman-Investasi Non Permanen Lainnya kepada BUMN</v>
          </cell>
          <cell r="D2561"/>
          <cell r="E2561"/>
          <cell r="F2561">
            <v>0</v>
          </cell>
          <cell r="G2561">
            <v>0</v>
          </cell>
          <cell r="H2561">
            <v>0</v>
          </cell>
          <cell r="I2561">
            <v>0</v>
          </cell>
          <cell r="J2561">
            <v>0</v>
          </cell>
        </row>
        <row r="2562">
          <cell r="B2562" t="str">
            <v>6.2.04.05</v>
          </cell>
          <cell r="C2562" t="str">
            <v>Pemberian Pinjaman Daerah kepada Koperasi</v>
          </cell>
          <cell r="D2562">
            <v>0</v>
          </cell>
          <cell r="E2562">
            <v>0</v>
          </cell>
          <cell r="F2562"/>
          <cell r="G2562"/>
          <cell r="H2562"/>
          <cell r="I2562"/>
          <cell r="J2562">
            <v>0</v>
          </cell>
        </row>
        <row r="2563">
          <cell r="B2563" t="str">
            <v>6.2.04.05.01</v>
          </cell>
          <cell r="C2563" t="str">
            <v>Pemberian Pinjaman Daerah kepada Koperasi</v>
          </cell>
          <cell r="D2563"/>
          <cell r="E2563"/>
          <cell r="F2563">
            <v>0</v>
          </cell>
          <cell r="G2563">
            <v>0</v>
          </cell>
          <cell r="H2563">
            <v>0</v>
          </cell>
          <cell r="I2563">
            <v>0</v>
          </cell>
          <cell r="J2563">
            <v>0</v>
          </cell>
        </row>
        <row r="2564">
          <cell r="B2564" t="str">
            <v>6.2.04.05.02</v>
          </cell>
          <cell r="C2564" t="str">
            <v>Pemberian Pinjaman-Dana Bergulir kepada Koperasi</v>
          </cell>
          <cell r="D2564"/>
          <cell r="E2564"/>
          <cell r="F2564">
            <v>0</v>
          </cell>
          <cell r="G2564">
            <v>0</v>
          </cell>
          <cell r="H2564">
            <v>0</v>
          </cell>
          <cell r="I2564">
            <v>0</v>
          </cell>
          <cell r="J2564">
            <v>0</v>
          </cell>
        </row>
        <row r="2565">
          <cell r="B2565" t="str">
            <v>6.2.04.06</v>
          </cell>
          <cell r="C2565" t="str">
            <v>Pemberian Pinjaman Daerah kepada Masyarakat</v>
          </cell>
          <cell r="D2565">
            <v>0</v>
          </cell>
          <cell r="E2565">
            <v>0</v>
          </cell>
          <cell r="F2565"/>
          <cell r="G2565"/>
          <cell r="H2565"/>
          <cell r="I2565"/>
          <cell r="J2565">
            <v>0</v>
          </cell>
        </row>
        <row r="2566">
          <cell r="B2566" t="str">
            <v>6.2.04.06.01</v>
          </cell>
          <cell r="C2566" t="str">
            <v>Pemberian Pinjaman Daerah kepada Masyarakat</v>
          </cell>
          <cell r="D2566"/>
          <cell r="E2566"/>
          <cell r="F2566">
            <v>0</v>
          </cell>
          <cell r="G2566">
            <v>0</v>
          </cell>
          <cell r="H2566">
            <v>0</v>
          </cell>
          <cell r="I2566">
            <v>0</v>
          </cell>
          <cell r="J2566">
            <v>0</v>
          </cell>
        </row>
        <row r="2567">
          <cell r="B2567" t="str">
            <v>6.2.04.06.02</v>
          </cell>
          <cell r="C2567" t="str">
            <v>Pemberian Pinjaman-Dana Bergulir kepada Masyarakat</v>
          </cell>
          <cell r="D2567"/>
          <cell r="E2567"/>
          <cell r="F2567">
            <v>0</v>
          </cell>
          <cell r="G2567">
            <v>0</v>
          </cell>
          <cell r="H2567">
            <v>0</v>
          </cell>
          <cell r="I2567">
            <v>0</v>
          </cell>
          <cell r="J2567">
            <v>0</v>
          </cell>
        </row>
        <row r="2568">
          <cell r="B2568" t="str">
            <v>6.2.04.07</v>
          </cell>
          <cell r="C2568" t="str">
            <v>Pemberian Pinjaman-Dana Bergulir melalui BLUD</v>
          </cell>
          <cell r="D2568">
            <v>0</v>
          </cell>
          <cell r="E2568">
            <v>0</v>
          </cell>
          <cell r="F2568"/>
          <cell r="G2568"/>
          <cell r="H2568"/>
          <cell r="I2568"/>
          <cell r="J2568">
            <v>0</v>
          </cell>
        </row>
        <row r="2569">
          <cell r="B2569" t="str">
            <v>6.2.04.07.01</v>
          </cell>
          <cell r="C2569" t="str">
            <v>Pemberian Pinjaman-Dana Bergulir melalui BLUD</v>
          </cell>
          <cell r="D2569"/>
          <cell r="E2569"/>
          <cell r="F2569">
            <v>0</v>
          </cell>
          <cell r="G2569">
            <v>0</v>
          </cell>
          <cell r="H2569">
            <v>0</v>
          </cell>
          <cell r="I2569">
            <v>0</v>
          </cell>
          <cell r="J2569">
            <v>0</v>
          </cell>
        </row>
        <row r="2570">
          <cell r="B2570"/>
          <cell r="C2570"/>
          <cell r="D2570"/>
          <cell r="E2570"/>
          <cell r="F2570"/>
          <cell r="G2570"/>
          <cell r="H2570"/>
          <cell r="I2570"/>
          <cell r="J2570"/>
        </row>
        <row r="2571">
          <cell r="B2571" t="str">
            <v>6.2.05</v>
          </cell>
          <cell r="C2571" t="str">
            <v>Pengeluaran Pembiayaan Lainnya sesuai dengan Ketentuan Peraturan Perundang-Undangan</v>
          </cell>
          <cell r="D2571">
            <v>0</v>
          </cell>
          <cell r="E2571">
            <v>0</v>
          </cell>
          <cell r="F2571"/>
          <cell r="G2571"/>
          <cell r="H2571"/>
          <cell r="I2571"/>
          <cell r="J2571">
            <v>0</v>
          </cell>
        </row>
        <row r="2572">
          <cell r="B2572" t="str">
            <v>6.2.05.01</v>
          </cell>
          <cell r="C2572" t="str">
            <v>Pinjaman melalui BLUD</v>
          </cell>
          <cell r="D2572">
            <v>0</v>
          </cell>
          <cell r="E2572">
            <v>0</v>
          </cell>
          <cell r="F2572"/>
          <cell r="G2572"/>
          <cell r="H2572"/>
          <cell r="I2572"/>
          <cell r="J2572">
            <v>0</v>
          </cell>
        </row>
        <row r="2573">
          <cell r="B2573" t="str">
            <v>6.2.05.01.01</v>
          </cell>
          <cell r="C2573" t="str">
            <v>Pinjaman melalui BLUD-Jangka Pendek</v>
          </cell>
          <cell r="D2573"/>
          <cell r="E2573"/>
          <cell r="F2573">
            <v>0</v>
          </cell>
          <cell r="G2573">
            <v>0</v>
          </cell>
          <cell r="H2573">
            <v>0</v>
          </cell>
          <cell r="I2573">
            <v>0</v>
          </cell>
          <cell r="J2573">
            <v>0</v>
          </cell>
        </row>
        <row r="2574">
          <cell r="B2574" t="str">
            <v>6.2.05.01.02</v>
          </cell>
          <cell r="C2574" t="str">
            <v>Pinjaman melalui BLUD-Jangka Menengah</v>
          </cell>
          <cell r="D2574"/>
          <cell r="E2574"/>
          <cell r="F2574">
            <v>0</v>
          </cell>
          <cell r="G2574">
            <v>0</v>
          </cell>
          <cell r="H2574">
            <v>0</v>
          </cell>
          <cell r="I2574">
            <v>0</v>
          </cell>
          <cell r="J2574">
            <v>0</v>
          </cell>
        </row>
        <row r="2575">
          <cell r="B2575" t="str">
            <v>6.2.05.01.03</v>
          </cell>
          <cell r="C2575" t="str">
            <v>Pinjaman melalui BLUD-Jangka Panjang</v>
          </cell>
          <cell r="D2575"/>
          <cell r="E2575"/>
          <cell r="F2575">
            <v>0</v>
          </cell>
          <cell r="G2575">
            <v>0</v>
          </cell>
          <cell r="H2575">
            <v>0</v>
          </cell>
          <cell r="I2575">
            <v>0</v>
          </cell>
          <cell r="J2575">
            <v>0</v>
          </cell>
        </row>
        <row r="2576">
          <cell r="B2576" t="str">
            <v>6.2.05.02</v>
          </cell>
          <cell r="C2576" t="str">
            <v>Investasi BLUD</v>
          </cell>
          <cell r="D2576">
            <v>0</v>
          </cell>
          <cell r="E2576">
            <v>0</v>
          </cell>
          <cell r="F2576"/>
          <cell r="G2576"/>
          <cell r="H2576"/>
          <cell r="I2576"/>
          <cell r="J2576">
            <v>0</v>
          </cell>
        </row>
        <row r="2577">
          <cell r="B2577" t="str">
            <v>6.2.05.02.01</v>
          </cell>
          <cell r="C2577" t="str">
            <v>Investasi Jangka Pendek BLUD</v>
          </cell>
          <cell r="D2577"/>
          <cell r="E2577"/>
          <cell r="F2577">
            <v>0</v>
          </cell>
          <cell r="G2577">
            <v>0</v>
          </cell>
          <cell r="H2577">
            <v>0</v>
          </cell>
          <cell r="I2577">
            <v>0</v>
          </cell>
          <cell r="J2577">
            <v>0</v>
          </cell>
        </row>
        <row r="2578">
          <cell r="B2578"/>
          <cell r="C2578"/>
          <cell r="D2578"/>
          <cell r="E2578"/>
          <cell r="F2578"/>
          <cell r="G2578"/>
          <cell r="H2578"/>
          <cell r="I2578"/>
          <cell r="J2578"/>
        </row>
        <row r="2579">
          <cell r="B2579" t="str">
            <v>6.2.06</v>
          </cell>
          <cell r="C2579" t="str">
            <v>Pembentukan Dana Abadi Daerah</v>
          </cell>
          <cell r="D2579">
            <v>0</v>
          </cell>
          <cell r="E2579">
            <v>0</v>
          </cell>
          <cell r="F2579"/>
          <cell r="G2579"/>
          <cell r="H2579"/>
          <cell r="I2579"/>
          <cell r="J2579">
            <v>0</v>
          </cell>
        </row>
        <row r="2580">
          <cell r="B2580" t="str">
            <v>6.2.06.01</v>
          </cell>
          <cell r="C2580" t="str">
            <v>Pembentukan Pokok Dana Abadi Daerah</v>
          </cell>
          <cell r="D2580">
            <v>0</v>
          </cell>
          <cell r="E2580">
            <v>0</v>
          </cell>
          <cell r="F2580"/>
          <cell r="G2580"/>
          <cell r="H2580"/>
          <cell r="I2580"/>
          <cell r="J2580">
            <v>0</v>
          </cell>
        </row>
        <row r="2581">
          <cell r="B2581" t="str">
            <v>6.2.06.01.01</v>
          </cell>
          <cell r="C2581" t="str">
            <v>Pembentukan Pokok Dana Abadi Daerah</v>
          </cell>
          <cell r="D2581"/>
          <cell r="E2581"/>
          <cell r="F2581">
            <v>0</v>
          </cell>
          <cell r="G2581">
            <v>0</v>
          </cell>
          <cell r="H2581">
            <v>0</v>
          </cell>
          <cell r="I2581">
            <v>0</v>
          </cell>
          <cell r="J2581">
            <v>0</v>
          </cell>
        </row>
        <row r="2582">
          <cell r="B2582" t="str">
            <v>6.2.06.02</v>
          </cell>
          <cell r="C2582" t="str">
            <v>Pembentukan atas Penambahan Pokok Dana Abadi Daerah</v>
          </cell>
          <cell r="D2582">
            <v>0</v>
          </cell>
          <cell r="E2582">
            <v>0</v>
          </cell>
          <cell r="F2582"/>
          <cell r="G2582"/>
          <cell r="H2582"/>
          <cell r="I2582"/>
          <cell r="J2582">
            <v>0</v>
          </cell>
        </row>
        <row r="2583">
          <cell r="B2583" t="str">
            <v>6.2.06.02.01</v>
          </cell>
          <cell r="C2583" t="str">
            <v>Pembentukan atas Penambahan Pokok Dana Abadi Daerah</v>
          </cell>
          <cell r="D2583"/>
          <cell r="E2583"/>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F2584"/>
          <cell r="G2584"/>
          <cell r="H2584"/>
          <cell r="I2584"/>
          <cell r="J2584">
            <v>0</v>
          </cell>
        </row>
        <row r="2585">
          <cell r="B2585" t="str">
            <v>6.2.06.03.01</v>
          </cell>
          <cell r="C2585" t="str">
            <v xml:space="preserve">Pembentukan atas Pengembalian Pokok Dana Abadi Daerah Akibat Kondisi Darurat </v>
          </cell>
          <cell r="D2585"/>
          <cell r="E2585"/>
          <cell r="F2585">
            <v>0</v>
          </cell>
          <cell r="G2585">
            <v>0</v>
          </cell>
          <cell r="H2585">
            <v>0</v>
          </cell>
          <cell r="I2585">
            <v>0</v>
          </cell>
          <cell r="J2585">
            <v>0</v>
          </cell>
        </row>
        <row r="2586">
          <cell r="B2586"/>
          <cell r="C2586"/>
          <cell r="D2586"/>
          <cell r="E2586"/>
          <cell r="F2586"/>
          <cell r="G2586"/>
          <cell r="H2586"/>
          <cell r="I2586"/>
          <cell r="J2586"/>
        </row>
        <row r="2587">
          <cell r="B2587" t="str">
            <v>6.2.07</v>
          </cell>
          <cell r="C2587" t="str">
            <v>Pembayaran Pembiayaan Utang Daerah</v>
          </cell>
          <cell r="D2587">
            <v>0</v>
          </cell>
          <cell r="E2587">
            <v>0</v>
          </cell>
          <cell r="F2587"/>
          <cell r="G2587"/>
          <cell r="H2587"/>
          <cell r="I2587"/>
          <cell r="J2587">
            <v>0</v>
          </cell>
        </row>
        <row r="2588">
          <cell r="B2588" t="str">
            <v>6.2.07.01</v>
          </cell>
          <cell r="C2588" t="str">
            <v>Pembayaran Cicilan Pokok Pinjaman Daerah</v>
          </cell>
          <cell r="D2588">
            <v>0</v>
          </cell>
          <cell r="E2588">
            <v>0</v>
          </cell>
          <cell r="F2588"/>
          <cell r="G2588"/>
          <cell r="H2588"/>
          <cell r="I2588"/>
          <cell r="J2588">
            <v>0</v>
          </cell>
        </row>
        <row r="2589">
          <cell r="B2589" t="str">
            <v>6.2.07.01.01</v>
          </cell>
          <cell r="C2589" t="str">
            <v>Pembayaran Cicilan Pokok Pinjaman Daerah dari Pemerintah</v>
          </cell>
          <cell r="D2589"/>
          <cell r="E2589"/>
          <cell r="F2589">
            <v>0</v>
          </cell>
          <cell r="G2589">
            <v>0</v>
          </cell>
          <cell r="H2589">
            <v>0</v>
          </cell>
          <cell r="I2589">
            <v>0</v>
          </cell>
          <cell r="J2589">
            <v>0</v>
          </cell>
        </row>
        <row r="2590">
          <cell r="B2590" t="str">
            <v>6.2.07.01.02</v>
          </cell>
          <cell r="C2590" t="str">
            <v>Pembayaran Cicilan Pokok Pinjaman Daerah dari Pemerintah Daerah Lain</v>
          </cell>
          <cell r="D2590"/>
          <cell r="E2590"/>
          <cell r="F2590">
            <v>0</v>
          </cell>
          <cell r="G2590">
            <v>0</v>
          </cell>
          <cell r="H2590">
            <v>0</v>
          </cell>
          <cell r="I2590">
            <v>0</v>
          </cell>
          <cell r="J2590">
            <v>0</v>
          </cell>
        </row>
        <row r="2591">
          <cell r="B2591" t="str">
            <v>6.2.07.01.03</v>
          </cell>
          <cell r="C2591" t="str">
            <v>Pembayaran Cicilan Pokok Pinjaman Daerah dari Lembaga Keuangan Bank (LKB)</v>
          </cell>
          <cell r="D2591"/>
          <cell r="E2591"/>
          <cell r="F2591">
            <v>0</v>
          </cell>
          <cell r="G2591">
            <v>0</v>
          </cell>
          <cell r="H2591">
            <v>0</v>
          </cell>
          <cell r="I2591">
            <v>0</v>
          </cell>
          <cell r="J2591">
            <v>0</v>
          </cell>
        </row>
        <row r="2592">
          <cell r="B2592" t="str">
            <v>6.2.07.01.04</v>
          </cell>
          <cell r="C2592" t="str">
            <v>Pembayaran Cicilan Pokok Pinjaman Daerah dari Lembaga Keuangan Bukan Bank (LKBB)</v>
          </cell>
          <cell r="D2592"/>
          <cell r="E2592"/>
          <cell r="F2592">
            <v>0</v>
          </cell>
          <cell r="G2592">
            <v>0</v>
          </cell>
          <cell r="H2592">
            <v>0</v>
          </cell>
          <cell r="I2592">
            <v>0</v>
          </cell>
          <cell r="J2592">
            <v>0</v>
          </cell>
        </row>
        <row r="2593">
          <cell r="B2593" t="str">
            <v>6.2.07.02</v>
          </cell>
          <cell r="C2593" t="str">
            <v>Pembelian Kembali Obligasi Daerah</v>
          </cell>
          <cell r="D2593">
            <v>0</v>
          </cell>
          <cell r="E2593">
            <v>0</v>
          </cell>
          <cell r="F2593"/>
          <cell r="G2593"/>
          <cell r="H2593"/>
          <cell r="I2593"/>
          <cell r="J2593">
            <v>0</v>
          </cell>
        </row>
        <row r="2594">
          <cell r="B2594" t="str">
            <v>6.2.07.02.01</v>
          </cell>
          <cell r="C2594" t="str">
            <v>Pembelian Kembali Obligasi Daerah</v>
          </cell>
          <cell r="D2594"/>
          <cell r="E2594"/>
          <cell r="F2594">
            <v>0</v>
          </cell>
          <cell r="G2594">
            <v>0</v>
          </cell>
          <cell r="H2594">
            <v>0</v>
          </cell>
          <cell r="I2594">
            <v>0</v>
          </cell>
          <cell r="J2594">
            <v>0</v>
          </cell>
        </row>
        <row r="2595">
          <cell r="B2595" t="str">
            <v>6.2.07.03</v>
          </cell>
          <cell r="C2595" t="str">
            <v>Pembelian Kembali Sukuk Daerah</v>
          </cell>
          <cell r="D2595">
            <v>0</v>
          </cell>
          <cell r="E2595">
            <v>0</v>
          </cell>
          <cell r="F2595"/>
          <cell r="G2595"/>
          <cell r="H2595"/>
          <cell r="I2595"/>
          <cell r="J2595">
            <v>0</v>
          </cell>
        </row>
        <row r="2596">
          <cell r="B2596" t="str">
            <v>6.2.07.03.01</v>
          </cell>
          <cell r="C2596" t="str">
            <v>Pembelian Kembali Sukuk Daerah</v>
          </cell>
          <cell r="D2596"/>
          <cell r="E2596"/>
          <cell r="F2596">
            <v>0</v>
          </cell>
          <cell r="G2596">
            <v>0</v>
          </cell>
          <cell r="H2596">
            <v>0</v>
          </cell>
          <cell r="I2596">
            <v>0</v>
          </cell>
          <cell r="J2596">
            <v>0</v>
          </cell>
        </row>
        <row r="2597">
          <cell r="B2597"/>
          <cell r="C2597"/>
          <cell r="D2597"/>
          <cell r="E2597"/>
          <cell r="F2597"/>
          <cell r="G2597"/>
          <cell r="H2597"/>
          <cell r="I2597"/>
          <cell r="J2597"/>
        </row>
        <row r="2598">
          <cell r="B2598" t="str">
            <v>LRA</v>
          </cell>
          <cell r="C2598" t="str">
            <v>PEMBIAYAAN DAERAH NETTO</v>
          </cell>
          <cell r="D2598">
            <v>178752051988.94</v>
          </cell>
          <cell r="E2598">
            <v>322451709222.02002</v>
          </cell>
          <cell r="F2598"/>
          <cell r="G2598"/>
          <cell r="H2598"/>
          <cell r="I2598"/>
          <cell r="J2598">
            <v>322451709222.02002</v>
          </cell>
        </row>
        <row r="2599">
          <cell r="B2599"/>
          <cell r="C2599"/>
          <cell r="D2599"/>
          <cell r="E2599"/>
          <cell r="F2599"/>
          <cell r="G2599"/>
          <cell r="H2599"/>
          <cell r="I2599"/>
          <cell r="J2599"/>
        </row>
        <row r="2600">
          <cell r="B2600" t="str">
            <v>LRA</v>
          </cell>
          <cell r="C2600" t="str">
            <v>SISA LEBIH/(KURANG) PEMBIAYAAN ANGGARAN-SILPA/(SIKPA) SEBELUM KOREKSI</v>
          </cell>
          <cell r="D2600">
            <v>331601148062.02008</v>
          </cell>
          <cell r="E2600">
            <v>1144729374931.99</v>
          </cell>
          <cell r="F2600"/>
          <cell r="G2600"/>
          <cell r="H2600"/>
          <cell r="I2600"/>
          <cell r="J2600">
            <v>1144729374931.99</v>
          </cell>
        </row>
        <row r="2601">
          <cell r="B2601"/>
          <cell r="C2601"/>
          <cell r="D2601"/>
          <cell r="E2601"/>
          <cell r="F2601"/>
          <cell r="G2601"/>
          <cell r="H2601"/>
          <cell r="I2601"/>
          <cell r="J2601"/>
        </row>
        <row r="2602">
          <cell r="B2602" t="str">
            <v>LRA</v>
          </cell>
          <cell r="C2602" t="str">
            <v>KOREKSI SILPA</v>
          </cell>
          <cell r="D2602">
            <v>0</v>
          </cell>
          <cell r="E2602">
            <v>0</v>
          </cell>
          <cell r="F2602"/>
          <cell r="G2602"/>
          <cell r="H2602"/>
          <cell r="I2602"/>
          <cell r="J2602"/>
        </row>
        <row r="2603">
          <cell r="B2603"/>
          <cell r="C2603"/>
          <cell r="D2603"/>
          <cell r="E2603"/>
          <cell r="F2603"/>
          <cell r="G2603"/>
          <cell r="H2603"/>
          <cell r="I2603"/>
          <cell r="J2603"/>
        </row>
        <row r="2604">
          <cell r="B2604" t="str">
            <v>LRA</v>
          </cell>
          <cell r="C2604" t="str">
            <v>SISA LEBIH/(KURANG) PEMBIAYAAN ANGGARAN-SILPA/(SIKPA)</v>
          </cell>
          <cell r="D2604">
            <v>331601148062.02008</v>
          </cell>
          <cell r="E2604">
            <v>1144729374931.99</v>
          </cell>
          <cell r="F2604"/>
          <cell r="G2604"/>
          <cell r="H2604"/>
          <cell r="I2604"/>
          <cell r="J2604">
            <v>1144729374931.99</v>
          </cell>
        </row>
        <row r="2605">
          <cell r="B2605"/>
          <cell r="C2605"/>
          <cell r="D2605"/>
          <cell r="E2605"/>
          <cell r="F2605"/>
          <cell r="G2605"/>
          <cell r="H2605"/>
          <cell r="I2605"/>
          <cell r="J2605"/>
        </row>
        <row r="2606">
          <cell r="B2606" t="str">
            <v>LO</v>
          </cell>
          <cell r="C2606" t="str">
            <v>LO</v>
          </cell>
          <cell r="D2606" t="str">
            <v>LO</v>
          </cell>
          <cell r="E2606" t="str">
            <v>LO</v>
          </cell>
          <cell r="F2606" t="str">
            <v>LO</v>
          </cell>
          <cell r="G2606" t="str">
            <v>LO</v>
          </cell>
          <cell r="H2606" t="str">
            <v>LO</v>
          </cell>
          <cell r="I2606" t="str">
            <v>LO</v>
          </cell>
          <cell r="J2606" t="str">
            <v>LO</v>
          </cell>
        </row>
        <row r="2607">
          <cell r="B2607"/>
          <cell r="C2607"/>
          <cell r="D2607"/>
          <cell r="E2607"/>
          <cell r="F2607"/>
          <cell r="G2607"/>
          <cell r="H2607"/>
          <cell r="I2607"/>
          <cell r="J2607"/>
        </row>
        <row r="2608">
          <cell r="B2608" t="str">
            <v>7</v>
          </cell>
          <cell r="C2608" t="str">
            <v>PENDAPATAN DAERAH-LO</v>
          </cell>
          <cell r="D2608">
            <v>1534113590730.1499</v>
          </cell>
          <cell r="E2608">
            <v>2453735170583.5</v>
          </cell>
          <cell r="F2608"/>
          <cell r="G2608"/>
          <cell r="H2608"/>
          <cell r="I2608"/>
          <cell r="J2608">
            <v>2466932745695.5</v>
          </cell>
        </row>
        <row r="2609">
          <cell r="B2609" t="str">
            <v>7.1</v>
          </cell>
          <cell r="C2609" t="str">
            <v>PENDAPATAN ASLI DAERAH (PAD)-LO</v>
          </cell>
          <cell r="D2609">
            <v>204406415533.14999</v>
          </cell>
          <cell r="E2609">
            <v>229546497015.44</v>
          </cell>
          <cell r="F2609"/>
          <cell r="G2609"/>
          <cell r="H2609"/>
          <cell r="I2609"/>
          <cell r="J2609">
            <v>233382380301.44</v>
          </cell>
        </row>
        <row r="2610">
          <cell r="B2610" t="str">
            <v>7.1.01</v>
          </cell>
          <cell r="C2610" t="str">
            <v>Pajak Daerah-LO</v>
          </cell>
          <cell r="D2610">
            <v>107232991128</v>
          </cell>
          <cell r="E2610">
            <v>116391894778</v>
          </cell>
          <cell r="F2610"/>
          <cell r="G2610"/>
          <cell r="H2610"/>
          <cell r="I2610"/>
          <cell r="J2610">
            <v>120816600264</v>
          </cell>
        </row>
        <row r="2611">
          <cell r="B2611" t="str">
            <v>7.1.01.01</v>
          </cell>
          <cell r="C2611" t="str">
            <v>Pajak Kendaraan Bermotor (PKB)-LO</v>
          </cell>
          <cell r="D2611">
            <v>0</v>
          </cell>
          <cell r="E2611">
            <v>0</v>
          </cell>
          <cell r="F2611"/>
          <cell r="G2611"/>
          <cell r="H2611"/>
          <cell r="I2611"/>
          <cell r="J2611">
            <v>0</v>
          </cell>
        </row>
        <row r="2612">
          <cell r="B2612" t="str">
            <v>7.1.01.01.01</v>
          </cell>
          <cell r="C2612" t="str">
            <v>PKB-Mobil Penumpang-Sedan-LO</v>
          </cell>
          <cell r="D2612">
            <v>0</v>
          </cell>
          <cell r="E2612">
            <v>0</v>
          </cell>
          <cell r="F2612">
            <v>0</v>
          </cell>
          <cell r="G2612">
            <v>0</v>
          </cell>
          <cell r="H2612">
            <v>0</v>
          </cell>
          <cell r="I2612">
            <v>0</v>
          </cell>
          <cell r="J2612">
            <v>0</v>
          </cell>
        </row>
        <row r="2613">
          <cell r="B2613" t="str">
            <v>7.1.01.01.02</v>
          </cell>
          <cell r="C2613" t="str">
            <v>PKB-Mobil Penumpang-Jeep-LO</v>
          </cell>
          <cell r="D2613">
            <v>0</v>
          </cell>
          <cell r="E2613">
            <v>0</v>
          </cell>
          <cell r="F2613">
            <v>0</v>
          </cell>
          <cell r="G2613">
            <v>0</v>
          </cell>
          <cell r="H2613">
            <v>0</v>
          </cell>
          <cell r="I2613">
            <v>0</v>
          </cell>
          <cell r="J2613">
            <v>0</v>
          </cell>
        </row>
        <row r="2614">
          <cell r="B2614" t="str">
            <v>7.1.01.01.03</v>
          </cell>
          <cell r="C2614" t="str">
            <v>PKB-Mobil Penumpang-Minibus-LO</v>
          </cell>
          <cell r="D2614">
            <v>0</v>
          </cell>
          <cell r="E2614">
            <v>0</v>
          </cell>
          <cell r="F2614">
            <v>0</v>
          </cell>
          <cell r="G2614">
            <v>0</v>
          </cell>
          <cell r="H2614">
            <v>0</v>
          </cell>
          <cell r="I2614">
            <v>0</v>
          </cell>
          <cell r="J2614">
            <v>0</v>
          </cell>
        </row>
        <row r="2615">
          <cell r="B2615" t="str">
            <v>7.1.01.01.04</v>
          </cell>
          <cell r="C2615" t="str">
            <v>PKB-Mobil Bus-Microbus-LO</v>
          </cell>
          <cell r="D2615">
            <v>0</v>
          </cell>
          <cell r="E2615">
            <v>0</v>
          </cell>
          <cell r="F2615">
            <v>0</v>
          </cell>
          <cell r="G2615">
            <v>0</v>
          </cell>
          <cell r="H2615">
            <v>0</v>
          </cell>
          <cell r="I2615">
            <v>0</v>
          </cell>
          <cell r="J2615">
            <v>0</v>
          </cell>
        </row>
        <row r="2616">
          <cell r="B2616" t="str">
            <v>7.1.01.01.05</v>
          </cell>
          <cell r="C2616" t="str">
            <v>PKB-Mobil Bus-Bus-LO</v>
          </cell>
          <cell r="D2616">
            <v>0</v>
          </cell>
          <cell r="E2616">
            <v>0</v>
          </cell>
          <cell r="F2616">
            <v>0</v>
          </cell>
          <cell r="G2616">
            <v>0</v>
          </cell>
          <cell r="H2616">
            <v>0</v>
          </cell>
          <cell r="I2616">
            <v>0</v>
          </cell>
          <cell r="J2616">
            <v>0</v>
          </cell>
        </row>
        <row r="2617">
          <cell r="B2617" t="str">
            <v>7.1.01.01.06</v>
          </cell>
          <cell r="C2617" t="str">
            <v>PKB-Mobil Barang/Beban-Pick Up-LO</v>
          </cell>
          <cell r="D2617">
            <v>0</v>
          </cell>
          <cell r="E2617">
            <v>0</v>
          </cell>
          <cell r="F2617">
            <v>0</v>
          </cell>
          <cell r="G2617">
            <v>0</v>
          </cell>
          <cell r="H2617">
            <v>0</v>
          </cell>
          <cell r="I2617">
            <v>0</v>
          </cell>
          <cell r="J2617">
            <v>0</v>
          </cell>
        </row>
        <row r="2618">
          <cell r="B2618" t="str">
            <v>7.1.01.01.07</v>
          </cell>
          <cell r="C2618" t="str">
            <v>PKB-Mobil Barang/Beban-Light Truck-LO</v>
          </cell>
          <cell r="D2618">
            <v>0</v>
          </cell>
          <cell r="E2618">
            <v>0</v>
          </cell>
          <cell r="F2618">
            <v>0</v>
          </cell>
          <cell r="G2618">
            <v>0</v>
          </cell>
          <cell r="H2618">
            <v>0</v>
          </cell>
          <cell r="I2618">
            <v>0</v>
          </cell>
          <cell r="J2618">
            <v>0</v>
          </cell>
        </row>
        <row r="2619">
          <cell r="B2619" t="str">
            <v>7.1.01.01.08</v>
          </cell>
          <cell r="C2619" t="str">
            <v>PKB-Mobil Barang/Beban-Truck-LO</v>
          </cell>
          <cell r="D2619">
            <v>0</v>
          </cell>
          <cell r="E2619">
            <v>0</v>
          </cell>
          <cell r="F2619">
            <v>0</v>
          </cell>
          <cell r="G2619">
            <v>0</v>
          </cell>
          <cell r="H2619">
            <v>0</v>
          </cell>
          <cell r="I2619">
            <v>0</v>
          </cell>
          <cell r="J2619">
            <v>0</v>
          </cell>
        </row>
        <row r="2620">
          <cell r="B2620" t="str">
            <v>7.1.01.01.09</v>
          </cell>
          <cell r="C2620" t="str">
            <v>PKB-Mobil Barang/Beban-Blind Van-LO</v>
          </cell>
          <cell r="D2620">
            <v>0</v>
          </cell>
          <cell r="E2620">
            <v>0</v>
          </cell>
          <cell r="F2620">
            <v>0</v>
          </cell>
          <cell r="G2620">
            <v>0</v>
          </cell>
          <cell r="H2620">
            <v>0</v>
          </cell>
          <cell r="I2620">
            <v>0</v>
          </cell>
          <cell r="J2620">
            <v>0</v>
          </cell>
        </row>
        <row r="2621">
          <cell r="B2621" t="str">
            <v>7.1.01.01.10</v>
          </cell>
          <cell r="C2621" t="str">
            <v>PKB-Sepeda Motor-Sepeda Motor Roda Dua-LO</v>
          </cell>
          <cell r="D2621">
            <v>0</v>
          </cell>
          <cell r="E2621">
            <v>0</v>
          </cell>
          <cell r="F2621">
            <v>0</v>
          </cell>
          <cell r="G2621">
            <v>0</v>
          </cell>
          <cell r="H2621">
            <v>0</v>
          </cell>
          <cell r="I2621">
            <v>0</v>
          </cell>
          <cell r="J2621">
            <v>0</v>
          </cell>
        </row>
        <row r="2622">
          <cell r="B2622" t="str">
            <v>7.1.01.01.11</v>
          </cell>
          <cell r="C2622" t="str">
            <v>PKB-Sepeda Motor-Sepeda Motor Roda Tiga-LO</v>
          </cell>
          <cell r="D2622">
            <v>0</v>
          </cell>
          <cell r="E2622">
            <v>0</v>
          </cell>
          <cell r="F2622">
            <v>0</v>
          </cell>
          <cell r="G2622">
            <v>0</v>
          </cell>
          <cell r="H2622">
            <v>0</v>
          </cell>
          <cell r="I2622">
            <v>0</v>
          </cell>
          <cell r="J2622">
            <v>0</v>
          </cell>
        </row>
        <row r="2623">
          <cell r="B2623" t="str">
            <v>7.1.01.01.12</v>
          </cell>
          <cell r="C2623" t="str">
            <v>PKB-Kendaraan Bermotor yang Dioperasikan di Air-LO</v>
          </cell>
          <cell r="D2623">
            <v>0</v>
          </cell>
          <cell r="E2623">
            <v>0</v>
          </cell>
          <cell r="F2623">
            <v>0</v>
          </cell>
          <cell r="G2623">
            <v>0</v>
          </cell>
          <cell r="H2623">
            <v>0</v>
          </cell>
          <cell r="I2623">
            <v>0</v>
          </cell>
          <cell r="J2623">
            <v>0</v>
          </cell>
        </row>
        <row r="2624">
          <cell r="B2624" t="str">
            <v>7.1.01.01.13</v>
          </cell>
          <cell r="C2624" t="str">
            <v>PKB-Kendaraan Khusus Alat Berat/Alat Besar-LO</v>
          </cell>
          <cell r="D2624">
            <v>0</v>
          </cell>
          <cell r="E2624">
            <v>0</v>
          </cell>
          <cell r="F2624">
            <v>0</v>
          </cell>
          <cell r="G2624">
            <v>0</v>
          </cell>
          <cell r="H2624">
            <v>0</v>
          </cell>
          <cell r="I2624">
            <v>0</v>
          </cell>
          <cell r="J2624">
            <v>0</v>
          </cell>
        </row>
        <row r="2625">
          <cell r="B2625" t="str">
            <v>7.1.01.01.14</v>
          </cell>
          <cell r="C2625" t="str">
            <v>PKB-Mobil Roda Tiga-LO</v>
          </cell>
          <cell r="D2625">
            <v>0</v>
          </cell>
          <cell r="E2625">
            <v>0</v>
          </cell>
          <cell r="F2625">
            <v>0</v>
          </cell>
          <cell r="G2625">
            <v>0</v>
          </cell>
          <cell r="H2625">
            <v>0</v>
          </cell>
          <cell r="I2625">
            <v>0</v>
          </cell>
          <cell r="J2625">
            <v>0</v>
          </cell>
        </row>
        <row r="2626">
          <cell r="B2626" t="str">
            <v>7.1.01.01.15</v>
          </cell>
          <cell r="C2626" t="str">
            <v>PKB-Mobil Penumpang-Roda Tiga-LO</v>
          </cell>
          <cell r="D2626">
            <v>0</v>
          </cell>
          <cell r="E2626">
            <v>0</v>
          </cell>
          <cell r="F2626">
            <v>0</v>
          </cell>
          <cell r="G2626">
            <v>0</v>
          </cell>
          <cell r="H2626">
            <v>0</v>
          </cell>
          <cell r="I2626">
            <v>0</v>
          </cell>
          <cell r="J2626">
            <v>0</v>
          </cell>
        </row>
        <row r="2627">
          <cell r="B2627" t="str">
            <v>7.1.01.01.16</v>
          </cell>
          <cell r="C2627" t="str">
            <v>PKB-Mobil Barang-Roda Tiga-LO</v>
          </cell>
          <cell r="D2627">
            <v>0</v>
          </cell>
          <cell r="E2627">
            <v>0</v>
          </cell>
          <cell r="F2627">
            <v>0</v>
          </cell>
          <cell r="G2627">
            <v>0</v>
          </cell>
          <cell r="H2627">
            <v>0</v>
          </cell>
          <cell r="I2627">
            <v>0</v>
          </cell>
          <cell r="J2627">
            <v>0</v>
          </cell>
        </row>
        <row r="2628">
          <cell r="B2628" t="str">
            <v>7.1.01.01.17</v>
          </cell>
          <cell r="C2628" t="str">
            <v>PKB-Mobil Barang/Beban-Pick Up Box-LO</v>
          </cell>
          <cell r="D2628">
            <v>0</v>
          </cell>
          <cell r="E2628">
            <v>0</v>
          </cell>
          <cell r="F2628">
            <v>0</v>
          </cell>
          <cell r="G2628">
            <v>0</v>
          </cell>
          <cell r="H2628">
            <v>0</v>
          </cell>
          <cell r="I2628">
            <v>0</v>
          </cell>
          <cell r="J2628">
            <v>0</v>
          </cell>
        </row>
        <row r="2629">
          <cell r="B2629" t="str">
            <v>7.1.01.01.18</v>
          </cell>
          <cell r="C2629" t="str">
            <v>PKB-Sepeda Motor-Sepeda Motor Roda Tiga Penumpang-LO</v>
          </cell>
          <cell r="D2629">
            <v>0</v>
          </cell>
          <cell r="E2629">
            <v>0</v>
          </cell>
          <cell r="F2629">
            <v>0</v>
          </cell>
          <cell r="G2629">
            <v>0</v>
          </cell>
          <cell r="H2629">
            <v>0</v>
          </cell>
          <cell r="I2629">
            <v>0</v>
          </cell>
          <cell r="J2629">
            <v>0</v>
          </cell>
        </row>
        <row r="2630">
          <cell r="B2630" t="str">
            <v>7.1.01.02</v>
          </cell>
          <cell r="C2630" t="str">
            <v>Bea Balik Nama Kendaraan Bermotor (BBNKB)-LO</v>
          </cell>
          <cell r="D2630">
            <v>0</v>
          </cell>
          <cell r="E2630">
            <v>0</v>
          </cell>
          <cell r="F2630"/>
          <cell r="G2630"/>
          <cell r="H2630"/>
          <cell r="I2630"/>
          <cell r="J2630">
            <v>0</v>
          </cell>
        </row>
        <row r="2631">
          <cell r="B2631" t="str">
            <v>7.1.01.02.01</v>
          </cell>
          <cell r="C2631" t="str">
            <v>BBNKB-Mobil Penumpang-Sedan-LO</v>
          </cell>
          <cell r="D2631">
            <v>0</v>
          </cell>
          <cell r="E2631">
            <v>0</v>
          </cell>
          <cell r="F2631">
            <v>0</v>
          </cell>
          <cell r="G2631">
            <v>0</v>
          </cell>
          <cell r="H2631">
            <v>0</v>
          </cell>
          <cell r="I2631">
            <v>0</v>
          </cell>
          <cell r="J2631">
            <v>0</v>
          </cell>
        </row>
        <row r="2632">
          <cell r="B2632" t="str">
            <v>7.1.01.02.02</v>
          </cell>
          <cell r="C2632" t="str">
            <v>BBNKB-Mobil Penumpang-Jeep-LO</v>
          </cell>
          <cell r="D2632">
            <v>0</v>
          </cell>
          <cell r="E2632">
            <v>0</v>
          </cell>
          <cell r="F2632">
            <v>0</v>
          </cell>
          <cell r="G2632">
            <v>0</v>
          </cell>
          <cell r="H2632">
            <v>0</v>
          </cell>
          <cell r="I2632">
            <v>0</v>
          </cell>
          <cell r="J2632">
            <v>0</v>
          </cell>
        </row>
        <row r="2633">
          <cell r="B2633" t="str">
            <v>7.1.01.02.03</v>
          </cell>
          <cell r="C2633" t="str">
            <v>BBNKB-Mobil Penumpang-Minibus-LO</v>
          </cell>
          <cell r="D2633">
            <v>0</v>
          </cell>
          <cell r="E2633">
            <v>0</v>
          </cell>
          <cell r="F2633">
            <v>0</v>
          </cell>
          <cell r="G2633">
            <v>0</v>
          </cell>
          <cell r="H2633">
            <v>0</v>
          </cell>
          <cell r="I2633">
            <v>0</v>
          </cell>
          <cell r="J2633">
            <v>0</v>
          </cell>
        </row>
        <row r="2634">
          <cell r="B2634" t="str">
            <v>7.1.01.02.04</v>
          </cell>
          <cell r="C2634" t="str">
            <v>BBNKB-Mobil Bus-Microbus-LO</v>
          </cell>
          <cell r="D2634">
            <v>0</v>
          </cell>
          <cell r="E2634">
            <v>0</v>
          </cell>
          <cell r="F2634">
            <v>0</v>
          </cell>
          <cell r="G2634">
            <v>0</v>
          </cell>
          <cell r="H2634">
            <v>0</v>
          </cell>
          <cell r="I2634">
            <v>0</v>
          </cell>
          <cell r="J2634">
            <v>0</v>
          </cell>
        </row>
        <row r="2635">
          <cell r="B2635" t="str">
            <v>7.1.01.02.05</v>
          </cell>
          <cell r="C2635" t="str">
            <v>BBNKB-Mobil Bus-Bus-LO</v>
          </cell>
          <cell r="D2635">
            <v>0</v>
          </cell>
          <cell r="E2635">
            <v>0</v>
          </cell>
          <cell r="F2635">
            <v>0</v>
          </cell>
          <cell r="G2635">
            <v>0</v>
          </cell>
          <cell r="H2635">
            <v>0</v>
          </cell>
          <cell r="I2635">
            <v>0</v>
          </cell>
          <cell r="J2635">
            <v>0</v>
          </cell>
        </row>
        <row r="2636">
          <cell r="B2636" t="str">
            <v>7.1.01.02.06</v>
          </cell>
          <cell r="C2636" t="str">
            <v>BBNKB-Mobil Barang/Beban-Pick Up-LO</v>
          </cell>
          <cell r="D2636">
            <v>0</v>
          </cell>
          <cell r="E2636">
            <v>0</v>
          </cell>
          <cell r="F2636">
            <v>0</v>
          </cell>
          <cell r="G2636">
            <v>0</v>
          </cell>
          <cell r="H2636">
            <v>0</v>
          </cell>
          <cell r="I2636">
            <v>0</v>
          </cell>
          <cell r="J2636">
            <v>0</v>
          </cell>
        </row>
        <row r="2637">
          <cell r="B2637" t="str">
            <v>7.1.01.02.07</v>
          </cell>
          <cell r="C2637" t="str">
            <v>BBNKB-Mobil Barang/Beban-Light Truck-LO</v>
          </cell>
          <cell r="D2637">
            <v>0</v>
          </cell>
          <cell r="E2637">
            <v>0</v>
          </cell>
          <cell r="F2637">
            <v>0</v>
          </cell>
          <cell r="G2637">
            <v>0</v>
          </cell>
          <cell r="H2637">
            <v>0</v>
          </cell>
          <cell r="I2637">
            <v>0</v>
          </cell>
          <cell r="J2637">
            <v>0</v>
          </cell>
        </row>
        <row r="2638">
          <cell r="B2638" t="str">
            <v>7.1.01.02.08</v>
          </cell>
          <cell r="C2638" t="str">
            <v>BBNKB-Mobil Barang/Beban-Truck-LO</v>
          </cell>
          <cell r="D2638">
            <v>0</v>
          </cell>
          <cell r="E2638">
            <v>0</v>
          </cell>
          <cell r="F2638">
            <v>0</v>
          </cell>
          <cell r="G2638">
            <v>0</v>
          </cell>
          <cell r="H2638">
            <v>0</v>
          </cell>
          <cell r="I2638">
            <v>0</v>
          </cell>
          <cell r="J2638">
            <v>0</v>
          </cell>
        </row>
        <row r="2639">
          <cell r="B2639" t="str">
            <v>7.1.01.02.09</v>
          </cell>
          <cell r="C2639" t="str">
            <v>BBNKB-Mobil Barang/Beban-Blind Van-LO</v>
          </cell>
          <cell r="D2639">
            <v>0</v>
          </cell>
          <cell r="E2639">
            <v>0</v>
          </cell>
          <cell r="F2639">
            <v>0</v>
          </cell>
          <cell r="G2639">
            <v>0</v>
          </cell>
          <cell r="H2639">
            <v>0</v>
          </cell>
          <cell r="I2639">
            <v>0</v>
          </cell>
          <cell r="J2639">
            <v>0</v>
          </cell>
        </row>
        <row r="2640">
          <cell r="B2640" t="str">
            <v>7.1.01.02.10</v>
          </cell>
          <cell r="C2640" t="str">
            <v>BBNKB-Sepeda Motor-Sepeda Motor Roda Dua-LO</v>
          </cell>
          <cell r="D2640">
            <v>0</v>
          </cell>
          <cell r="E2640">
            <v>0</v>
          </cell>
          <cell r="F2640">
            <v>0</v>
          </cell>
          <cell r="G2640">
            <v>0</v>
          </cell>
          <cell r="H2640">
            <v>0</v>
          </cell>
          <cell r="I2640">
            <v>0</v>
          </cell>
          <cell r="J2640">
            <v>0</v>
          </cell>
        </row>
        <row r="2641">
          <cell r="B2641" t="str">
            <v>7.1.01.02.11</v>
          </cell>
          <cell r="C2641" t="str">
            <v>BBNKB-Sepeda Motor-Sepeda Motor Roda Tiga-LO</v>
          </cell>
          <cell r="D2641">
            <v>0</v>
          </cell>
          <cell r="E2641">
            <v>0</v>
          </cell>
          <cell r="F2641">
            <v>0</v>
          </cell>
          <cell r="G2641">
            <v>0</v>
          </cell>
          <cell r="H2641">
            <v>0</v>
          </cell>
          <cell r="I2641">
            <v>0</v>
          </cell>
          <cell r="J2641">
            <v>0</v>
          </cell>
        </row>
        <row r="2642">
          <cell r="B2642" t="str">
            <v>7.1.01.02.12</v>
          </cell>
          <cell r="C2642" t="str">
            <v>BBNKB-Kendaraan Bermotor yang Dioperasikan di Air-LO</v>
          </cell>
          <cell r="D2642">
            <v>0</v>
          </cell>
          <cell r="E2642">
            <v>0</v>
          </cell>
          <cell r="F2642">
            <v>0</v>
          </cell>
          <cell r="G2642">
            <v>0</v>
          </cell>
          <cell r="H2642">
            <v>0</v>
          </cell>
          <cell r="I2642">
            <v>0</v>
          </cell>
          <cell r="J2642">
            <v>0</v>
          </cell>
        </row>
        <row r="2643">
          <cell r="B2643" t="str">
            <v>7.1.01.02.13</v>
          </cell>
          <cell r="C2643" t="str">
            <v>BBNKB-Kendaraan Khusus Alat Berat-LO</v>
          </cell>
          <cell r="D2643">
            <v>0</v>
          </cell>
          <cell r="E2643">
            <v>0</v>
          </cell>
          <cell r="F2643">
            <v>0</v>
          </cell>
          <cell r="G2643">
            <v>0</v>
          </cell>
          <cell r="H2643">
            <v>0</v>
          </cell>
          <cell r="I2643">
            <v>0</v>
          </cell>
          <cell r="J2643">
            <v>0</v>
          </cell>
        </row>
        <row r="2644">
          <cell r="B2644" t="str">
            <v>7.1.01.02.14</v>
          </cell>
          <cell r="C2644" t="str">
            <v>BBNKB-Mobil Roda Tiga-LO</v>
          </cell>
          <cell r="D2644">
            <v>0</v>
          </cell>
          <cell r="E2644">
            <v>0</v>
          </cell>
          <cell r="F2644">
            <v>0</v>
          </cell>
          <cell r="G2644">
            <v>0</v>
          </cell>
          <cell r="H2644">
            <v>0</v>
          </cell>
          <cell r="I2644">
            <v>0</v>
          </cell>
          <cell r="J2644">
            <v>0</v>
          </cell>
        </row>
        <row r="2645">
          <cell r="B2645" t="str">
            <v>7.1.01.02.15</v>
          </cell>
          <cell r="C2645" t="str">
            <v>BBNKB-Mobil Penumpang-Roda Tiga-LO</v>
          </cell>
          <cell r="D2645">
            <v>0</v>
          </cell>
          <cell r="E2645">
            <v>0</v>
          </cell>
          <cell r="F2645">
            <v>0</v>
          </cell>
          <cell r="G2645">
            <v>0</v>
          </cell>
          <cell r="H2645">
            <v>0</v>
          </cell>
          <cell r="I2645">
            <v>0</v>
          </cell>
          <cell r="J2645">
            <v>0</v>
          </cell>
        </row>
        <row r="2646">
          <cell r="B2646" t="str">
            <v>7.1.01.02.16</v>
          </cell>
          <cell r="C2646" t="str">
            <v>BBNKB-Mobil Barang-Roda Tiga-LO</v>
          </cell>
          <cell r="D2646">
            <v>0</v>
          </cell>
          <cell r="E2646">
            <v>0</v>
          </cell>
          <cell r="F2646">
            <v>0</v>
          </cell>
          <cell r="G2646">
            <v>0</v>
          </cell>
          <cell r="H2646">
            <v>0</v>
          </cell>
          <cell r="I2646">
            <v>0</v>
          </cell>
          <cell r="J2646">
            <v>0</v>
          </cell>
        </row>
        <row r="2647">
          <cell r="B2647" t="str">
            <v>7.1.01.02.17</v>
          </cell>
          <cell r="C2647" t="str">
            <v>BBNKB-Mobil Barang/Beban-Pick Up Box-LO</v>
          </cell>
          <cell r="D2647">
            <v>0</v>
          </cell>
          <cell r="E2647">
            <v>0</v>
          </cell>
          <cell r="F2647">
            <v>0</v>
          </cell>
          <cell r="G2647">
            <v>0</v>
          </cell>
          <cell r="H2647">
            <v>0</v>
          </cell>
          <cell r="I2647">
            <v>0</v>
          </cell>
          <cell r="J2647">
            <v>0</v>
          </cell>
        </row>
        <row r="2648">
          <cell r="B2648" t="str">
            <v>7.1.01.02.18</v>
          </cell>
          <cell r="C2648" t="str">
            <v>BBNKB-Sepeda Motor-Sepeda Motor Roda Tiga Penumpang-LO</v>
          </cell>
          <cell r="D2648">
            <v>0</v>
          </cell>
          <cell r="E2648">
            <v>0</v>
          </cell>
          <cell r="F2648">
            <v>0</v>
          </cell>
          <cell r="G2648">
            <v>0</v>
          </cell>
          <cell r="H2648">
            <v>0</v>
          </cell>
          <cell r="I2648">
            <v>0</v>
          </cell>
          <cell r="J2648">
            <v>0</v>
          </cell>
        </row>
        <row r="2649">
          <cell r="B2649" t="str">
            <v>7.1.01.03</v>
          </cell>
          <cell r="C2649" t="str">
            <v>Pajak Bahan Bakar Kendaraan Bermotor (PBBKB)-LO</v>
          </cell>
          <cell r="D2649">
            <v>0</v>
          </cell>
          <cell r="E2649">
            <v>0</v>
          </cell>
          <cell r="F2649"/>
          <cell r="G2649"/>
          <cell r="H2649"/>
          <cell r="I2649"/>
          <cell r="J2649">
            <v>0</v>
          </cell>
        </row>
        <row r="2650">
          <cell r="B2650" t="str">
            <v>7.1.01.03.01</v>
          </cell>
          <cell r="C2650" t="str">
            <v>PBBKB Bahan Bakar Bensin-LO</v>
          </cell>
          <cell r="D2650">
            <v>0</v>
          </cell>
          <cell r="E2650">
            <v>0</v>
          </cell>
          <cell r="F2650">
            <v>0</v>
          </cell>
          <cell r="G2650">
            <v>0</v>
          </cell>
          <cell r="H2650">
            <v>0</v>
          </cell>
          <cell r="I2650">
            <v>0</v>
          </cell>
          <cell r="J2650">
            <v>0</v>
          </cell>
        </row>
        <row r="2651">
          <cell r="B2651" t="str">
            <v>7.1.01.03.02</v>
          </cell>
          <cell r="C2651" t="str">
            <v>PBBKB Bahan Bakar Solar-LO</v>
          </cell>
          <cell r="D2651">
            <v>0</v>
          </cell>
          <cell r="E2651">
            <v>0</v>
          </cell>
          <cell r="F2651">
            <v>0</v>
          </cell>
          <cell r="G2651">
            <v>0</v>
          </cell>
          <cell r="H2651">
            <v>0</v>
          </cell>
          <cell r="I2651">
            <v>0</v>
          </cell>
          <cell r="J2651">
            <v>0</v>
          </cell>
        </row>
        <row r="2652">
          <cell r="B2652" t="str">
            <v>7.1.01.03.03</v>
          </cell>
          <cell r="C2652" t="str">
            <v>PBBKB Bahan Bakar Gas-LO</v>
          </cell>
          <cell r="D2652">
            <v>0</v>
          </cell>
          <cell r="E2652">
            <v>0</v>
          </cell>
          <cell r="F2652">
            <v>0</v>
          </cell>
          <cell r="G2652">
            <v>0</v>
          </cell>
          <cell r="H2652">
            <v>0</v>
          </cell>
          <cell r="I2652">
            <v>0</v>
          </cell>
          <cell r="J2652">
            <v>0</v>
          </cell>
        </row>
        <row r="2653">
          <cell r="B2653" t="str">
            <v>7.1.01.03.04</v>
          </cell>
          <cell r="C2653" t="str">
            <v>PBBKB Bahan Bakar Lainnya-LO</v>
          </cell>
          <cell r="D2653">
            <v>0</v>
          </cell>
          <cell r="E2653">
            <v>0</v>
          </cell>
          <cell r="F2653">
            <v>0</v>
          </cell>
          <cell r="G2653">
            <v>0</v>
          </cell>
          <cell r="H2653">
            <v>0</v>
          </cell>
          <cell r="I2653">
            <v>0</v>
          </cell>
          <cell r="J2653">
            <v>0</v>
          </cell>
        </row>
        <row r="2654">
          <cell r="B2654" t="str">
            <v>7.1.01.04</v>
          </cell>
          <cell r="C2654" t="str">
            <v>Pajak Air Permukaan-LO</v>
          </cell>
          <cell r="D2654">
            <v>0</v>
          </cell>
          <cell r="E2654">
            <v>0</v>
          </cell>
          <cell r="F2654"/>
          <cell r="G2654"/>
          <cell r="H2654"/>
          <cell r="I2654"/>
          <cell r="J2654">
            <v>0</v>
          </cell>
        </row>
        <row r="2655">
          <cell r="B2655" t="str">
            <v>7.1.01.04.01</v>
          </cell>
          <cell r="C2655" t="str">
            <v>Pajak Air Permukaan-LO</v>
          </cell>
          <cell r="D2655">
            <v>0</v>
          </cell>
          <cell r="E2655">
            <v>0</v>
          </cell>
          <cell r="F2655">
            <v>0</v>
          </cell>
          <cell r="G2655">
            <v>0</v>
          </cell>
          <cell r="H2655">
            <v>0</v>
          </cell>
          <cell r="I2655">
            <v>0</v>
          </cell>
          <cell r="J2655">
            <v>0</v>
          </cell>
        </row>
        <row r="2656">
          <cell r="B2656" t="str">
            <v>7.1.01.05</v>
          </cell>
          <cell r="C2656" t="str">
            <v>Pajak Rokok-LO</v>
          </cell>
          <cell r="D2656">
            <v>0</v>
          </cell>
          <cell r="E2656">
            <v>0</v>
          </cell>
          <cell r="F2656"/>
          <cell r="G2656"/>
          <cell r="H2656"/>
          <cell r="I2656"/>
          <cell r="J2656">
            <v>0</v>
          </cell>
        </row>
        <row r="2657">
          <cell r="B2657" t="str">
            <v>7.1.01.05.01</v>
          </cell>
          <cell r="C2657" t="str">
            <v>Pajak Rokok-LO</v>
          </cell>
          <cell r="D2657">
            <v>0</v>
          </cell>
          <cell r="E2657">
            <v>0</v>
          </cell>
          <cell r="F2657">
            <v>0</v>
          </cell>
          <cell r="G2657">
            <v>0</v>
          </cell>
          <cell r="H2657">
            <v>0</v>
          </cell>
          <cell r="I2657">
            <v>0</v>
          </cell>
          <cell r="J2657">
            <v>0</v>
          </cell>
        </row>
        <row r="2658">
          <cell r="B2658" t="str">
            <v>7.1.01.06</v>
          </cell>
          <cell r="C2658" t="str">
            <v>Pajak Hotel-LO</v>
          </cell>
          <cell r="D2658">
            <v>2136569773</v>
          </cell>
          <cell r="E2658">
            <v>0</v>
          </cell>
          <cell r="F2658"/>
          <cell r="G2658"/>
          <cell r="H2658"/>
          <cell r="I2658"/>
          <cell r="J2658">
            <v>0</v>
          </cell>
        </row>
        <row r="2659">
          <cell r="B2659" t="str">
            <v>7.1.01.06.01</v>
          </cell>
          <cell r="C2659" t="str">
            <v>Pajak Hotel-LO</v>
          </cell>
          <cell r="D2659">
            <v>2136569773</v>
          </cell>
          <cell r="E2659">
            <v>0</v>
          </cell>
          <cell r="F2659">
            <v>0</v>
          </cell>
          <cell r="G2659">
            <v>0</v>
          </cell>
          <cell r="H2659">
            <v>0</v>
          </cell>
          <cell r="I2659">
            <v>0</v>
          </cell>
          <cell r="J2659">
            <v>0</v>
          </cell>
        </row>
        <row r="2660">
          <cell r="B2660" t="str">
            <v>7.1.01.06.02</v>
          </cell>
          <cell r="C2660" t="str">
            <v>Pajak Motel-LO</v>
          </cell>
          <cell r="D2660">
            <v>0</v>
          </cell>
          <cell r="E2660">
            <v>0</v>
          </cell>
          <cell r="F2660">
            <v>0</v>
          </cell>
          <cell r="G2660">
            <v>0</v>
          </cell>
          <cell r="H2660">
            <v>0</v>
          </cell>
          <cell r="I2660">
            <v>0</v>
          </cell>
          <cell r="J2660">
            <v>0</v>
          </cell>
        </row>
        <row r="2661">
          <cell r="B2661" t="str">
            <v>7.1.01.06.03</v>
          </cell>
          <cell r="C2661" t="str">
            <v>Pajak Losmen-LO</v>
          </cell>
          <cell r="D2661">
            <v>0</v>
          </cell>
          <cell r="E2661">
            <v>0</v>
          </cell>
          <cell r="F2661">
            <v>0</v>
          </cell>
          <cell r="G2661">
            <v>0</v>
          </cell>
          <cell r="H2661">
            <v>0</v>
          </cell>
          <cell r="I2661">
            <v>0</v>
          </cell>
          <cell r="J2661">
            <v>0</v>
          </cell>
        </row>
        <row r="2662">
          <cell r="B2662" t="str">
            <v>7.1.01.06.04</v>
          </cell>
          <cell r="C2662" t="str">
            <v>Pajak Gubuk Pariwisata-LO</v>
          </cell>
          <cell r="D2662">
            <v>0</v>
          </cell>
          <cell r="E2662">
            <v>0</v>
          </cell>
          <cell r="F2662">
            <v>0</v>
          </cell>
          <cell r="G2662">
            <v>0</v>
          </cell>
          <cell r="H2662">
            <v>0</v>
          </cell>
          <cell r="I2662">
            <v>0</v>
          </cell>
          <cell r="J2662">
            <v>0</v>
          </cell>
        </row>
        <row r="2663">
          <cell r="B2663" t="str">
            <v>7.1.01.06.05</v>
          </cell>
          <cell r="C2663" t="str">
            <v>Pajak Wisma Pariwisata-LO</v>
          </cell>
          <cell r="D2663">
            <v>0</v>
          </cell>
          <cell r="E2663">
            <v>0</v>
          </cell>
          <cell r="F2663">
            <v>0</v>
          </cell>
          <cell r="G2663">
            <v>0</v>
          </cell>
          <cell r="H2663">
            <v>0</v>
          </cell>
          <cell r="I2663">
            <v>0</v>
          </cell>
          <cell r="J2663">
            <v>0</v>
          </cell>
        </row>
        <row r="2664">
          <cell r="B2664" t="str">
            <v>7.1.01.06.06</v>
          </cell>
          <cell r="C2664" t="str">
            <v>Pajak Pesanggrahan-LO</v>
          </cell>
          <cell r="D2664">
            <v>0</v>
          </cell>
          <cell r="E2664">
            <v>0</v>
          </cell>
          <cell r="F2664">
            <v>0</v>
          </cell>
          <cell r="G2664">
            <v>0</v>
          </cell>
          <cell r="H2664">
            <v>0</v>
          </cell>
          <cell r="I2664">
            <v>0</v>
          </cell>
          <cell r="J2664">
            <v>0</v>
          </cell>
        </row>
        <row r="2665">
          <cell r="B2665" t="str">
            <v>7.1.01.06.07</v>
          </cell>
          <cell r="C2665" t="str">
            <v>Pajak Rumah Penginapan dan Sejenisnya-LO</v>
          </cell>
          <cell r="D2665">
            <v>0</v>
          </cell>
          <cell r="E2665">
            <v>0</v>
          </cell>
          <cell r="F2665">
            <v>0</v>
          </cell>
          <cell r="G2665">
            <v>0</v>
          </cell>
          <cell r="H2665">
            <v>0</v>
          </cell>
          <cell r="I2665">
            <v>0</v>
          </cell>
          <cell r="J2665">
            <v>0</v>
          </cell>
        </row>
        <row r="2666">
          <cell r="B2666" t="str">
            <v>7.1.01.06.08</v>
          </cell>
          <cell r="C2666" t="str">
            <v>Pajak Rumah Kos dengan Jumlah Kamar Lebih dari 10 (Sepuluh)-LO</v>
          </cell>
          <cell r="D2666">
            <v>0</v>
          </cell>
          <cell r="E2666">
            <v>0</v>
          </cell>
          <cell r="F2666">
            <v>0</v>
          </cell>
          <cell r="G2666">
            <v>0</v>
          </cell>
          <cell r="H2666">
            <v>0</v>
          </cell>
          <cell r="I2666">
            <v>0</v>
          </cell>
          <cell r="J2666">
            <v>0</v>
          </cell>
        </row>
        <row r="2667">
          <cell r="B2667" t="str">
            <v>7.1.01.07</v>
          </cell>
          <cell r="C2667" t="str">
            <v>Pajak Restoran-LO</v>
          </cell>
          <cell r="D2667">
            <v>45643449009</v>
          </cell>
          <cell r="E2667">
            <v>0</v>
          </cell>
          <cell r="F2667"/>
          <cell r="G2667"/>
          <cell r="H2667"/>
          <cell r="I2667"/>
          <cell r="J2667">
            <v>0</v>
          </cell>
        </row>
        <row r="2668">
          <cell r="B2668" t="str">
            <v>7.1.01.07.01</v>
          </cell>
          <cell r="C2668" t="str">
            <v>Pajak Restoran dan Sejenisnya-LO</v>
          </cell>
          <cell r="D2668">
            <v>45643449009</v>
          </cell>
          <cell r="E2668">
            <v>0</v>
          </cell>
          <cell r="F2668">
            <v>0</v>
          </cell>
          <cell r="G2668">
            <v>0</v>
          </cell>
          <cell r="H2668">
            <v>0</v>
          </cell>
          <cell r="I2668">
            <v>0</v>
          </cell>
          <cell r="J2668">
            <v>0</v>
          </cell>
        </row>
        <row r="2669">
          <cell r="B2669" t="str">
            <v>7.1.01.07.02</v>
          </cell>
          <cell r="C2669" t="str">
            <v>Pajak Rumah Makan dan Sejenisnya-LO</v>
          </cell>
          <cell r="D2669">
            <v>0</v>
          </cell>
          <cell r="E2669">
            <v>0</v>
          </cell>
          <cell r="F2669">
            <v>0</v>
          </cell>
          <cell r="G2669">
            <v>0</v>
          </cell>
          <cell r="H2669">
            <v>0</v>
          </cell>
          <cell r="I2669">
            <v>0</v>
          </cell>
          <cell r="J2669">
            <v>0</v>
          </cell>
        </row>
        <row r="2670">
          <cell r="B2670" t="str">
            <v>7.1.01.07.03</v>
          </cell>
          <cell r="C2670" t="str">
            <v>Pajak Kafetaria dan Sejenisnya-LO</v>
          </cell>
          <cell r="D2670">
            <v>0</v>
          </cell>
          <cell r="E2670">
            <v>0</v>
          </cell>
          <cell r="F2670">
            <v>0</v>
          </cell>
          <cell r="G2670">
            <v>0</v>
          </cell>
          <cell r="H2670">
            <v>0</v>
          </cell>
          <cell r="I2670">
            <v>0</v>
          </cell>
          <cell r="J2670">
            <v>0</v>
          </cell>
        </row>
        <row r="2671">
          <cell r="B2671" t="str">
            <v>7.1.01.07.04</v>
          </cell>
          <cell r="C2671" t="str">
            <v>Pajak Kantin dan Sejenisnya-LO</v>
          </cell>
          <cell r="D2671">
            <v>0</v>
          </cell>
          <cell r="E2671">
            <v>0</v>
          </cell>
          <cell r="F2671">
            <v>0</v>
          </cell>
          <cell r="G2671">
            <v>0</v>
          </cell>
          <cell r="H2671">
            <v>0</v>
          </cell>
          <cell r="I2671">
            <v>0</v>
          </cell>
          <cell r="J2671">
            <v>0</v>
          </cell>
        </row>
        <row r="2672">
          <cell r="B2672" t="str">
            <v>7.1.01.07.05</v>
          </cell>
          <cell r="C2672" t="str">
            <v>Pajak Warung dan Sejenisnya-LO</v>
          </cell>
          <cell r="D2672">
            <v>0</v>
          </cell>
          <cell r="E2672">
            <v>0</v>
          </cell>
          <cell r="F2672">
            <v>0</v>
          </cell>
          <cell r="G2672">
            <v>0</v>
          </cell>
          <cell r="H2672">
            <v>0</v>
          </cell>
          <cell r="I2672">
            <v>0</v>
          </cell>
          <cell r="J2672">
            <v>0</v>
          </cell>
        </row>
        <row r="2673">
          <cell r="B2673" t="str">
            <v>7.1.01.07.06</v>
          </cell>
          <cell r="C2673" t="str">
            <v>Pajak Bar dan Sejenisnya-LO</v>
          </cell>
          <cell r="D2673">
            <v>0</v>
          </cell>
          <cell r="E2673">
            <v>0</v>
          </cell>
          <cell r="F2673">
            <v>0</v>
          </cell>
          <cell r="G2673">
            <v>0</v>
          </cell>
          <cell r="H2673">
            <v>0</v>
          </cell>
          <cell r="I2673">
            <v>0</v>
          </cell>
          <cell r="J2673">
            <v>0</v>
          </cell>
        </row>
        <row r="2674">
          <cell r="B2674" t="str">
            <v>7.1.01.07.07</v>
          </cell>
          <cell r="C2674" t="str">
            <v>Pajak Jasa Boga/Katering dan Sejenisnya-LO</v>
          </cell>
          <cell r="D2674">
            <v>0</v>
          </cell>
          <cell r="E2674">
            <v>0</v>
          </cell>
          <cell r="F2674">
            <v>0</v>
          </cell>
          <cell r="G2674">
            <v>0</v>
          </cell>
          <cell r="H2674">
            <v>0</v>
          </cell>
          <cell r="I2674">
            <v>0</v>
          </cell>
          <cell r="J2674">
            <v>0</v>
          </cell>
        </row>
        <row r="2675">
          <cell r="B2675" t="str">
            <v>7.1.01.08</v>
          </cell>
          <cell r="C2675" t="str">
            <v>Pajak Hiburan-LO</v>
          </cell>
          <cell r="D2675">
            <v>13907500</v>
          </cell>
          <cell r="E2675">
            <v>0</v>
          </cell>
          <cell r="F2675"/>
          <cell r="G2675"/>
          <cell r="H2675"/>
          <cell r="I2675"/>
          <cell r="J2675">
            <v>0</v>
          </cell>
        </row>
        <row r="2676">
          <cell r="B2676" t="str">
            <v>7.1.01.08.01</v>
          </cell>
          <cell r="C2676" t="str">
            <v>Pajak Tontonan Film-LO</v>
          </cell>
          <cell r="D2676">
            <v>0</v>
          </cell>
          <cell r="E2676">
            <v>0</v>
          </cell>
          <cell r="F2676">
            <v>0</v>
          </cell>
          <cell r="G2676">
            <v>0</v>
          </cell>
          <cell r="H2676">
            <v>0</v>
          </cell>
          <cell r="I2676">
            <v>0</v>
          </cell>
          <cell r="J2676">
            <v>0</v>
          </cell>
        </row>
        <row r="2677">
          <cell r="B2677" t="str">
            <v>7.1.01.08.02</v>
          </cell>
          <cell r="C2677" t="str">
            <v>Pajak Pagelaran Kesenian/Musik/Tari/Busana-LO</v>
          </cell>
          <cell r="D2677">
            <v>0</v>
          </cell>
          <cell r="E2677">
            <v>0</v>
          </cell>
          <cell r="F2677">
            <v>0</v>
          </cell>
          <cell r="G2677">
            <v>0</v>
          </cell>
          <cell r="H2677">
            <v>0</v>
          </cell>
          <cell r="I2677">
            <v>0</v>
          </cell>
          <cell r="J2677">
            <v>0</v>
          </cell>
        </row>
        <row r="2678">
          <cell r="B2678" t="str">
            <v>7.1.01.08.03</v>
          </cell>
          <cell r="C2678" t="str">
            <v>Pajak Kontes Kecantikan, Binaraga, dan Sejenisnya-LO</v>
          </cell>
          <cell r="D2678">
            <v>0</v>
          </cell>
          <cell r="E2678">
            <v>0</v>
          </cell>
          <cell r="F2678">
            <v>0</v>
          </cell>
          <cell r="G2678">
            <v>0</v>
          </cell>
          <cell r="H2678">
            <v>0</v>
          </cell>
          <cell r="I2678">
            <v>0</v>
          </cell>
          <cell r="J2678">
            <v>0</v>
          </cell>
        </row>
        <row r="2679">
          <cell r="B2679" t="str">
            <v>7.1.01.08.04</v>
          </cell>
          <cell r="C2679" t="str">
            <v>Pajak Pameran-LO</v>
          </cell>
          <cell r="D2679">
            <v>0</v>
          </cell>
          <cell r="E2679">
            <v>0</v>
          </cell>
          <cell r="F2679">
            <v>0</v>
          </cell>
          <cell r="G2679">
            <v>0</v>
          </cell>
          <cell r="H2679">
            <v>0</v>
          </cell>
          <cell r="I2679">
            <v>0</v>
          </cell>
          <cell r="J2679">
            <v>0</v>
          </cell>
        </row>
        <row r="2680">
          <cell r="B2680" t="str">
            <v>7.1.01.08.05</v>
          </cell>
          <cell r="C2680" t="str">
            <v>Pajak Diskotik, Karaoke, Klub Malam, dan Sejenisnya-LO</v>
          </cell>
          <cell r="D2680">
            <v>13907500</v>
          </cell>
          <cell r="E2680">
            <v>0</v>
          </cell>
          <cell r="F2680">
            <v>0</v>
          </cell>
          <cell r="G2680">
            <v>0</v>
          </cell>
          <cell r="H2680">
            <v>0</v>
          </cell>
          <cell r="I2680">
            <v>0</v>
          </cell>
          <cell r="J2680">
            <v>0</v>
          </cell>
        </row>
        <row r="2681">
          <cell r="B2681" t="str">
            <v>7.1.01.08.06</v>
          </cell>
          <cell r="C2681" t="str">
            <v>Pajak Sirkus/Akrobat/Sulap-LO</v>
          </cell>
          <cell r="D2681">
            <v>0</v>
          </cell>
          <cell r="E2681">
            <v>0</v>
          </cell>
          <cell r="F2681">
            <v>0</v>
          </cell>
          <cell r="G2681">
            <v>0</v>
          </cell>
          <cell r="H2681">
            <v>0</v>
          </cell>
          <cell r="I2681">
            <v>0</v>
          </cell>
          <cell r="J2681">
            <v>0</v>
          </cell>
        </row>
        <row r="2682">
          <cell r="B2682" t="str">
            <v>7.1.01.08.07</v>
          </cell>
          <cell r="C2682" t="str">
            <v>Pajak Permainan Biliar dan Bowling-LO</v>
          </cell>
          <cell r="D2682">
            <v>0</v>
          </cell>
          <cell r="E2682">
            <v>0</v>
          </cell>
          <cell r="F2682">
            <v>0</v>
          </cell>
          <cell r="G2682">
            <v>0</v>
          </cell>
          <cell r="H2682">
            <v>0</v>
          </cell>
          <cell r="I2682">
            <v>0</v>
          </cell>
          <cell r="J2682">
            <v>0</v>
          </cell>
        </row>
        <row r="2683">
          <cell r="B2683" t="str">
            <v>7.1.01.08.08</v>
          </cell>
          <cell r="C2683" t="str">
            <v>Pajak Pacuan Kuda, Kendaraan Bermotor, dan Permainan Ketangkasan-LO</v>
          </cell>
          <cell r="D2683">
            <v>0</v>
          </cell>
          <cell r="E2683">
            <v>0</v>
          </cell>
          <cell r="F2683">
            <v>0</v>
          </cell>
          <cell r="G2683">
            <v>0</v>
          </cell>
          <cell r="H2683">
            <v>0</v>
          </cell>
          <cell r="I2683">
            <v>0</v>
          </cell>
          <cell r="J2683">
            <v>0</v>
          </cell>
        </row>
        <row r="2684">
          <cell r="B2684" t="str">
            <v>7.1.01.08.09</v>
          </cell>
          <cell r="C2684" t="str">
            <v>Pajak Panti Pijat, Refleksi, Mandi Uap/Spa, dan Pusat Kebugaran (Fitness Center)-LO</v>
          </cell>
          <cell r="D2684">
            <v>0</v>
          </cell>
          <cell r="E2684">
            <v>0</v>
          </cell>
          <cell r="F2684">
            <v>0</v>
          </cell>
          <cell r="G2684">
            <v>0</v>
          </cell>
          <cell r="H2684">
            <v>0</v>
          </cell>
          <cell r="I2684">
            <v>0</v>
          </cell>
          <cell r="J2684">
            <v>0</v>
          </cell>
        </row>
        <row r="2685">
          <cell r="B2685" t="str">
            <v>7.1.01.08.10</v>
          </cell>
          <cell r="C2685" t="str">
            <v>Pajak Pertandingan Olahraga-LO</v>
          </cell>
          <cell r="D2685">
            <v>0</v>
          </cell>
          <cell r="E2685">
            <v>0</v>
          </cell>
          <cell r="F2685">
            <v>0</v>
          </cell>
          <cell r="G2685">
            <v>0</v>
          </cell>
          <cell r="H2685">
            <v>0</v>
          </cell>
          <cell r="I2685">
            <v>0</v>
          </cell>
          <cell r="J2685">
            <v>0</v>
          </cell>
        </row>
        <row r="2686">
          <cell r="B2686" t="str">
            <v>7.1.01.09</v>
          </cell>
          <cell r="C2686" t="str">
            <v>Pajak Reklame-LO</v>
          </cell>
          <cell r="D2686">
            <v>791792500</v>
          </cell>
          <cell r="E2686">
            <v>748799860</v>
          </cell>
          <cell r="F2686"/>
          <cell r="G2686"/>
          <cell r="H2686"/>
          <cell r="I2686"/>
          <cell r="J2686">
            <v>748799860</v>
          </cell>
        </row>
        <row r="2687">
          <cell r="B2687" t="str">
            <v>7.1.01.09.01</v>
          </cell>
          <cell r="C2687" t="str">
            <v>Pajak Reklame Papan/Billboard/Videotron/Megatron-LO</v>
          </cell>
          <cell r="D2687">
            <v>791792500</v>
          </cell>
          <cell r="E2687">
            <v>748799860</v>
          </cell>
          <cell r="F2687">
            <v>0</v>
          </cell>
          <cell r="G2687">
            <v>0</v>
          </cell>
          <cell r="H2687">
            <v>0</v>
          </cell>
          <cell r="I2687">
            <v>0</v>
          </cell>
          <cell r="J2687">
            <v>748799860</v>
          </cell>
        </row>
        <row r="2688">
          <cell r="B2688" t="str">
            <v>7.1.01.09.02</v>
          </cell>
          <cell r="C2688" t="str">
            <v>Pajak Reklame Kain-LO</v>
          </cell>
          <cell r="D2688">
            <v>0</v>
          </cell>
          <cell r="E2688">
            <v>0</v>
          </cell>
          <cell r="F2688">
            <v>0</v>
          </cell>
          <cell r="G2688">
            <v>0</v>
          </cell>
          <cell r="H2688">
            <v>0</v>
          </cell>
          <cell r="I2688">
            <v>0</v>
          </cell>
          <cell r="J2688">
            <v>0</v>
          </cell>
        </row>
        <row r="2689">
          <cell r="B2689" t="str">
            <v>7.1.01.09.03</v>
          </cell>
          <cell r="C2689" t="str">
            <v>Pajak Reklame Melekat/Stiker-LO</v>
          </cell>
          <cell r="D2689">
            <v>0</v>
          </cell>
          <cell r="E2689">
            <v>0</v>
          </cell>
          <cell r="F2689">
            <v>0</v>
          </cell>
          <cell r="G2689">
            <v>0</v>
          </cell>
          <cell r="H2689">
            <v>0</v>
          </cell>
          <cell r="I2689">
            <v>0</v>
          </cell>
          <cell r="J2689">
            <v>0</v>
          </cell>
        </row>
        <row r="2690">
          <cell r="B2690" t="str">
            <v>7.1.01.09.04</v>
          </cell>
          <cell r="C2690" t="str">
            <v>Pajak Reklame Selebaran-LO</v>
          </cell>
          <cell r="D2690">
            <v>0</v>
          </cell>
          <cell r="E2690">
            <v>0</v>
          </cell>
          <cell r="F2690">
            <v>0</v>
          </cell>
          <cell r="G2690">
            <v>0</v>
          </cell>
          <cell r="H2690">
            <v>0</v>
          </cell>
          <cell r="I2690">
            <v>0</v>
          </cell>
          <cell r="J2690">
            <v>0</v>
          </cell>
        </row>
        <row r="2691">
          <cell r="B2691" t="str">
            <v>7.1.01.09.05</v>
          </cell>
          <cell r="C2691" t="str">
            <v>Pajak Reklame Berjalan-LO</v>
          </cell>
          <cell r="D2691">
            <v>0</v>
          </cell>
          <cell r="E2691">
            <v>0</v>
          </cell>
          <cell r="F2691">
            <v>0</v>
          </cell>
          <cell r="G2691">
            <v>0</v>
          </cell>
          <cell r="H2691">
            <v>0</v>
          </cell>
          <cell r="I2691">
            <v>0</v>
          </cell>
          <cell r="J2691">
            <v>0</v>
          </cell>
        </row>
        <row r="2692">
          <cell r="B2692" t="str">
            <v>7.1.01.09.06</v>
          </cell>
          <cell r="C2692" t="str">
            <v>Pajak Reklame Udara-LO</v>
          </cell>
          <cell r="D2692">
            <v>0</v>
          </cell>
          <cell r="E2692">
            <v>0</v>
          </cell>
          <cell r="F2692">
            <v>0</v>
          </cell>
          <cell r="G2692">
            <v>0</v>
          </cell>
          <cell r="H2692">
            <v>0</v>
          </cell>
          <cell r="I2692">
            <v>0</v>
          </cell>
          <cell r="J2692">
            <v>0</v>
          </cell>
        </row>
        <row r="2693">
          <cell r="B2693" t="str">
            <v>7.1.01.09.07</v>
          </cell>
          <cell r="C2693" t="str">
            <v>Pajak Reklame Apung-LO</v>
          </cell>
          <cell r="D2693">
            <v>0</v>
          </cell>
          <cell r="E2693">
            <v>0</v>
          </cell>
          <cell r="F2693">
            <v>0</v>
          </cell>
          <cell r="G2693">
            <v>0</v>
          </cell>
          <cell r="H2693">
            <v>0</v>
          </cell>
          <cell r="I2693">
            <v>0</v>
          </cell>
          <cell r="J2693">
            <v>0</v>
          </cell>
        </row>
        <row r="2694">
          <cell r="B2694" t="str">
            <v>7.1.01.09.08</v>
          </cell>
          <cell r="C2694" t="str">
            <v>Pajak Reklame Suara-LO</v>
          </cell>
          <cell r="D2694">
            <v>0</v>
          </cell>
          <cell r="E2694">
            <v>0</v>
          </cell>
          <cell r="F2694">
            <v>0</v>
          </cell>
          <cell r="G2694">
            <v>0</v>
          </cell>
          <cell r="H2694">
            <v>0</v>
          </cell>
          <cell r="I2694">
            <v>0</v>
          </cell>
          <cell r="J2694">
            <v>0</v>
          </cell>
        </row>
        <row r="2695">
          <cell r="B2695" t="str">
            <v>7.1.01.09.09</v>
          </cell>
          <cell r="C2695" t="str">
            <v>Pajak Reklame Film/Slide-LO</v>
          </cell>
          <cell r="D2695">
            <v>0</v>
          </cell>
          <cell r="E2695">
            <v>0</v>
          </cell>
          <cell r="F2695">
            <v>0</v>
          </cell>
          <cell r="G2695">
            <v>0</v>
          </cell>
          <cell r="H2695">
            <v>0</v>
          </cell>
          <cell r="I2695">
            <v>0</v>
          </cell>
          <cell r="J2695">
            <v>0</v>
          </cell>
        </row>
        <row r="2696">
          <cell r="B2696" t="str">
            <v>7.1.01.09.10</v>
          </cell>
          <cell r="C2696" t="str">
            <v>Pajak Reklame Peragaan-LO</v>
          </cell>
          <cell r="D2696">
            <v>0</v>
          </cell>
          <cell r="E2696">
            <v>0</v>
          </cell>
          <cell r="F2696">
            <v>0</v>
          </cell>
          <cell r="G2696">
            <v>0</v>
          </cell>
          <cell r="H2696">
            <v>0</v>
          </cell>
          <cell r="I2696">
            <v>0</v>
          </cell>
          <cell r="J2696">
            <v>0</v>
          </cell>
        </row>
        <row r="2697">
          <cell r="B2697" t="str">
            <v>7.1.01.10</v>
          </cell>
          <cell r="C2697" t="str">
            <v>Pajak Penerangan Jalan-LO</v>
          </cell>
          <cell r="D2697">
            <v>21791793995</v>
          </cell>
          <cell r="E2697">
            <v>0</v>
          </cell>
          <cell r="F2697"/>
          <cell r="G2697"/>
          <cell r="H2697"/>
          <cell r="I2697"/>
          <cell r="J2697">
            <v>0</v>
          </cell>
        </row>
        <row r="2698">
          <cell r="B2698" t="str">
            <v>7.1.01.10.01</v>
          </cell>
          <cell r="C2698" t="str">
            <v>Pajak Penerangan Jalan Dihasilkan Sendiri-LO</v>
          </cell>
          <cell r="D2698">
            <v>21791793995</v>
          </cell>
          <cell r="E2698">
            <v>0</v>
          </cell>
          <cell r="F2698">
            <v>0</v>
          </cell>
          <cell r="G2698">
            <v>0</v>
          </cell>
          <cell r="H2698">
            <v>0</v>
          </cell>
          <cell r="I2698">
            <v>0</v>
          </cell>
          <cell r="J2698">
            <v>0</v>
          </cell>
        </row>
        <row r="2699">
          <cell r="B2699" t="str">
            <v>7.1.01.10.02</v>
          </cell>
          <cell r="C2699" t="str">
            <v>Pajak Penerangan Jalan Sumber Lain-LO</v>
          </cell>
          <cell r="D2699">
            <v>0</v>
          </cell>
          <cell r="E2699">
            <v>0</v>
          </cell>
          <cell r="F2699">
            <v>0</v>
          </cell>
          <cell r="G2699">
            <v>0</v>
          </cell>
          <cell r="H2699">
            <v>0</v>
          </cell>
          <cell r="I2699">
            <v>0</v>
          </cell>
          <cell r="J2699">
            <v>0</v>
          </cell>
        </row>
        <row r="2700">
          <cell r="B2700" t="str">
            <v>7.1.01.11</v>
          </cell>
          <cell r="C2700" t="str">
            <v>Pajak Parkir-LO</v>
          </cell>
          <cell r="D2700">
            <v>170294050</v>
          </cell>
          <cell r="E2700">
            <v>193292280</v>
          </cell>
          <cell r="F2700"/>
          <cell r="G2700"/>
          <cell r="H2700"/>
          <cell r="I2700"/>
          <cell r="J2700">
            <v>193292280</v>
          </cell>
        </row>
        <row r="2701">
          <cell r="B2701" t="str">
            <v>7.1.01.11.01</v>
          </cell>
          <cell r="C2701" t="str">
            <v>Pajak Parkir-LO</v>
          </cell>
          <cell r="D2701">
            <v>170294050</v>
          </cell>
          <cell r="E2701">
            <v>193292280</v>
          </cell>
          <cell r="F2701">
            <v>0</v>
          </cell>
          <cell r="G2701">
            <v>0</v>
          </cell>
          <cell r="H2701">
            <v>0</v>
          </cell>
          <cell r="I2701">
            <v>0</v>
          </cell>
          <cell r="J2701">
            <v>193292280</v>
          </cell>
        </row>
        <row r="2702">
          <cell r="B2702" t="str">
            <v>7.1.01.12</v>
          </cell>
          <cell r="C2702" t="str">
            <v>Pajak Air Tanah-LO</v>
          </cell>
          <cell r="D2702">
            <v>4137954621</v>
          </cell>
          <cell r="E2702">
            <v>7452498347</v>
          </cell>
          <cell r="F2702"/>
          <cell r="G2702"/>
          <cell r="H2702"/>
          <cell r="I2702"/>
          <cell r="J2702">
            <v>7452498347</v>
          </cell>
        </row>
        <row r="2703">
          <cell r="B2703" t="str">
            <v>7.1.01.12.01</v>
          </cell>
          <cell r="C2703" t="str">
            <v>Pajak Air Tanah-LO</v>
          </cell>
          <cell r="D2703">
            <v>4137954621</v>
          </cell>
          <cell r="E2703">
            <v>7452498347</v>
          </cell>
          <cell r="F2703">
            <v>0</v>
          </cell>
          <cell r="G2703">
            <v>0</v>
          </cell>
          <cell r="H2703">
            <v>0</v>
          </cell>
          <cell r="I2703">
            <v>0</v>
          </cell>
          <cell r="J2703">
            <v>7452498347</v>
          </cell>
        </row>
        <row r="2704">
          <cell r="B2704" t="str">
            <v>7.1.01.13</v>
          </cell>
          <cell r="C2704" t="str">
            <v>Pajak Sarang Burung Walet-LO</v>
          </cell>
          <cell r="D2704">
            <v>0</v>
          </cell>
          <cell r="E2704">
            <v>10485000</v>
          </cell>
          <cell r="F2704"/>
          <cell r="G2704"/>
          <cell r="H2704"/>
          <cell r="I2704"/>
          <cell r="J2704">
            <v>10485000</v>
          </cell>
        </row>
        <row r="2705">
          <cell r="B2705" t="str">
            <v>7.1.01.13.01</v>
          </cell>
          <cell r="C2705" t="str">
            <v>Pajak Sarang Burung Walet-LO</v>
          </cell>
          <cell r="D2705">
            <v>0</v>
          </cell>
          <cell r="E2705">
            <v>10485000</v>
          </cell>
          <cell r="F2705">
            <v>0</v>
          </cell>
          <cell r="G2705">
            <v>0</v>
          </cell>
          <cell r="H2705">
            <v>0</v>
          </cell>
          <cell r="I2705">
            <v>0</v>
          </cell>
          <cell r="J2705">
            <v>10485000</v>
          </cell>
        </row>
        <row r="2706">
          <cell r="B2706" t="str">
            <v>7.1.01.14</v>
          </cell>
          <cell r="C2706" t="str">
            <v>Pajak Mineral Bukan Logam dan Batuan-LO</v>
          </cell>
          <cell r="D2706">
            <v>14678356143</v>
          </cell>
          <cell r="E2706">
            <v>9792256290</v>
          </cell>
          <cell r="F2706"/>
          <cell r="G2706"/>
          <cell r="H2706"/>
          <cell r="I2706"/>
          <cell r="J2706">
            <v>9792256290</v>
          </cell>
        </row>
        <row r="2707">
          <cell r="B2707" t="str">
            <v>7.1.01.14.01</v>
          </cell>
          <cell r="C2707" t="str">
            <v>Pajak Asbes-LO</v>
          </cell>
          <cell r="D2707">
            <v>0</v>
          </cell>
          <cell r="E2707">
            <v>0</v>
          </cell>
          <cell r="F2707">
            <v>0</v>
          </cell>
          <cell r="G2707">
            <v>0</v>
          </cell>
          <cell r="H2707">
            <v>0</v>
          </cell>
          <cell r="I2707">
            <v>0</v>
          </cell>
          <cell r="J2707">
            <v>0</v>
          </cell>
        </row>
        <row r="2708">
          <cell r="B2708" t="str">
            <v>7.1.01.14.02</v>
          </cell>
          <cell r="C2708" t="str">
            <v>Pajak Batu Tulis-LO</v>
          </cell>
          <cell r="D2708">
            <v>0</v>
          </cell>
          <cell r="E2708">
            <v>0</v>
          </cell>
          <cell r="F2708">
            <v>0</v>
          </cell>
          <cell r="G2708">
            <v>0</v>
          </cell>
          <cell r="H2708">
            <v>0</v>
          </cell>
          <cell r="I2708">
            <v>0</v>
          </cell>
          <cell r="J2708">
            <v>0</v>
          </cell>
        </row>
        <row r="2709">
          <cell r="B2709" t="str">
            <v>7.1.01.14.03</v>
          </cell>
          <cell r="C2709" t="str">
            <v>Pajak Batu Setengah Permata-LO</v>
          </cell>
          <cell r="D2709">
            <v>0</v>
          </cell>
          <cell r="E2709">
            <v>0</v>
          </cell>
          <cell r="F2709">
            <v>0</v>
          </cell>
          <cell r="G2709">
            <v>0</v>
          </cell>
          <cell r="H2709">
            <v>0</v>
          </cell>
          <cell r="I2709">
            <v>0</v>
          </cell>
          <cell r="J2709">
            <v>0</v>
          </cell>
        </row>
        <row r="2710">
          <cell r="B2710" t="str">
            <v>7.1.01.14.04</v>
          </cell>
          <cell r="C2710" t="str">
            <v>Pajak Batu Kapur-LO</v>
          </cell>
          <cell r="D2710">
            <v>0</v>
          </cell>
          <cell r="E2710">
            <v>0</v>
          </cell>
          <cell r="F2710">
            <v>0</v>
          </cell>
          <cell r="G2710">
            <v>0</v>
          </cell>
          <cell r="H2710">
            <v>0</v>
          </cell>
          <cell r="I2710">
            <v>0</v>
          </cell>
          <cell r="J2710">
            <v>0</v>
          </cell>
        </row>
        <row r="2711">
          <cell r="B2711" t="str">
            <v>7.1.01.14.05</v>
          </cell>
          <cell r="C2711" t="str">
            <v>Pajak Batu Apung-LO</v>
          </cell>
          <cell r="D2711">
            <v>0</v>
          </cell>
          <cell r="E2711">
            <v>0</v>
          </cell>
          <cell r="F2711">
            <v>0</v>
          </cell>
          <cell r="G2711">
            <v>0</v>
          </cell>
          <cell r="H2711">
            <v>0</v>
          </cell>
          <cell r="I2711">
            <v>0</v>
          </cell>
          <cell r="J2711">
            <v>0</v>
          </cell>
        </row>
        <row r="2712">
          <cell r="B2712" t="str">
            <v>7.1.01.14.06</v>
          </cell>
          <cell r="C2712" t="str">
            <v>Pajak Batu Permata-LO</v>
          </cell>
          <cell r="D2712">
            <v>0</v>
          </cell>
          <cell r="E2712">
            <v>0</v>
          </cell>
          <cell r="F2712">
            <v>0</v>
          </cell>
          <cell r="G2712">
            <v>0</v>
          </cell>
          <cell r="H2712">
            <v>0</v>
          </cell>
          <cell r="I2712">
            <v>0</v>
          </cell>
          <cell r="J2712">
            <v>0</v>
          </cell>
        </row>
        <row r="2713">
          <cell r="B2713" t="str">
            <v>7.1.01.14.07</v>
          </cell>
          <cell r="C2713" t="str">
            <v>Pajak Bentonit-LO</v>
          </cell>
          <cell r="D2713">
            <v>0</v>
          </cell>
          <cell r="E2713">
            <v>0</v>
          </cell>
          <cell r="F2713">
            <v>0</v>
          </cell>
          <cell r="G2713">
            <v>0</v>
          </cell>
          <cell r="H2713">
            <v>0</v>
          </cell>
          <cell r="I2713">
            <v>0</v>
          </cell>
          <cell r="J2713">
            <v>0</v>
          </cell>
        </row>
        <row r="2714">
          <cell r="B2714" t="str">
            <v>7.1.01.14.08</v>
          </cell>
          <cell r="C2714" t="str">
            <v>Pajak Dolomit-LO</v>
          </cell>
          <cell r="D2714">
            <v>0</v>
          </cell>
          <cell r="E2714">
            <v>0</v>
          </cell>
          <cell r="F2714">
            <v>0</v>
          </cell>
          <cell r="G2714">
            <v>0</v>
          </cell>
          <cell r="H2714">
            <v>0</v>
          </cell>
          <cell r="I2714">
            <v>0</v>
          </cell>
          <cell r="J2714">
            <v>0</v>
          </cell>
        </row>
        <row r="2715">
          <cell r="B2715" t="str">
            <v>7.1.01.14.09</v>
          </cell>
          <cell r="C2715" t="str">
            <v>Pajak Felspar-LO</v>
          </cell>
          <cell r="D2715">
            <v>0</v>
          </cell>
          <cell r="E2715">
            <v>0</v>
          </cell>
          <cell r="F2715">
            <v>0</v>
          </cell>
          <cell r="G2715">
            <v>0</v>
          </cell>
          <cell r="H2715">
            <v>0</v>
          </cell>
          <cell r="I2715">
            <v>0</v>
          </cell>
          <cell r="J2715">
            <v>0</v>
          </cell>
        </row>
        <row r="2716">
          <cell r="B2716" t="str">
            <v>7.1.01.14.10</v>
          </cell>
          <cell r="C2716" t="str">
            <v>Pajak Garam Batu (Halite)-LO</v>
          </cell>
          <cell r="D2716">
            <v>0</v>
          </cell>
          <cell r="E2716">
            <v>0</v>
          </cell>
          <cell r="F2716">
            <v>0</v>
          </cell>
          <cell r="G2716">
            <v>0</v>
          </cell>
          <cell r="H2716">
            <v>0</v>
          </cell>
          <cell r="I2716">
            <v>0</v>
          </cell>
          <cell r="J2716">
            <v>0</v>
          </cell>
        </row>
        <row r="2717">
          <cell r="B2717" t="str">
            <v>7.1.01.14.11</v>
          </cell>
          <cell r="C2717" t="str">
            <v>Pajak Grafit-LO</v>
          </cell>
          <cell r="D2717">
            <v>0</v>
          </cell>
          <cell r="E2717">
            <v>0</v>
          </cell>
          <cell r="F2717">
            <v>0</v>
          </cell>
          <cell r="G2717">
            <v>0</v>
          </cell>
          <cell r="H2717">
            <v>0</v>
          </cell>
          <cell r="I2717">
            <v>0</v>
          </cell>
          <cell r="J2717">
            <v>0</v>
          </cell>
        </row>
        <row r="2718">
          <cell r="B2718" t="str">
            <v>7.1.01.14.12</v>
          </cell>
          <cell r="C2718" t="str">
            <v>Pajak Granit/Andesit-LO</v>
          </cell>
          <cell r="D2718">
            <v>0</v>
          </cell>
          <cell r="E2718">
            <v>0</v>
          </cell>
          <cell r="F2718">
            <v>0</v>
          </cell>
          <cell r="G2718">
            <v>0</v>
          </cell>
          <cell r="H2718">
            <v>0</v>
          </cell>
          <cell r="I2718">
            <v>0</v>
          </cell>
          <cell r="J2718">
            <v>0</v>
          </cell>
        </row>
        <row r="2719">
          <cell r="B2719" t="str">
            <v>7.1.01.14.13</v>
          </cell>
          <cell r="C2719" t="str">
            <v>Pajak Gips-LO</v>
          </cell>
          <cell r="D2719">
            <v>0</v>
          </cell>
          <cell r="E2719">
            <v>0</v>
          </cell>
          <cell r="F2719">
            <v>0</v>
          </cell>
          <cell r="G2719">
            <v>0</v>
          </cell>
          <cell r="H2719">
            <v>0</v>
          </cell>
          <cell r="I2719">
            <v>0</v>
          </cell>
          <cell r="J2719">
            <v>0</v>
          </cell>
        </row>
        <row r="2720">
          <cell r="B2720" t="str">
            <v>7.1.01.14.14</v>
          </cell>
          <cell r="C2720" t="str">
            <v>Pajak Kalsit-LO</v>
          </cell>
          <cell r="D2720">
            <v>0</v>
          </cell>
          <cell r="E2720">
            <v>0</v>
          </cell>
          <cell r="F2720">
            <v>0</v>
          </cell>
          <cell r="G2720">
            <v>0</v>
          </cell>
          <cell r="H2720">
            <v>0</v>
          </cell>
          <cell r="I2720">
            <v>0</v>
          </cell>
          <cell r="J2720">
            <v>0</v>
          </cell>
        </row>
        <row r="2721">
          <cell r="B2721" t="str">
            <v>7.1.01.14.15</v>
          </cell>
          <cell r="C2721" t="str">
            <v>Pajak Kaolin-LO</v>
          </cell>
          <cell r="D2721">
            <v>0</v>
          </cell>
          <cell r="E2721">
            <v>0</v>
          </cell>
          <cell r="F2721">
            <v>0</v>
          </cell>
          <cell r="G2721">
            <v>0</v>
          </cell>
          <cell r="H2721">
            <v>0</v>
          </cell>
          <cell r="I2721">
            <v>0</v>
          </cell>
          <cell r="J2721">
            <v>0</v>
          </cell>
        </row>
        <row r="2722">
          <cell r="B2722" t="str">
            <v>7.1.01.14.16</v>
          </cell>
          <cell r="C2722" t="str">
            <v>Pajak Leusit-LO</v>
          </cell>
          <cell r="D2722">
            <v>0</v>
          </cell>
          <cell r="E2722">
            <v>0</v>
          </cell>
          <cell r="F2722">
            <v>0</v>
          </cell>
          <cell r="G2722">
            <v>0</v>
          </cell>
          <cell r="H2722">
            <v>0</v>
          </cell>
          <cell r="I2722">
            <v>0</v>
          </cell>
          <cell r="J2722">
            <v>0</v>
          </cell>
        </row>
        <row r="2723">
          <cell r="B2723" t="str">
            <v>7.1.01.14.17</v>
          </cell>
          <cell r="C2723" t="str">
            <v>Pajak Magnesit-LO</v>
          </cell>
          <cell r="D2723">
            <v>0</v>
          </cell>
          <cell r="E2723">
            <v>0</v>
          </cell>
          <cell r="F2723">
            <v>0</v>
          </cell>
          <cell r="G2723">
            <v>0</v>
          </cell>
          <cell r="H2723">
            <v>0</v>
          </cell>
          <cell r="I2723">
            <v>0</v>
          </cell>
          <cell r="J2723">
            <v>0</v>
          </cell>
        </row>
        <row r="2724">
          <cell r="B2724" t="str">
            <v>7.1.01.14.18</v>
          </cell>
          <cell r="C2724" t="str">
            <v>Pajak Mika-LO</v>
          </cell>
          <cell r="D2724">
            <v>0</v>
          </cell>
          <cell r="E2724">
            <v>0</v>
          </cell>
          <cell r="F2724">
            <v>0</v>
          </cell>
          <cell r="G2724">
            <v>0</v>
          </cell>
          <cell r="H2724">
            <v>0</v>
          </cell>
          <cell r="I2724">
            <v>0</v>
          </cell>
          <cell r="J2724">
            <v>0</v>
          </cell>
        </row>
        <row r="2725">
          <cell r="B2725" t="str">
            <v>7.1.01.14.19</v>
          </cell>
          <cell r="C2725" t="str">
            <v>Pajak Marmer-LO</v>
          </cell>
          <cell r="D2725">
            <v>0</v>
          </cell>
          <cell r="E2725">
            <v>0</v>
          </cell>
          <cell r="F2725">
            <v>0</v>
          </cell>
          <cell r="G2725">
            <v>0</v>
          </cell>
          <cell r="H2725">
            <v>0</v>
          </cell>
          <cell r="I2725">
            <v>0</v>
          </cell>
          <cell r="J2725">
            <v>0</v>
          </cell>
        </row>
        <row r="2726">
          <cell r="B2726" t="str">
            <v>7.1.01.14.20</v>
          </cell>
          <cell r="C2726" t="str">
            <v>Pajak Nitrat-LO</v>
          </cell>
          <cell r="D2726">
            <v>0</v>
          </cell>
          <cell r="E2726">
            <v>0</v>
          </cell>
          <cell r="F2726">
            <v>0</v>
          </cell>
          <cell r="G2726">
            <v>0</v>
          </cell>
          <cell r="H2726">
            <v>0</v>
          </cell>
          <cell r="I2726">
            <v>0</v>
          </cell>
          <cell r="J2726">
            <v>0</v>
          </cell>
        </row>
        <row r="2727">
          <cell r="B2727" t="str">
            <v>7.1.01.14.21</v>
          </cell>
          <cell r="C2727" t="str">
            <v>Pajak Opsidien-LO</v>
          </cell>
          <cell r="D2727">
            <v>0</v>
          </cell>
          <cell r="E2727">
            <v>0</v>
          </cell>
          <cell r="F2727">
            <v>0</v>
          </cell>
          <cell r="G2727">
            <v>0</v>
          </cell>
          <cell r="H2727">
            <v>0</v>
          </cell>
          <cell r="I2727">
            <v>0</v>
          </cell>
          <cell r="J2727">
            <v>0</v>
          </cell>
        </row>
        <row r="2728">
          <cell r="B2728" t="str">
            <v>7.1.01.14.22</v>
          </cell>
          <cell r="C2728" t="str">
            <v>Pajak Oker-LO</v>
          </cell>
          <cell r="D2728">
            <v>0</v>
          </cell>
          <cell r="E2728">
            <v>0</v>
          </cell>
          <cell r="F2728">
            <v>0</v>
          </cell>
          <cell r="G2728">
            <v>0</v>
          </cell>
          <cell r="H2728">
            <v>0</v>
          </cell>
          <cell r="I2728">
            <v>0</v>
          </cell>
          <cell r="J2728">
            <v>0</v>
          </cell>
        </row>
        <row r="2729">
          <cell r="B2729" t="str">
            <v>7.1.01.14.23</v>
          </cell>
          <cell r="C2729" t="str">
            <v>Pajak Pasir dan Kerikil-LO</v>
          </cell>
          <cell r="D2729">
            <v>0</v>
          </cell>
          <cell r="E2729">
            <v>0</v>
          </cell>
          <cell r="F2729">
            <v>0</v>
          </cell>
          <cell r="G2729">
            <v>0</v>
          </cell>
          <cell r="H2729">
            <v>0</v>
          </cell>
          <cell r="I2729">
            <v>0</v>
          </cell>
          <cell r="J2729">
            <v>0</v>
          </cell>
        </row>
        <row r="2730">
          <cell r="B2730" t="str">
            <v>7.1.01.14.24</v>
          </cell>
          <cell r="C2730" t="str">
            <v>Pajak Pasir Kuarsa-LO</v>
          </cell>
          <cell r="D2730">
            <v>0</v>
          </cell>
          <cell r="E2730">
            <v>0</v>
          </cell>
          <cell r="F2730">
            <v>0</v>
          </cell>
          <cell r="G2730">
            <v>0</v>
          </cell>
          <cell r="H2730">
            <v>0</v>
          </cell>
          <cell r="I2730">
            <v>0</v>
          </cell>
          <cell r="J2730">
            <v>0</v>
          </cell>
        </row>
        <row r="2731">
          <cell r="B2731" t="str">
            <v>7.1.01.14.25</v>
          </cell>
          <cell r="C2731" t="str">
            <v>Pajak Perlit-LO</v>
          </cell>
          <cell r="D2731">
            <v>0</v>
          </cell>
          <cell r="E2731">
            <v>0</v>
          </cell>
          <cell r="F2731">
            <v>0</v>
          </cell>
          <cell r="G2731">
            <v>0</v>
          </cell>
          <cell r="H2731">
            <v>0</v>
          </cell>
          <cell r="I2731">
            <v>0</v>
          </cell>
          <cell r="J2731">
            <v>0</v>
          </cell>
        </row>
        <row r="2732">
          <cell r="B2732" t="str">
            <v>7.1.01.14.26</v>
          </cell>
          <cell r="C2732" t="str">
            <v>Pajak Phospat-LO</v>
          </cell>
          <cell r="D2732">
            <v>0</v>
          </cell>
          <cell r="E2732">
            <v>0</v>
          </cell>
          <cell r="F2732">
            <v>0</v>
          </cell>
          <cell r="G2732">
            <v>0</v>
          </cell>
          <cell r="H2732">
            <v>0</v>
          </cell>
          <cell r="I2732">
            <v>0</v>
          </cell>
          <cell r="J2732">
            <v>0</v>
          </cell>
        </row>
        <row r="2733">
          <cell r="B2733" t="str">
            <v>7.1.01.14.27</v>
          </cell>
          <cell r="C2733" t="str">
            <v>Pajak Talk-LO</v>
          </cell>
          <cell r="D2733">
            <v>0</v>
          </cell>
          <cell r="E2733">
            <v>0</v>
          </cell>
          <cell r="F2733">
            <v>0</v>
          </cell>
          <cell r="G2733">
            <v>0</v>
          </cell>
          <cell r="H2733">
            <v>0</v>
          </cell>
          <cell r="I2733">
            <v>0</v>
          </cell>
          <cell r="J2733">
            <v>0</v>
          </cell>
        </row>
        <row r="2734">
          <cell r="B2734" t="str">
            <v>7.1.01.14.28</v>
          </cell>
          <cell r="C2734" t="str">
            <v>Pajak Tanah Serap (Fullers Earth)-LO</v>
          </cell>
          <cell r="D2734">
            <v>0</v>
          </cell>
          <cell r="E2734">
            <v>0</v>
          </cell>
          <cell r="F2734">
            <v>0</v>
          </cell>
          <cell r="G2734">
            <v>0</v>
          </cell>
          <cell r="H2734">
            <v>0</v>
          </cell>
          <cell r="I2734">
            <v>0</v>
          </cell>
          <cell r="J2734">
            <v>0</v>
          </cell>
        </row>
        <row r="2735">
          <cell r="B2735" t="str">
            <v>7.1.01.14.29</v>
          </cell>
          <cell r="C2735" t="str">
            <v>Pajak Tanah Diatome-LO</v>
          </cell>
          <cell r="D2735">
            <v>0</v>
          </cell>
          <cell r="E2735">
            <v>0</v>
          </cell>
          <cell r="F2735">
            <v>0</v>
          </cell>
          <cell r="G2735">
            <v>0</v>
          </cell>
          <cell r="H2735">
            <v>0</v>
          </cell>
          <cell r="I2735">
            <v>0</v>
          </cell>
          <cell r="J2735">
            <v>0</v>
          </cell>
        </row>
        <row r="2736">
          <cell r="B2736" t="str">
            <v>7.1.01.14.30</v>
          </cell>
          <cell r="C2736" t="str">
            <v>Pajak Tanah Liat-LO</v>
          </cell>
          <cell r="D2736">
            <v>0</v>
          </cell>
          <cell r="E2736">
            <v>0</v>
          </cell>
          <cell r="F2736">
            <v>0</v>
          </cell>
          <cell r="G2736">
            <v>0</v>
          </cell>
          <cell r="H2736">
            <v>0</v>
          </cell>
          <cell r="I2736">
            <v>0</v>
          </cell>
          <cell r="J2736">
            <v>0</v>
          </cell>
        </row>
        <row r="2737">
          <cell r="B2737" t="str">
            <v>7.1.01.14.31</v>
          </cell>
          <cell r="C2737" t="str">
            <v>Pajak Tawas (Alum)-LO</v>
          </cell>
          <cell r="D2737">
            <v>0</v>
          </cell>
          <cell r="E2737">
            <v>0</v>
          </cell>
          <cell r="F2737">
            <v>0</v>
          </cell>
          <cell r="G2737">
            <v>0</v>
          </cell>
          <cell r="H2737">
            <v>0</v>
          </cell>
          <cell r="I2737">
            <v>0</v>
          </cell>
          <cell r="J2737">
            <v>0</v>
          </cell>
        </row>
        <row r="2738">
          <cell r="B2738" t="str">
            <v>7.1.01.14.32</v>
          </cell>
          <cell r="C2738" t="str">
            <v>Pajak Tras-LO</v>
          </cell>
          <cell r="D2738">
            <v>0</v>
          </cell>
          <cell r="E2738">
            <v>0</v>
          </cell>
          <cell r="F2738">
            <v>0</v>
          </cell>
          <cell r="G2738">
            <v>0</v>
          </cell>
          <cell r="H2738">
            <v>0</v>
          </cell>
          <cell r="I2738">
            <v>0</v>
          </cell>
          <cell r="J2738">
            <v>0</v>
          </cell>
        </row>
        <row r="2739">
          <cell r="B2739" t="str">
            <v>7.1.01.14.33</v>
          </cell>
          <cell r="C2739" t="str">
            <v>Pajak Yarosif-LO</v>
          </cell>
          <cell r="D2739">
            <v>0</v>
          </cell>
          <cell r="E2739">
            <v>0</v>
          </cell>
          <cell r="F2739">
            <v>0</v>
          </cell>
          <cell r="G2739">
            <v>0</v>
          </cell>
          <cell r="H2739">
            <v>0</v>
          </cell>
          <cell r="I2739">
            <v>0</v>
          </cell>
          <cell r="J2739">
            <v>0</v>
          </cell>
        </row>
        <row r="2740">
          <cell r="B2740" t="str">
            <v>7.1.01.14.34</v>
          </cell>
          <cell r="C2740" t="str">
            <v>Pajak Zeolit-LO</v>
          </cell>
          <cell r="D2740">
            <v>0</v>
          </cell>
          <cell r="E2740">
            <v>0</v>
          </cell>
          <cell r="F2740">
            <v>0</v>
          </cell>
          <cell r="G2740">
            <v>0</v>
          </cell>
          <cell r="H2740">
            <v>0</v>
          </cell>
          <cell r="I2740">
            <v>0</v>
          </cell>
          <cell r="J2740">
            <v>0</v>
          </cell>
        </row>
        <row r="2741">
          <cell r="B2741" t="str">
            <v>7.1.01.14.35</v>
          </cell>
          <cell r="C2741" t="str">
            <v>Pajak Basal-LO</v>
          </cell>
          <cell r="D2741">
            <v>0</v>
          </cell>
          <cell r="E2741">
            <v>0</v>
          </cell>
          <cell r="F2741">
            <v>0</v>
          </cell>
          <cell r="G2741">
            <v>0</v>
          </cell>
          <cell r="H2741">
            <v>0</v>
          </cell>
          <cell r="I2741">
            <v>0</v>
          </cell>
          <cell r="J2741">
            <v>0</v>
          </cell>
        </row>
        <row r="2742">
          <cell r="B2742" t="str">
            <v>7.1.01.14.36</v>
          </cell>
          <cell r="C2742" t="str">
            <v>Pajak Trakit-LO</v>
          </cell>
          <cell r="D2742">
            <v>0</v>
          </cell>
          <cell r="E2742">
            <v>0</v>
          </cell>
          <cell r="F2742">
            <v>0</v>
          </cell>
          <cell r="G2742">
            <v>0</v>
          </cell>
          <cell r="H2742">
            <v>0</v>
          </cell>
          <cell r="I2742">
            <v>0</v>
          </cell>
          <cell r="J2742">
            <v>0</v>
          </cell>
        </row>
        <row r="2743">
          <cell r="B2743" t="str">
            <v>7.1.01.14.37</v>
          </cell>
          <cell r="C2743" t="str">
            <v>Pajak Mineral bukan Logam dan Batuan Lainnya-LO</v>
          </cell>
          <cell r="D2743">
            <v>14678356143</v>
          </cell>
          <cell r="E2743">
            <v>9792256290</v>
          </cell>
          <cell r="F2743">
            <v>0</v>
          </cell>
          <cell r="G2743">
            <v>0</v>
          </cell>
          <cell r="H2743">
            <v>0</v>
          </cell>
          <cell r="I2743">
            <v>0</v>
          </cell>
          <cell r="J2743">
            <v>9792256290</v>
          </cell>
        </row>
        <row r="2744">
          <cell r="B2744" t="str">
            <v>7.1.01.14.38</v>
          </cell>
          <cell r="C2744" t="str">
            <v>Pajak Belerang-LO</v>
          </cell>
          <cell r="D2744">
            <v>0</v>
          </cell>
          <cell r="E2744">
            <v>0</v>
          </cell>
          <cell r="F2744">
            <v>0</v>
          </cell>
          <cell r="G2744">
            <v>0</v>
          </cell>
          <cell r="H2744">
            <v>0</v>
          </cell>
          <cell r="I2744">
            <v>0</v>
          </cell>
          <cell r="J2744">
            <v>0</v>
          </cell>
        </row>
        <row r="2745">
          <cell r="B2745" t="str">
            <v>7.1.01.14.39</v>
          </cell>
          <cell r="C2745" t="str">
            <v>Pajak MBLB Ikutan Dalam Suatu Pertambangan Mineral-LO</v>
          </cell>
          <cell r="D2745">
            <v>0</v>
          </cell>
          <cell r="E2745">
            <v>0</v>
          </cell>
          <cell r="F2745">
            <v>0</v>
          </cell>
          <cell r="G2745">
            <v>0</v>
          </cell>
          <cell r="H2745">
            <v>0</v>
          </cell>
          <cell r="I2745">
            <v>0</v>
          </cell>
          <cell r="J2745">
            <v>0</v>
          </cell>
        </row>
        <row r="2746">
          <cell r="B2746" t="str">
            <v>7.1.01.15</v>
          </cell>
          <cell r="C2746" t="str">
            <v>Pajak Bumi dan Bangunan Perdesaan dan Perkotaan (PBBP2)-LO</v>
          </cell>
          <cell r="D2746">
            <v>1832955285</v>
          </cell>
          <cell r="E2746">
            <v>200521023</v>
          </cell>
          <cell r="F2746"/>
          <cell r="G2746"/>
          <cell r="H2746"/>
          <cell r="I2746"/>
          <cell r="J2746">
            <v>4625226509</v>
          </cell>
        </row>
        <row r="2747">
          <cell r="B2747" t="str">
            <v>7.1.01.15.01</v>
          </cell>
          <cell r="C2747" t="str">
            <v>PBBP2-LO</v>
          </cell>
          <cell r="D2747">
            <v>1832955285</v>
          </cell>
          <cell r="E2747">
            <v>200521023</v>
          </cell>
          <cell r="F2747">
            <v>0</v>
          </cell>
          <cell r="G2747">
            <v>4424705486</v>
          </cell>
          <cell r="H2747">
            <v>0</v>
          </cell>
          <cell r="I2747">
            <v>0</v>
          </cell>
          <cell r="J2747">
            <v>4625226509</v>
          </cell>
        </row>
        <row r="2748">
          <cell r="B2748" t="str">
            <v>7.1.01.16</v>
          </cell>
          <cell r="C2748" t="str">
            <v>Bea Perolehan Hak Atas Tanah dan Bangunan (BPHTB)-LO</v>
          </cell>
          <cell r="D2748">
            <v>16035918252</v>
          </cell>
          <cell r="E2748">
            <v>16107853003</v>
          </cell>
          <cell r="F2748"/>
          <cell r="G2748"/>
          <cell r="H2748"/>
          <cell r="I2748"/>
          <cell r="J2748">
            <v>16107853003</v>
          </cell>
        </row>
        <row r="2749">
          <cell r="B2749" t="str">
            <v>7.1.01.16.01</v>
          </cell>
          <cell r="C2749" t="str">
            <v>BPHTB-Pemindahan Hak-LO</v>
          </cell>
          <cell r="D2749">
            <v>16035918252</v>
          </cell>
          <cell r="E2749">
            <v>16107853003</v>
          </cell>
          <cell r="F2749">
            <v>0</v>
          </cell>
          <cell r="G2749">
            <v>0</v>
          </cell>
          <cell r="H2749">
            <v>0</v>
          </cell>
          <cell r="I2749">
            <v>0</v>
          </cell>
          <cell r="J2749">
            <v>16107853003</v>
          </cell>
        </row>
        <row r="2750">
          <cell r="B2750" t="str">
            <v>7.1.01.16.02</v>
          </cell>
          <cell r="C2750" t="str">
            <v>BPHTB-Pemberian Hak Baru-LO</v>
          </cell>
          <cell r="D2750">
            <v>0</v>
          </cell>
          <cell r="E2750">
            <v>0</v>
          </cell>
          <cell r="F2750">
            <v>0</v>
          </cell>
          <cell r="G2750">
            <v>0</v>
          </cell>
          <cell r="H2750">
            <v>0</v>
          </cell>
          <cell r="I2750">
            <v>0</v>
          </cell>
          <cell r="J2750">
            <v>0</v>
          </cell>
        </row>
        <row r="2751">
          <cell r="B2751" t="str">
            <v>7.1.01.17</v>
          </cell>
          <cell r="C2751" t="str">
            <v>Pajak Alat Berat-LO</v>
          </cell>
          <cell r="D2751">
            <v>0</v>
          </cell>
          <cell r="E2751">
            <v>0</v>
          </cell>
          <cell r="F2751"/>
          <cell r="G2751"/>
          <cell r="H2751"/>
          <cell r="I2751"/>
          <cell r="J2751">
            <v>0</v>
          </cell>
        </row>
        <row r="2752">
          <cell r="B2752" t="str">
            <v>7.1.01.17.01</v>
          </cell>
          <cell r="C2752" t="str">
            <v>Pajak Alat Berat-LO</v>
          </cell>
          <cell r="D2752">
            <v>0</v>
          </cell>
          <cell r="E2752">
            <v>0</v>
          </cell>
          <cell r="F2752">
            <v>0</v>
          </cell>
          <cell r="G2752">
            <v>0</v>
          </cell>
          <cell r="H2752">
            <v>0</v>
          </cell>
          <cell r="I2752">
            <v>0</v>
          </cell>
          <cell r="J2752">
            <v>0</v>
          </cell>
        </row>
        <row r="2753">
          <cell r="B2753" t="str">
            <v>7.1.01.18</v>
          </cell>
          <cell r="C2753" t="str">
            <v>Opsen Pajak Mineral Bukan Logam dan Batuan (MBLB)-LO</v>
          </cell>
          <cell r="D2753">
            <v>0</v>
          </cell>
          <cell r="E2753">
            <v>0</v>
          </cell>
          <cell r="F2753"/>
          <cell r="G2753"/>
          <cell r="H2753"/>
          <cell r="I2753"/>
          <cell r="J2753">
            <v>0</v>
          </cell>
        </row>
        <row r="2754">
          <cell r="B2754" t="str">
            <v>7.1.01.18.01</v>
          </cell>
          <cell r="C2754" t="str">
            <v>Opsen Pajak Mineral Bukan Logam dan Batuan (MBLB)-LO</v>
          </cell>
          <cell r="D2754">
            <v>0</v>
          </cell>
          <cell r="E2754">
            <v>0</v>
          </cell>
          <cell r="F2754">
            <v>0</v>
          </cell>
          <cell r="G2754">
            <v>0</v>
          </cell>
          <cell r="H2754">
            <v>0</v>
          </cell>
          <cell r="I2754">
            <v>0</v>
          </cell>
          <cell r="J2754">
            <v>0</v>
          </cell>
        </row>
        <row r="2755">
          <cell r="B2755" t="str">
            <v>7.1.01.19</v>
          </cell>
          <cell r="C2755" t="str">
            <v>Pajak Barang dan Jasa Tertentu (PBJT)-LO</v>
          </cell>
          <cell r="D2755">
            <v>0</v>
          </cell>
          <cell r="E2755">
            <v>63856339489</v>
          </cell>
          <cell r="F2755"/>
          <cell r="G2755"/>
          <cell r="H2755"/>
          <cell r="I2755"/>
          <cell r="J2755">
            <v>63856339489</v>
          </cell>
        </row>
        <row r="2756">
          <cell r="B2756" t="str">
            <v>7.1.01.19.01</v>
          </cell>
          <cell r="C2756" t="str">
            <v>PBJT-Makanan dan/atau Minuman-LO</v>
          </cell>
          <cell r="D2756">
            <v>0</v>
          </cell>
          <cell r="E2756">
            <v>28933029207</v>
          </cell>
          <cell r="F2756">
            <v>0</v>
          </cell>
          <cell r="G2756">
            <v>0</v>
          </cell>
          <cell r="H2756">
            <v>0</v>
          </cell>
          <cell r="I2756">
            <v>0</v>
          </cell>
          <cell r="J2756">
            <v>28933029207</v>
          </cell>
        </row>
        <row r="2757">
          <cell r="B2757" t="str">
            <v>7.1.01.19.02</v>
          </cell>
          <cell r="C2757" t="str">
            <v>PBJT-Tenaga Listrik-LO</v>
          </cell>
          <cell r="D2757">
            <v>0</v>
          </cell>
          <cell r="E2757">
            <v>29801529428</v>
          </cell>
          <cell r="F2757">
            <v>0</v>
          </cell>
          <cell r="G2757">
            <v>0</v>
          </cell>
          <cell r="H2757">
            <v>0</v>
          </cell>
          <cell r="I2757">
            <v>0</v>
          </cell>
          <cell r="J2757">
            <v>29801529428</v>
          </cell>
        </row>
        <row r="2758">
          <cell r="B2758" t="str">
            <v>7.1.01.19.03</v>
          </cell>
          <cell r="C2758" t="str">
            <v>PBJT-Jasa Perhotelan-LO</v>
          </cell>
          <cell r="D2758">
            <v>0</v>
          </cell>
          <cell r="E2758">
            <v>5091623054</v>
          </cell>
          <cell r="F2758">
            <v>0</v>
          </cell>
          <cell r="G2758">
            <v>0</v>
          </cell>
          <cell r="H2758">
            <v>0</v>
          </cell>
          <cell r="I2758">
            <v>0</v>
          </cell>
          <cell r="J2758">
            <v>5091623054</v>
          </cell>
        </row>
        <row r="2759">
          <cell r="B2759" t="str">
            <v>7.1.01.19.04</v>
          </cell>
          <cell r="C2759" t="str">
            <v>PBJT-Jasa Parkir-LO</v>
          </cell>
          <cell r="D2759">
            <v>0</v>
          </cell>
          <cell r="E2759">
            <v>0</v>
          </cell>
          <cell r="F2759">
            <v>0</v>
          </cell>
          <cell r="G2759">
            <v>0</v>
          </cell>
          <cell r="H2759">
            <v>0</v>
          </cell>
          <cell r="I2759">
            <v>0</v>
          </cell>
          <cell r="J2759">
            <v>0</v>
          </cell>
        </row>
        <row r="2760">
          <cell r="B2760" t="str">
            <v>7.1.01.19.05</v>
          </cell>
          <cell r="C2760" t="str">
            <v>PBJT-Jasa Kesenian dan Hiburan-LO</v>
          </cell>
          <cell r="D2760">
            <v>0</v>
          </cell>
          <cell r="E2760">
            <v>30157800</v>
          </cell>
          <cell r="F2760">
            <v>0</v>
          </cell>
          <cell r="G2760">
            <v>0</v>
          </cell>
          <cell r="H2760">
            <v>0</v>
          </cell>
          <cell r="I2760">
            <v>0</v>
          </cell>
          <cell r="J2760">
            <v>30157800</v>
          </cell>
        </row>
        <row r="2761">
          <cell r="B2761" t="str">
            <v>7.1.01.20</v>
          </cell>
          <cell r="C2761" t="str">
            <v>Opsen Pajak Kendaraan Bermotor (PKB)-LO</v>
          </cell>
          <cell r="D2761">
            <v>0</v>
          </cell>
          <cell r="E2761">
            <v>8464759556</v>
          </cell>
          <cell r="F2761"/>
          <cell r="G2761"/>
          <cell r="H2761"/>
          <cell r="I2761"/>
          <cell r="J2761">
            <v>8464759556</v>
          </cell>
        </row>
        <row r="2762">
          <cell r="B2762" t="str">
            <v>7.1.01.20.01</v>
          </cell>
          <cell r="C2762" t="str">
            <v>Opsen PKB-LO</v>
          </cell>
          <cell r="D2762">
            <v>0</v>
          </cell>
          <cell r="E2762">
            <v>8464759556</v>
          </cell>
          <cell r="F2762">
            <v>0</v>
          </cell>
          <cell r="G2762">
            <v>0</v>
          </cell>
          <cell r="H2762">
            <v>0</v>
          </cell>
          <cell r="I2762">
            <v>0</v>
          </cell>
          <cell r="J2762">
            <v>8464759556</v>
          </cell>
        </row>
        <row r="2763">
          <cell r="B2763" t="str">
            <v>7.1.01.21</v>
          </cell>
          <cell r="C2763" t="str">
            <v>Opsen Bea Balik Nama Kendaraan Bermotor (BBNKB)-LO</v>
          </cell>
          <cell r="D2763">
            <v>0</v>
          </cell>
          <cell r="E2763">
            <v>9565089930</v>
          </cell>
          <cell r="F2763"/>
          <cell r="G2763"/>
          <cell r="H2763"/>
          <cell r="I2763"/>
          <cell r="J2763">
            <v>9565089930</v>
          </cell>
        </row>
        <row r="2764">
          <cell r="B2764" t="str">
            <v>7.1.01.21.01</v>
          </cell>
          <cell r="C2764" t="str">
            <v>Opsen BBNKB-LO</v>
          </cell>
          <cell r="D2764">
            <v>0</v>
          </cell>
          <cell r="E2764">
            <v>9565089930</v>
          </cell>
          <cell r="F2764">
            <v>0</v>
          </cell>
          <cell r="G2764">
            <v>0</v>
          </cell>
          <cell r="H2764">
            <v>0</v>
          </cell>
          <cell r="I2764">
            <v>0</v>
          </cell>
          <cell r="J2764">
            <v>9565089930</v>
          </cell>
        </row>
        <row r="2765">
          <cell r="B2765"/>
          <cell r="C2765"/>
          <cell r="D2765"/>
          <cell r="E2765"/>
          <cell r="F2765"/>
          <cell r="G2765"/>
          <cell r="H2765"/>
          <cell r="I2765"/>
          <cell r="J2765"/>
        </row>
        <row r="2766">
          <cell r="B2766" t="str">
            <v>7.1.02</v>
          </cell>
          <cell r="C2766" t="str">
            <v>Retribusi Daerah-LO</v>
          </cell>
          <cell r="D2766">
            <v>7568351446.3400002</v>
          </cell>
          <cell r="E2766">
            <v>12215274217</v>
          </cell>
          <cell r="F2766"/>
          <cell r="G2766"/>
          <cell r="H2766"/>
          <cell r="I2766"/>
          <cell r="J2766">
            <v>60529513694</v>
          </cell>
        </row>
        <row r="2767">
          <cell r="B2767" t="str">
            <v>7.1.02.01</v>
          </cell>
          <cell r="C2767" t="str">
            <v>Retribusi Jasa Umum-LO</v>
          </cell>
          <cell r="D2767">
            <v>2355569240</v>
          </cell>
          <cell r="E2767">
            <v>5089718788</v>
          </cell>
          <cell r="F2767"/>
          <cell r="G2767"/>
          <cell r="H2767"/>
          <cell r="I2767"/>
          <cell r="J2767">
            <v>53399448265</v>
          </cell>
        </row>
        <row r="2768">
          <cell r="B2768" t="str">
            <v>7.1.02.01.01</v>
          </cell>
          <cell r="C2768" t="str">
            <v>Retribusi Pelayanan Kesehatan-LO</v>
          </cell>
          <cell r="D2768">
            <v>2187587740</v>
          </cell>
          <cell r="E2768">
            <v>4541435788</v>
          </cell>
          <cell r="F2768">
            <v>0</v>
          </cell>
          <cell r="G2768">
            <v>0</v>
          </cell>
          <cell r="H2768">
            <v>0</v>
          </cell>
          <cell r="I2768">
            <v>48309729477</v>
          </cell>
          <cell r="J2768">
            <v>52851165265</v>
          </cell>
        </row>
        <row r="2769">
          <cell r="B2769" t="str">
            <v>7.1.02.01.02</v>
          </cell>
          <cell r="C2769" t="str">
            <v>Retribusi Pelayanan Persampahan/Kebersihan-LO</v>
          </cell>
          <cell r="D2769">
            <v>20459000</v>
          </cell>
          <cell r="E2769">
            <v>317816000</v>
          </cell>
          <cell r="F2769">
            <v>0</v>
          </cell>
          <cell r="G2769">
            <v>0</v>
          </cell>
          <cell r="H2769">
            <v>0</v>
          </cell>
          <cell r="I2769">
            <v>0</v>
          </cell>
          <cell r="J2769">
            <v>317816000</v>
          </cell>
        </row>
        <row r="2770">
          <cell r="B2770" t="str">
            <v>7.1.02.01.03</v>
          </cell>
          <cell r="C2770" t="str">
            <v>Retribusi Pelayanan Pemakaman dan Pengabuan Mayat-LO</v>
          </cell>
          <cell r="D2770">
            <v>0</v>
          </cell>
          <cell r="E2770">
            <v>0</v>
          </cell>
          <cell r="F2770">
            <v>0</v>
          </cell>
          <cell r="G2770">
            <v>0</v>
          </cell>
          <cell r="H2770">
            <v>0</v>
          </cell>
          <cell r="I2770">
            <v>0</v>
          </cell>
          <cell r="J2770">
            <v>0</v>
          </cell>
        </row>
        <row r="2771">
          <cell r="B2771" t="str">
            <v>7.1.02.01.04</v>
          </cell>
          <cell r="C2771" t="str">
            <v>Retribusi Pelayanan Parkir di Tepi Jalan Umum-LO</v>
          </cell>
          <cell r="D2771">
            <v>41770000</v>
          </cell>
          <cell r="E2771">
            <v>48155000</v>
          </cell>
          <cell r="F2771">
            <v>0</v>
          </cell>
          <cell r="G2771">
            <v>0</v>
          </cell>
          <cell r="H2771">
            <v>0</v>
          </cell>
          <cell r="I2771">
            <v>0</v>
          </cell>
          <cell r="J2771">
            <v>48155000</v>
          </cell>
        </row>
        <row r="2772">
          <cell r="B2772" t="str">
            <v>7.1.02.01.05</v>
          </cell>
          <cell r="C2772" t="str">
            <v>Retribusi Pelayanan Pasar-LO</v>
          </cell>
          <cell r="D2772">
            <v>0</v>
          </cell>
          <cell r="E2772">
            <v>0</v>
          </cell>
          <cell r="F2772">
            <v>0</v>
          </cell>
          <cell r="G2772">
            <v>0</v>
          </cell>
          <cell r="H2772">
            <v>0</v>
          </cell>
          <cell r="I2772">
            <v>0</v>
          </cell>
          <cell r="J2772">
            <v>0</v>
          </cell>
        </row>
        <row r="2773">
          <cell r="B2773" t="str">
            <v>7.1.02.01.06</v>
          </cell>
          <cell r="C2773" t="str">
            <v>Retribusi Pengujian Kendaraan Bermotor-LO</v>
          </cell>
          <cell r="D2773">
            <v>0</v>
          </cell>
          <cell r="E2773">
            <v>0</v>
          </cell>
          <cell r="F2773">
            <v>0</v>
          </cell>
          <cell r="G2773">
            <v>0</v>
          </cell>
          <cell r="H2773">
            <v>0</v>
          </cell>
          <cell r="I2773">
            <v>0</v>
          </cell>
          <cell r="J2773">
            <v>0</v>
          </cell>
        </row>
        <row r="2774">
          <cell r="B2774" t="str">
            <v>7.1.02.01.07</v>
          </cell>
          <cell r="C2774" t="str">
            <v>Retribusi Pemeriksaan Alat Pemadam Kebakaran-LO</v>
          </cell>
          <cell r="D2774">
            <v>0</v>
          </cell>
          <cell r="E2774">
            <v>0</v>
          </cell>
          <cell r="F2774">
            <v>0</v>
          </cell>
          <cell r="G2774">
            <v>0</v>
          </cell>
          <cell r="H2774">
            <v>0</v>
          </cell>
          <cell r="I2774">
            <v>0</v>
          </cell>
          <cell r="J2774">
            <v>0</v>
          </cell>
        </row>
        <row r="2775">
          <cell r="B2775" t="str">
            <v>7.1.02.01.08</v>
          </cell>
          <cell r="C2775" t="str">
            <v>Retribusi Penggantian Biaya Cetak Peta-LO</v>
          </cell>
          <cell r="D2775">
            <v>0</v>
          </cell>
          <cell r="E2775">
            <v>0</v>
          </cell>
          <cell r="F2775">
            <v>0</v>
          </cell>
          <cell r="G2775">
            <v>0</v>
          </cell>
          <cell r="H2775">
            <v>0</v>
          </cell>
          <cell r="I2775">
            <v>0</v>
          </cell>
          <cell r="J2775">
            <v>0</v>
          </cell>
        </row>
        <row r="2776">
          <cell r="B2776" t="str">
            <v>7.1.02.01.09</v>
          </cell>
          <cell r="C2776" t="str">
            <v>Retribusi Penyediaan dan/atau Penyedotan Kakus-LO</v>
          </cell>
          <cell r="D2776">
            <v>105752500</v>
          </cell>
          <cell r="E2776">
            <v>182312000</v>
          </cell>
          <cell r="F2776">
            <v>0</v>
          </cell>
          <cell r="G2776">
            <v>0</v>
          </cell>
          <cell r="H2776">
            <v>0</v>
          </cell>
          <cell r="I2776">
            <v>0</v>
          </cell>
          <cell r="J2776">
            <v>182312000</v>
          </cell>
        </row>
        <row r="2777">
          <cell r="B2777" t="str">
            <v>7.1.02.01.10</v>
          </cell>
          <cell r="C2777" t="str">
            <v>Retribusi Pengolahan Limbah Cair-LO</v>
          </cell>
          <cell r="D2777">
            <v>0</v>
          </cell>
          <cell r="E2777">
            <v>0</v>
          </cell>
          <cell r="F2777">
            <v>0</v>
          </cell>
          <cell r="G2777">
            <v>0</v>
          </cell>
          <cell r="H2777">
            <v>0</v>
          </cell>
          <cell r="I2777">
            <v>0</v>
          </cell>
          <cell r="J2777">
            <v>0</v>
          </cell>
        </row>
        <row r="2778">
          <cell r="B2778" t="str">
            <v>7.1.02.01.11</v>
          </cell>
          <cell r="C2778" t="str">
            <v>Retribusi Pelayanan Tera/Tera Ulang-LO</v>
          </cell>
          <cell r="D2778">
            <v>0</v>
          </cell>
          <cell r="E2778">
            <v>0</v>
          </cell>
          <cell r="F2778">
            <v>0</v>
          </cell>
          <cell r="G2778">
            <v>0</v>
          </cell>
          <cell r="H2778">
            <v>0</v>
          </cell>
          <cell r="I2778">
            <v>0</v>
          </cell>
          <cell r="J2778">
            <v>0</v>
          </cell>
        </row>
        <row r="2779">
          <cell r="B2779" t="str">
            <v>7.1.02.01.12</v>
          </cell>
          <cell r="C2779" t="str">
            <v>Retribusi Pelayanan Pendidikan-LO</v>
          </cell>
          <cell r="D2779">
            <v>0</v>
          </cell>
          <cell r="E2779">
            <v>0</v>
          </cell>
          <cell r="F2779">
            <v>0</v>
          </cell>
          <cell r="G2779">
            <v>0</v>
          </cell>
          <cell r="H2779">
            <v>0</v>
          </cell>
          <cell r="I2779">
            <v>0</v>
          </cell>
          <cell r="J2779">
            <v>0</v>
          </cell>
        </row>
        <row r="2780">
          <cell r="B2780" t="str">
            <v>7.1.02.01.13</v>
          </cell>
          <cell r="C2780" t="str">
            <v>Retribusi Pengawasan dan Pengendalian Menara Telekomunikasi-LO</v>
          </cell>
          <cell r="D2780">
            <v>0</v>
          </cell>
          <cell r="E2780">
            <v>0</v>
          </cell>
          <cell r="F2780">
            <v>0</v>
          </cell>
          <cell r="G2780">
            <v>0</v>
          </cell>
          <cell r="H2780">
            <v>0</v>
          </cell>
          <cell r="I2780">
            <v>0</v>
          </cell>
          <cell r="J2780">
            <v>0</v>
          </cell>
        </row>
        <row r="2781">
          <cell r="B2781" t="str">
            <v>7.1.02.01.14</v>
          </cell>
          <cell r="C2781" t="str">
            <v>Retribusi Pelayanan Kebersihan-LO</v>
          </cell>
          <cell r="D2781">
            <v>0</v>
          </cell>
          <cell r="E2781">
            <v>0</v>
          </cell>
          <cell r="F2781">
            <v>0</v>
          </cell>
          <cell r="G2781">
            <v>0</v>
          </cell>
          <cell r="H2781">
            <v>0</v>
          </cell>
          <cell r="I2781">
            <v>0</v>
          </cell>
          <cell r="J2781">
            <v>0</v>
          </cell>
        </row>
        <row r="2782">
          <cell r="B2782" t="str">
            <v>7.1.02.01.15</v>
          </cell>
          <cell r="C2782" t="str">
            <v>Retribusi Pengendalian Lalu Lintas-LO</v>
          </cell>
          <cell r="D2782">
            <v>0</v>
          </cell>
          <cell r="E2782">
            <v>0</v>
          </cell>
          <cell r="F2782">
            <v>0</v>
          </cell>
          <cell r="G2782">
            <v>0</v>
          </cell>
          <cell r="H2782">
            <v>0</v>
          </cell>
          <cell r="I2782">
            <v>0</v>
          </cell>
          <cell r="J2782">
            <v>0</v>
          </cell>
        </row>
        <row r="2783">
          <cell r="B2783" t="str">
            <v>7.1.02.02</v>
          </cell>
          <cell r="C2783" t="str">
            <v>Retribusi Jasa Usaha-LO</v>
          </cell>
          <cell r="D2783">
            <v>1705817143.3400002</v>
          </cell>
          <cell r="E2783">
            <v>2398438955</v>
          </cell>
          <cell r="F2783"/>
          <cell r="G2783"/>
          <cell r="H2783"/>
          <cell r="I2783"/>
          <cell r="J2783">
            <v>2402948955</v>
          </cell>
        </row>
        <row r="2784">
          <cell r="B2784" t="str">
            <v>7.1.02.02.01</v>
          </cell>
          <cell r="C2784" t="str">
            <v>Retribusi Pemakaian Kekayaan Daerah-LO</v>
          </cell>
          <cell r="D2784">
            <v>813014883.34000003</v>
          </cell>
          <cell r="E2784">
            <v>1287583075</v>
          </cell>
          <cell r="F2784">
            <v>0</v>
          </cell>
          <cell r="G2784">
            <v>0</v>
          </cell>
          <cell r="H2784">
            <v>0</v>
          </cell>
          <cell r="I2784">
            <v>0</v>
          </cell>
          <cell r="J2784">
            <v>1287583075</v>
          </cell>
        </row>
        <row r="2785">
          <cell r="B2785" t="str">
            <v>7.1.02.02.02</v>
          </cell>
          <cell r="C2785" t="str">
            <v>Retribusi Pasar Grosir dan/atau Pertokoan-LO</v>
          </cell>
          <cell r="D2785">
            <v>625833000</v>
          </cell>
          <cell r="E2785">
            <v>632580000</v>
          </cell>
          <cell r="F2785">
            <v>0</v>
          </cell>
          <cell r="G2785">
            <v>0</v>
          </cell>
          <cell r="H2785">
            <v>0</v>
          </cell>
          <cell r="I2785">
            <v>0</v>
          </cell>
          <cell r="J2785">
            <v>632580000</v>
          </cell>
        </row>
        <row r="2786">
          <cell r="B2786" t="str">
            <v>7.1.02.02.03</v>
          </cell>
          <cell r="C2786" t="str">
            <v>Retribusi Tempat Pelelangan-LO</v>
          </cell>
          <cell r="D2786">
            <v>0</v>
          </cell>
          <cell r="E2786">
            <v>0</v>
          </cell>
          <cell r="F2786">
            <v>0</v>
          </cell>
          <cell r="G2786">
            <v>0</v>
          </cell>
          <cell r="H2786">
            <v>0</v>
          </cell>
          <cell r="I2786">
            <v>0</v>
          </cell>
          <cell r="J2786">
            <v>0</v>
          </cell>
        </row>
        <row r="2787">
          <cell r="B2787" t="str">
            <v>7.1.02.02.04</v>
          </cell>
          <cell r="C2787" t="str">
            <v>Retribusi Terminal-LO</v>
          </cell>
          <cell r="D2787">
            <v>0</v>
          </cell>
          <cell r="E2787">
            <v>0</v>
          </cell>
          <cell r="F2787">
            <v>0</v>
          </cell>
          <cell r="G2787">
            <v>0</v>
          </cell>
          <cell r="H2787">
            <v>0</v>
          </cell>
          <cell r="I2787">
            <v>0</v>
          </cell>
          <cell r="J2787">
            <v>0</v>
          </cell>
        </row>
        <row r="2788">
          <cell r="B2788" t="str">
            <v>7.1.02.02.05</v>
          </cell>
          <cell r="C2788" t="str">
            <v>Retribusi Tempat Khusus Parkir-LO</v>
          </cell>
          <cell r="D2788">
            <v>0</v>
          </cell>
          <cell r="E2788">
            <v>0</v>
          </cell>
          <cell r="F2788">
            <v>0</v>
          </cell>
          <cell r="G2788">
            <v>0</v>
          </cell>
          <cell r="H2788">
            <v>0</v>
          </cell>
          <cell r="I2788">
            <v>0</v>
          </cell>
          <cell r="J2788">
            <v>0</v>
          </cell>
        </row>
        <row r="2789">
          <cell r="B2789" t="str">
            <v>7.1.02.02.06</v>
          </cell>
          <cell r="C2789" t="str">
            <v>Retribusi Tempat Penginapan/Pesanggrahan/Vila-LO</v>
          </cell>
          <cell r="D2789">
            <v>0</v>
          </cell>
          <cell r="E2789">
            <v>0</v>
          </cell>
          <cell r="F2789">
            <v>0</v>
          </cell>
          <cell r="G2789">
            <v>0</v>
          </cell>
          <cell r="H2789">
            <v>0</v>
          </cell>
          <cell r="I2789">
            <v>0</v>
          </cell>
          <cell r="J2789">
            <v>0</v>
          </cell>
        </row>
        <row r="2790">
          <cell r="B2790" t="str">
            <v>7.1.02.02.07</v>
          </cell>
          <cell r="C2790" t="str">
            <v>Retribusi Rumah Potong Hewan-LO</v>
          </cell>
          <cell r="D2790">
            <v>105280000</v>
          </cell>
          <cell r="E2790">
            <v>172290000</v>
          </cell>
          <cell r="F2790">
            <v>0</v>
          </cell>
          <cell r="G2790">
            <v>0</v>
          </cell>
          <cell r="H2790">
            <v>0</v>
          </cell>
          <cell r="I2790">
            <v>0</v>
          </cell>
          <cell r="J2790">
            <v>172290000</v>
          </cell>
        </row>
        <row r="2791">
          <cell r="B2791" t="str">
            <v>7.1.02.02.08</v>
          </cell>
          <cell r="C2791" t="str">
            <v>Retribusi Pelayanan Kepelabuhanan-LO</v>
          </cell>
          <cell r="D2791">
            <v>2526260</v>
          </cell>
          <cell r="E2791">
            <v>374880</v>
          </cell>
          <cell r="F2791">
            <v>0</v>
          </cell>
          <cell r="G2791">
            <v>0</v>
          </cell>
          <cell r="H2791">
            <v>0</v>
          </cell>
          <cell r="I2791">
            <v>0</v>
          </cell>
          <cell r="J2791">
            <v>374880</v>
          </cell>
        </row>
        <row r="2792">
          <cell r="B2792" t="str">
            <v>7.1.02.02.09</v>
          </cell>
          <cell r="C2792" t="str">
            <v>Retribusi Tempat Rekreasi dan Olahraga-LO</v>
          </cell>
          <cell r="D2792">
            <v>0</v>
          </cell>
          <cell r="E2792">
            <v>0</v>
          </cell>
          <cell r="F2792">
            <v>0</v>
          </cell>
          <cell r="G2792">
            <v>0</v>
          </cell>
          <cell r="H2792">
            <v>0</v>
          </cell>
          <cell r="I2792">
            <v>0</v>
          </cell>
          <cell r="J2792">
            <v>0</v>
          </cell>
        </row>
        <row r="2793">
          <cell r="B2793" t="str">
            <v>7.1.02.02.10</v>
          </cell>
          <cell r="C2793" t="str">
            <v>Retribusi Penyeberangan di Air-LO</v>
          </cell>
          <cell r="D2793">
            <v>0</v>
          </cell>
          <cell r="E2793">
            <v>0</v>
          </cell>
          <cell r="F2793">
            <v>0</v>
          </cell>
          <cell r="G2793">
            <v>0</v>
          </cell>
          <cell r="H2793">
            <v>0</v>
          </cell>
          <cell r="I2793">
            <v>0</v>
          </cell>
          <cell r="J2793">
            <v>0</v>
          </cell>
        </row>
        <row r="2794">
          <cell r="B2794" t="str">
            <v>7.1.02.02.11</v>
          </cell>
          <cell r="C2794" t="str">
            <v>Retribusi Penjualan Produksi Usaha Daerah-LO</v>
          </cell>
          <cell r="D2794">
            <v>97575000</v>
          </cell>
          <cell r="E2794">
            <v>117200000</v>
          </cell>
          <cell r="F2794">
            <v>0</v>
          </cell>
          <cell r="G2794">
            <v>0</v>
          </cell>
          <cell r="H2794">
            <v>0</v>
          </cell>
          <cell r="I2794">
            <v>0</v>
          </cell>
          <cell r="J2794">
            <v>117200000</v>
          </cell>
        </row>
        <row r="2795">
          <cell r="B2795" t="str">
            <v>7.1.02.02.12</v>
          </cell>
          <cell r="C2795" t="str">
            <v>Retribusi Penyediaan Tempat Kegiatan Usaha berupa Pasar, Grosir, Pertokoan, dan Tempat Kegiatan Usaha Lainnya-LO</v>
          </cell>
          <cell r="D2795">
            <v>61588000</v>
          </cell>
          <cell r="E2795">
            <v>188411000</v>
          </cell>
          <cell r="F2795">
            <v>0</v>
          </cell>
          <cell r="G2795">
            <v>0</v>
          </cell>
          <cell r="H2795">
            <v>0</v>
          </cell>
          <cell r="I2795">
            <v>4510000</v>
          </cell>
          <cell r="J2795">
            <v>192921000</v>
          </cell>
        </row>
        <row r="2796">
          <cell r="B2796" t="str">
            <v>7.1.02.02.13</v>
          </cell>
          <cell r="C2796" t="str">
            <v>Retribusi Penyediaan Tempat Pelelangan Ikan, Ternak, Hasil Bumi, dan Hasil Hutan Termasuk Fasilitas Lainnya dalam Lingkungan Tempat Pelelangan-LO</v>
          </cell>
          <cell r="D2796">
            <v>0</v>
          </cell>
          <cell r="E2796">
            <v>0</v>
          </cell>
          <cell r="F2796">
            <v>0</v>
          </cell>
          <cell r="G2796">
            <v>0</v>
          </cell>
          <cell r="H2796">
            <v>0</v>
          </cell>
          <cell r="I2796">
            <v>0</v>
          </cell>
          <cell r="J2796">
            <v>0</v>
          </cell>
        </row>
        <row r="2797">
          <cell r="B2797" t="str">
            <v>7.1.02.02.14</v>
          </cell>
          <cell r="C2797" t="str">
            <v>Retribusi Penyediaan Tempat Khusus Parkir Diluar Badan Jalan-LO</v>
          </cell>
          <cell r="D2797">
            <v>0</v>
          </cell>
          <cell r="E2797">
            <v>0</v>
          </cell>
          <cell r="F2797">
            <v>0</v>
          </cell>
          <cell r="G2797">
            <v>0</v>
          </cell>
          <cell r="H2797">
            <v>0</v>
          </cell>
          <cell r="I2797">
            <v>0</v>
          </cell>
          <cell r="J2797">
            <v>0</v>
          </cell>
        </row>
        <row r="2798">
          <cell r="B2798" t="str">
            <v>7.1.02.02.15</v>
          </cell>
          <cell r="C2798" t="str">
            <v>Retribusi Pelayanan Rumah Pemotongan Hewan Ternak-LO</v>
          </cell>
          <cell r="D2798">
            <v>0</v>
          </cell>
          <cell r="E2798">
            <v>0</v>
          </cell>
          <cell r="F2798">
            <v>0</v>
          </cell>
          <cell r="G2798">
            <v>0</v>
          </cell>
          <cell r="H2798">
            <v>0</v>
          </cell>
          <cell r="I2798">
            <v>0</v>
          </cell>
          <cell r="J2798">
            <v>0</v>
          </cell>
        </row>
        <row r="2799">
          <cell r="B2799" t="str">
            <v>7.1.02.02.16</v>
          </cell>
          <cell r="C2799" t="str">
            <v>Retribusi Pelayanan Jasa Kepelabuhanan-LO</v>
          </cell>
          <cell r="D2799">
            <v>0</v>
          </cell>
          <cell r="E2799">
            <v>0</v>
          </cell>
          <cell r="F2799">
            <v>0</v>
          </cell>
          <cell r="G2799">
            <v>0</v>
          </cell>
          <cell r="H2799">
            <v>0</v>
          </cell>
          <cell r="I2799">
            <v>0</v>
          </cell>
          <cell r="J2799">
            <v>0</v>
          </cell>
        </row>
        <row r="2800">
          <cell r="B2800" t="str">
            <v>7.1.02.02.17</v>
          </cell>
          <cell r="C2800" t="str">
            <v>Retribusi Pelayanan Tempat Rekreasi, Pariwisata, dan Olahraga-LO</v>
          </cell>
          <cell r="D2800">
            <v>0</v>
          </cell>
          <cell r="E2800">
            <v>0</v>
          </cell>
          <cell r="F2800">
            <v>0</v>
          </cell>
          <cell r="G2800">
            <v>0</v>
          </cell>
          <cell r="H2800">
            <v>0</v>
          </cell>
          <cell r="I2800">
            <v>0</v>
          </cell>
          <cell r="J2800">
            <v>0</v>
          </cell>
        </row>
        <row r="2801">
          <cell r="B2801" t="str">
            <v>7.1.02.02.18</v>
          </cell>
          <cell r="C2801" t="str">
            <v>Retribusi Pelayanan Penyeberangan Orang atau Barang dengan Menggunakan Kendaraan di Air-LO</v>
          </cell>
          <cell r="D2801">
            <v>0</v>
          </cell>
          <cell r="E2801">
            <v>0</v>
          </cell>
          <cell r="F2801">
            <v>0</v>
          </cell>
          <cell r="G2801">
            <v>0</v>
          </cell>
          <cell r="H2801">
            <v>0</v>
          </cell>
          <cell r="I2801">
            <v>0</v>
          </cell>
          <cell r="J2801">
            <v>0</v>
          </cell>
        </row>
        <row r="2802">
          <cell r="B2802" t="str">
            <v>7.1.02.02.19</v>
          </cell>
          <cell r="C2802" t="str">
            <v>Retribusi Penjualan Hasil Produksi Usaha Pemerintah Daerah-LO</v>
          </cell>
          <cell r="D2802">
            <v>0</v>
          </cell>
          <cell r="E2802">
            <v>0</v>
          </cell>
          <cell r="F2802">
            <v>0</v>
          </cell>
          <cell r="G2802">
            <v>0</v>
          </cell>
          <cell r="H2802">
            <v>0</v>
          </cell>
          <cell r="I2802">
            <v>0</v>
          </cell>
          <cell r="J2802">
            <v>0</v>
          </cell>
        </row>
        <row r="2803">
          <cell r="B2803" t="str">
            <v>7.1.02.02.20</v>
          </cell>
          <cell r="C2803" t="str">
            <v>Retribusi Pemanfaatan Aset Daerah-LO</v>
          </cell>
          <cell r="D2803">
            <v>0</v>
          </cell>
          <cell r="E2803">
            <v>0</v>
          </cell>
          <cell r="F2803">
            <v>0</v>
          </cell>
          <cell r="G2803">
            <v>0</v>
          </cell>
          <cell r="H2803">
            <v>0</v>
          </cell>
          <cell r="I2803">
            <v>0</v>
          </cell>
          <cell r="J2803">
            <v>0</v>
          </cell>
        </row>
        <row r="2804">
          <cell r="B2804" t="str">
            <v>7.1.02.03</v>
          </cell>
          <cell r="C2804" t="str">
            <v>Retribusi Perizinan Tertentu-LO</v>
          </cell>
          <cell r="D2804">
            <v>3506965063</v>
          </cell>
          <cell r="E2804">
            <v>4727116474</v>
          </cell>
          <cell r="F2804"/>
          <cell r="G2804"/>
          <cell r="H2804"/>
          <cell r="I2804"/>
          <cell r="J2804">
            <v>4727116474</v>
          </cell>
        </row>
        <row r="2805">
          <cell r="B2805" t="str">
            <v>7.1.02.03.01</v>
          </cell>
          <cell r="C2805" t="str">
            <v>Retribusi Izin Mendirikan Bangunan-LO</v>
          </cell>
          <cell r="D2805">
            <v>0</v>
          </cell>
          <cell r="E2805">
            <v>0</v>
          </cell>
          <cell r="F2805">
            <v>0</v>
          </cell>
          <cell r="G2805">
            <v>0</v>
          </cell>
          <cell r="H2805">
            <v>0</v>
          </cell>
          <cell r="I2805">
            <v>0</v>
          </cell>
          <cell r="J2805">
            <v>0</v>
          </cell>
        </row>
        <row r="2806">
          <cell r="B2806" t="str">
            <v>7.1.02.03.02</v>
          </cell>
          <cell r="C2806" t="str">
            <v>Retribusi Izin Tempat Penjualan Minuman Beralkohol-LO</v>
          </cell>
          <cell r="D2806">
            <v>0</v>
          </cell>
          <cell r="E2806">
            <v>0</v>
          </cell>
          <cell r="F2806">
            <v>0</v>
          </cell>
          <cell r="G2806">
            <v>0</v>
          </cell>
          <cell r="H2806">
            <v>0</v>
          </cell>
          <cell r="I2806">
            <v>0</v>
          </cell>
          <cell r="J2806">
            <v>0</v>
          </cell>
        </row>
        <row r="2807">
          <cell r="B2807" t="str">
            <v>7.1.02.03.03</v>
          </cell>
          <cell r="C2807" t="str">
            <v>Retribusi Izin Trayek untuk Menyediakan Pelayanan Angkutan Umum-LO</v>
          </cell>
          <cell r="D2807">
            <v>0</v>
          </cell>
          <cell r="E2807">
            <v>0</v>
          </cell>
          <cell r="F2807">
            <v>0</v>
          </cell>
          <cell r="G2807">
            <v>0</v>
          </cell>
          <cell r="H2807">
            <v>0</v>
          </cell>
          <cell r="I2807">
            <v>0</v>
          </cell>
          <cell r="J2807">
            <v>0</v>
          </cell>
        </row>
        <row r="2808">
          <cell r="B2808" t="str">
            <v>7.1.02.03.04</v>
          </cell>
          <cell r="C2808" t="str">
            <v>Retribusi Izin Usaha Perikanan-LO</v>
          </cell>
          <cell r="D2808">
            <v>0</v>
          </cell>
          <cell r="E2808">
            <v>0</v>
          </cell>
          <cell r="F2808">
            <v>0</v>
          </cell>
          <cell r="G2808">
            <v>0</v>
          </cell>
          <cell r="H2808">
            <v>0</v>
          </cell>
          <cell r="I2808">
            <v>0</v>
          </cell>
          <cell r="J2808">
            <v>0</v>
          </cell>
        </row>
        <row r="2809">
          <cell r="B2809" t="str">
            <v>7.1.02.03.05</v>
          </cell>
          <cell r="C2809" t="str">
            <v>Retribusi Pengendalian Lalu Lintas-LO</v>
          </cell>
          <cell r="D2809">
            <v>0</v>
          </cell>
          <cell r="E2809">
            <v>0</v>
          </cell>
          <cell r="F2809">
            <v>0</v>
          </cell>
          <cell r="G2809">
            <v>0</v>
          </cell>
          <cell r="H2809">
            <v>0</v>
          </cell>
          <cell r="I2809">
            <v>0</v>
          </cell>
          <cell r="J2809">
            <v>0</v>
          </cell>
        </row>
        <row r="2810">
          <cell r="B2810" t="str">
            <v>7.1.02.03.06</v>
          </cell>
          <cell r="C2810" t="str">
            <v>Retribusi Perpanjangan Izin Mempekerjakan Tenaga Kerja Asing (IMTA)-LO</v>
          </cell>
          <cell r="D2810">
            <v>0</v>
          </cell>
          <cell r="E2810">
            <v>0</v>
          </cell>
          <cell r="F2810">
            <v>0</v>
          </cell>
          <cell r="G2810">
            <v>0</v>
          </cell>
          <cell r="H2810">
            <v>0</v>
          </cell>
          <cell r="I2810">
            <v>0</v>
          </cell>
          <cell r="J2810">
            <v>0</v>
          </cell>
        </row>
        <row r="2811">
          <cell r="B2811" t="str">
            <v>7.1.02.03.07</v>
          </cell>
          <cell r="C2811" t="str">
            <v>Retribusi Persetujuan Bangunan Gedung-LO</v>
          </cell>
          <cell r="D2811">
            <v>221117935</v>
          </cell>
          <cell r="E2811">
            <v>257978919</v>
          </cell>
          <cell r="F2811">
            <v>0</v>
          </cell>
          <cell r="G2811">
            <v>0</v>
          </cell>
          <cell r="H2811">
            <v>0</v>
          </cell>
          <cell r="I2811">
            <v>0</v>
          </cell>
          <cell r="J2811">
            <v>257978919</v>
          </cell>
        </row>
        <row r="2812">
          <cell r="B2812" t="str">
            <v>7.1.02.03.08</v>
          </cell>
          <cell r="C2812" t="str">
            <v>Retribusi Penggunaan Tenaga Kerja Asing (TKA)-LO</v>
          </cell>
          <cell r="D2812">
            <v>3285847128</v>
          </cell>
          <cell r="E2812">
            <v>4469137555</v>
          </cell>
          <cell r="F2812">
            <v>0</v>
          </cell>
          <cell r="G2812">
            <v>0</v>
          </cell>
          <cell r="H2812">
            <v>0</v>
          </cell>
          <cell r="I2812">
            <v>0</v>
          </cell>
          <cell r="J2812">
            <v>4469137555</v>
          </cell>
        </row>
        <row r="2813">
          <cell r="B2813" t="str">
            <v>7.1.02.03.09</v>
          </cell>
          <cell r="C2813" t="str">
            <v>Retribusi Pertambangan Rakyat-LO</v>
          </cell>
          <cell r="D2813">
            <v>0</v>
          </cell>
          <cell r="E2813">
            <v>0</v>
          </cell>
          <cell r="F2813">
            <v>0</v>
          </cell>
          <cell r="G2813">
            <v>0</v>
          </cell>
          <cell r="H2813">
            <v>0</v>
          </cell>
          <cell r="I2813">
            <v>0</v>
          </cell>
          <cell r="J2813">
            <v>0</v>
          </cell>
        </row>
        <row r="2814">
          <cell r="B2814"/>
          <cell r="C2814"/>
          <cell r="D2814"/>
          <cell r="E2814"/>
          <cell r="F2814"/>
          <cell r="G2814"/>
          <cell r="H2814"/>
          <cell r="I2814"/>
          <cell r="J2814"/>
        </row>
        <row r="2815">
          <cell r="B2815" t="str">
            <v>7.1.03</v>
          </cell>
          <cell r="C2815" t="str">
            <v>Hasil Pengelolaan Kekayaan Daerah yang Dipisahkan-LO</v>
          </cell>
          <cell r="D2815">
            <v>207062877</v>
          </cell>
          <cell r="E2815">
            <v>7754789855</v>
          </cell>
          <cell r="F2815"/>
          <cell r="G2815"/>
          <cell r="H2815"/>
          <cell r="I2815"/>
          <cell r="J2815">
            <v>7754789855</v>
          </cell>
        </row>
        <row r="2816">
          <cell r="B2816" t="str">
            <v>7.1.03.01</v>
          </cell>
          <cell r="C2816" t="str">
            <v>Bagian Laba yang Dibagikan kepada Pemerintah Daerah (Dividen) atas Penyertaan Modal pada BUMN-LO</v>
          </cell>
          <cell r="D2816">
            <v>0</v>
          </cell>
          <cell r="E2816">
            <v>0</v>
          </cell>
          <cell r="F2816"/>
          <cell r="G2816"/>
          <cell r="H2816"/>
          <cell r="I2816"/>
          <cell r="J2816">
            <v>0</v>
          </cell>
        </row>
        <row r="2817">
          <cell r="B2817" t="str">
            <v>7.1.03.01.01</v>
          </cell>
          <cell r="C2817" t="str">
            <v>Bagian Laba yang Dibagikan kepada Pemerintah Daerah (Dividen) atas Penyertaan Modal pada BUMN-LO</v>
          </cell>
          <cell r="D2817">
            <v>0</v>
          </cell>
          <cell r="E2817">
            <v>0</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207062877</v>
          </cell>
          <cell r="E2818">
            <v>7754789855</v>
          </cell>
          <cell r="F2818"/>
          <cell r="G2818"/>
          <cell r="H2818"/>
          <cell r="I2818"/>
          <cell r="J2818">
            <v>7754789855</v>
          </cell>
        </row>
        <row r="2819">
          <cell r="B2819" t="str">
            <v>7.1.03.02.01</v>
          </cell>
          <cell r="C2819" t="str">
            <v>Bagian Laba yang Dibagikan kepada Pemerintah Daerah (Dividen) atas Penyertaan Modal pada BUMD (Lembaga Keuangan)-LO</v>
          </cell>
          <cell r="D2819">
            <v>207062877</v>
          </cell>
          <cell r="E2819">
            <v>7754789855</v>
          </cell>
          <cell r="F2819">
            <v>0</v>
          </cell>
          <cell r="G2819">
            <v>0</v>
          </cell>
          <cell r="H2819">
            <v>0</v>
          </cell>
          <cell r="I2819">
            <v>0</v>
          </cell>
          <cell r="J2819">
            <v>7754789855</v>
          </cell>
        </row>
        <row r="2820">
          <cell r="B2820" t="str">
            <v>7.1.03.02.02</v>
          </cell>
          <cell r="C2820" t="str">
            <v>Bagian Laba yang Dibagikan kepada Pemerintah Daerah (Dividen) atas Penyertaan Modal pada BUMD (Aneka Usaha)-LO</v>
          </cell>
          <cell r="D2820">
            <v>0</v>
          </cell>
          <cell r="E2820">
            <v>0</v>
          </cell>
          <cell r="F2820">
            <v>0</v>
          </cell>
          <cell r="G2820">
            <v>0</v>
          </cell>
          <cell r="H2820">
            <v>0</v>
          </cell>
          <cell r="I2820">
            <v>0</v>
          </cell>
          <cell r="J2820">
            <v>0</v>
          </cell>
        </row>
        <row r="2821">
          <cell r="B2821" t="str">
            <v>7.1.03.02.03</v>
          </cell>
          <cell r="C2821" t="str">
            <v>Bagian Laba yang Dibagikan kepada Pemerintah Daerah (Dividen) atas Penyertaan Modal pada BUMD (Bidang Air Minum)-LO</v>
          </cell>
          <cell r="D2821">
            <v>0</v>
          </cell>
          <cell r="E2821">
            <v>0</v>
          </cell>
          <cell r="F2821">
            <v>0</v>
          </cell>
          <cell r="G2821">
            <v>0</v>
          </cell>
          <cell r="H2821">
            <v>0</v>
          </cell>
          <cell r="I2821">
            <v>0</v>
          </cell>
          <cell r="J2821">
            <v>0</v>
          </cell>
        </row>
        <row r="2822">
          <cell r="B2822" t="str">
            <v>7.1.03.02.04</v>
          </cell>
          <cell r="C2822" t="str">
            <v>Bagian Laba yang Dibagikan kepada Pemerintah Daerah (Dividen) atas Penyertaan Modal pada BUMD (Bidang Limbah)-LO</v>
          </cell>
          <cell r="D2822">
            <v>0</v>
          </cell>
          <cell r="E2822">
            <v>0</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D2823">
            <v>0</v>
          </cell>
          <cell r="E2823">
            <v>0</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F2824"/>
          <cell r="G2824"/>
          <cell r="H2824"/>
          <cell r="I2824"/>
          <cell r="J2824">
            <v>0</v>
          </cell>
        </row>
        <row r="2825">
          <cell r="B2825" t="str">
            <v>7.1.03.03.01</v>
          </cell>
          <cell r="C2825" t="str">
            <v>Bagian Laba yang Dibagikan kepada Pemerintah Daerah (Dividen) atas Penyertaan Modal pada Perusahaan Milik Swasta-LO</v>
          </cell>
          <cell r="D2825">
            <v>0</v>
          </cell>
          <cell r="E2825">
            <v>0</v>
          </cell>
          <cell r="F2825">
            <v>0</v>
          </cell>
          <cell r="G2825">
            <v>0</v>
          </cell>
          <cell r="H2825">
            <v>0</v>
          </cell>
          <cell r="I2825">
            <v>0</v>
          </cell>
          <cell r="J2825">
            <v>0</v>
          </cell>
        </row>
        <row r="2826">
          <cell r="B2826"/>
          <cell r="C2826"/>
          <cell r="D2826"/>
          <cell r="E2826"/>
          <cell r="F2826"/>
          <cell r="G2826"/>
          <cell r="H2826"/>
          <cell r="I2826"/>
          <cell r="J2826"/>
        </row>
        <row r="2827">
          <cell r="B2827" t="str">
            <v>7.1.04</v>
          </cell>
          <cell r="C2827" t="str">
            <v>Lain-lain PAD yang Sah-LO</v>
          </cell>
          <cell r="D2827">
            <v>89398010081.809998</v>
          </cell>
          <cell r="E2827">
            <v>93184538165.440002</v>
          </cell>
          <cell r="F2827"/>
          <cell r="G2827"/>
          <cell r="H2827"/>
          <cell r="I2827"/>
          <cell r="J2827">
            <v>44281476488.440002</v>
          </cell>
        </row>
        <row r="2828">
          <cell r="B2828" t="str">
            <v>7.1.04.01</v>
          </cell>
          <cell r="C2828" t="str">
            <v>Hasil Penjualan BMD yang Tidak Dipisahkan-LO</v>
          </cell>
          <cell r="D2828">
            <v>0</v>
          </cell>
          <cell r="E2828">
            <v>606468577</v>
          </cell>
          <cell r="F2828"/>
          <cell r="G2828"/>
          <cell r="H2828"/>
          <cell r="I2828"/>
          <cell r="J2828">
            <v>0</v>
          </cell>
        </row>
        <row r="2829">
          <cell r="B2829" t="str">
            <v>7.1.04.01.01</v>
          </cell>
          <cell r="C2829" t="str">
            <v>Hasil Penjualan Tanah-LO</v>
          </cell>
          <cell r="D2829">
            <v>0</v>
          </cell>
          <cell r="E2829">
            <v>181170000</v>
          </cell>
          <cell r="F2829">
            <v>0</v>
          </cell>
          <cell r="G2829">
            <v>0</v>
          </cell>
          <cell r="H2829">
            <v>181170000</v>
          </cell>
          <cell r="I2829">
            <v>0</v>
          </cell>
          <cell r="J2829">
            <v>0</v>
          </cell>
        </row>
        <row r="2830">
          <cell r="B2830" t="str">
            <v>7.1.04.01.02</v>
          </cell>
          <cell r="C2830" t="str">
            <v>Hasil Penjualan Peralatan dan Mesin-LO</v>
          </cell>
          <cell r="D2830">
            <v>0</v>
          </cell>
          <cell r="E2830">
            <v>49965577</v>
          </cell>
          <cell r="F2830">
            <v>36829200</v>
          </cell>
          <cell r="G2830">
            <v>0</v>
          </cell>
          <cell r="H2830">
            <v>13136377</v>
          </cell>
          <cell r="I2830">
            <v>0</v>
          </cell>
          <cell r="J2830">
            <v>0</v>
          </cell>
        </row>
        <row r="2831">
          <cell r="B2831" t="str">
            <v>7.1.04.01.03</v>
          </cell>
          <cell r="C2831" t="str">
            <v>Hasil Penjualan Gedung dan Bangunan-LO</v>
          </cell>
          <cell r="D2831">
            <v>0</v>
          </cell>
          <cell r="E2831">
            <v>0</v>
          </cell>
          <cell r="F2831">
            <v>0</v>
          </cell>
          <cell r="G2831">
            <v>0</v>
          </cell>
          <cell r="H2831">
            <v>0</v>
          </cell>
          <cell r="I2831">
            <v>0</v>
          </cell>
          <cell r="J2831">
            <v>0</v>
          </cell>
        </row>
        <row r="2832">
          <cell r="B2832" t="str">
            <v>7.1.04.01.04</v>
          </cell>
          <cell r="C2832" t="str">
            <v>Hasil Penjualan Jalan, Jaringan, dan Irigasi-LO</v>
          </cell>
          <cell r="D2832">
            <v>0</v>
          </cell>
          <cell r="E2832">
            <v>0</v>
          </cell>
          <cell r="F2832">
            <v>0</v>
          </cell>
          <cell r="G2832">
            <v>0</v>
          </cell>
          <cell r="H2832">
            <v>0</v>
          </cell>
          <cell r="I2832">
            <v>0</v>
          </cell>
          <cell r="J2832">
            <v>0</v>
          </cell>
        </row>
        <row r="2833">
          <cell r="B2833" t="str">
            <v>7.1.04.01.05</v>
          </cell>
          <cell r="C2833" t="str">
            <v>Hasil Penjualan Aset Tetap Lainnya-LO</v>
          </cell>
          <cell r="D2833">
            <v>0</v>
          </cell>
          <cell r="E2833">
            <v>0</v>
          </cell>
          <cell r="F2833">
            <v>0</v>
          </cell>
          <cell r="G2833">
            <v>0</v>
          </cell>
          <cell r="H2833">
            <v>0</v>
          </cell>
          <cell r="I2833">
            <v>0</v>
          </cell>
          <cell r="J2833">
            <v>0</v>
          </cell>
        </row>
        <row r="2834">
          <cell r="B2834" t="str">
            <v>7.1.04.01.06</v>
          </cell>
          <cell r="C2834" t="str">
            <v>Hasil Penjualan Aset Lainnya-LO</v>
          </cell>
          <cell r="D2834">
            <v>0</v>
          </cell>
          <cell r="E2834">
            <v>0</v>
          </cell>
          <cell r="F2834">
            <v>0</v>
          </cell>
          <cell r="G2834">
            <v>0</v>
          </cell>
          <cell r="H2834">
            <v>0</v>
          </cell>
          <cell r="I2834">
            <v>0</v>
          </cell>
          <cell r="J2834">
            <v>0</v>
          </cell>
        </row>
        <row r="2835">
          <cell r="B2835" t="str">
            <v>7.1.04.01.07</v>
          </cell>
          <cell r="C2835" t="str">
            <v>Hasil Penjualan Aset Tidak Berwujud-LO</v>
          </cell>
          <cell r="D2835">
            <v>0</v>
          </cell>
          <cell r="E2835">
            <v>0</v>
          </cell>
          <cell r="F2835">
            <v>0</v>
          </cell>
          <cell r="G2835">
            <v>0</v>
          </cell>
          <cell r="H2835">
            <v>0</v>
          </cell>
          <cell r="I2835">
            <v>0</v>
          </cell>
          <cell r="J2835">
            <v>0</v>
          </cell>
        </row>
        <row r="2836">
          <cell r="B2836" t="str">
            <v>7.1.04.01.08</v>
          </cell>
          <cell r="C2836" t="str">
            <v>Hasil Penjualan Aset Lain-Lain-LO</v>
          </cell>
          <cell r="D2836">
            <v>0</v>
          </cell>
          <cell r="E2836">
            <v>375333000</v>
          </cell>
          <cell r="F2836">
            <v>375333000</v>
          </cell>
          <cell r="G2836">
            <v>0</v>
          </cell>
          <cell r="H2836">
            <v>0</v>
          </cell>
          <cell r="I2836">
            <v>0</v>
          </cell>
          <cell r="J2836">
            <v>0</v>
          </cell>
        </row>
        <row r="2837">
          <cell r="B2837" t="str">
            <v>7.1.04.02</v>
          </cell>
          <cell r="C2837" t="str">
            <v>Hasil Selisih Lebih Tukar Menukar BMD yang Tidak Dipisahkan-LO</v>
          </cell>
          <cell r="D2837">
            <v>0</v>
          </cell>
          <cell r="E2837">
            <v>0</v>
          </cell>
          <cell r="F2837"/>
          <cell r="G2837"/>
          <cell r="H2837"/>
          <cell r="I2837"/>
          <cell r="J2837">
            <v>0</v>
          </cell>
        </row>
        <row r="2838">
          <cell r="B2838" t="str">
            <v>7.1.04.02.01</v>
          </cell>
          <cell r="C2838" t="str">
            <v>Hasil Selisih Lebih Tukar Menukar Tanah-LO</v>
          </cell>
          <cell r="D2838">
            <v>0</v>
          </cell>
          <cell r="E2838">
            <v>0</v>
          </cell>
          <cell r="F2838">
            <v>0</v>
          </cell>
          <cell r="G2838">
            <v>0</v>
          </cell>
          <cell r="H2838">
            <v>0</v>
          </cell>
          <cell r="I2838">
            <v>0</v>
          </cell>
          <cell r="J2838">
            <v>0</v>
          </cell>
        </row>
        <row r="2839">
          <cell r="B2839" t="str">
            <v>7.1.04.02.02</v>
          </cell>
          <cell r="C2839" t="str">
            <v>Hasil Selisih Lebih Tukar Menukar Peralatan dan Mesin-LO</v>
          </cell>
          <cell r="D2839">
            <v>0</v>
          </cell>
          <cell r="E2839">
            <v>0</v>
          </cell>
          <cell r="F2839">
            <v>0</v>
          </cell>
          <cell r="G2839">
            <v>0</v>
          </cell>
          <cell r="H2839">
            <v>0</v>
          </cell>
          <cell r="I2839">
            <v>0</v>
          </cell>
          <cell r="J2839">
            <v>0</v>
          </cell>
        </row>
        <row r="2840">
          <cell r="B2840" t="str">
            <v>7.1.04.02.03</v>
          </cell>
          <cell r="C2840" t="str">
            <v>Hasil Selisih Lebih Tukar Menukar Gedung dan Bangunan-LO</v>
          </cell>
          <cell r="D2840">
            <v>0</v>
          </cell>
          <cell r="E2840">
            <v>0</v>
          </cell>
          <cell r="F2840">
            <v>0</v>
          </cell>
          <cell r="G2840">
            <v>0</v>
          </cell>
          <cell r="H2840">
            <v>0</v>
          </cell>
          <cell r="I2840">
            <v>0</v>
          </cell>
          <cell r="J2840">
            <v>0</v>
          </cell>
        </row>
        <row r="2841">
          <cell r="B2841" t="str">
            <v>7.1.04.02.04</v>
          </cell>
          <cell r="C2841" t="str">
            <v>Hasil Selisih Lebih Tukar Menukar Jalan, Jaringan, dan Irigasi-LO</v>
          </cell>
          <cell r="D2841">
            <v>0</v>
          </cell>
          <cell r="E2841">
            <v>0</v>
          </cell>
          <cell r="F2841">
            <v>0</v>
          </cell>
          <cell r="G2841">
            <v>0</v>
          </cell>
          <cell r="H2841">
            <v>0</v>
          </cell>
          <cell r="I2841">
            <v>0</v>
          </cell>
          <cell r="J2841">
            <v>0</v>
          </cell>
        </row>
        <row r="2842">
          <cell r="B2842" t="str">
            <v>7.1.04.02.05</v>
          </cell>
          <cell r="C2842" t="str">
            <v>Hasil Selisih Lebih Tukar Menukar Aset Tetap Lainnya-LO</v>
          </cell>
          <cell r="D2842">
            <v>0</v>
          </cell>
          <cell r="E2842">
            <v>0</v>
          </cell>
          <cell r="F2842">
            <v>0</v>
          </cell>
          <cell r="G2842">
            <v>0</v>
          </cell>
          <cell r="H2842">
            <v>0</v>
          </cell>
          <cell r="I2842">
            <v>0</v>
          </cell>
          <cell r="J2842">
            <v>0</v>
          </cell>
        </row>
        <row r="2843">
          <cell r="B2843" t="str">
            <v>7.1.04.02.06</v>
          </cell>
          <cell r="C2843" t="str">
            <v>Hasil Selisih Lebih Tukar Menukar Aset Lainnya-LO</v>
          </cell>
          <cell r="D2843">
            <v>0</v>
          </cell>
          <cell r="E2843">
            <v>0</v>
          </cell>
          <cell r="F2843">
            <v>0</v>
          </cell>
          <cell r="G2843">
            <v>0</v>
          </cell>
          <cell r="H2843">
            <v>0</v>
          </cell>
          <cell r="I2843">
            <v>0</v>
          </cell>
          <cell r="J2843">
            <v>0</v>
          </cell>
        </row>
        <row r="2844">
          <cell r="B2844" t="str">
            <v>7.1.04.02.07</v>
          </cell>
          <cell r="C2844" t="str">
            <v>Hasil Selisih Lebih Tukar Menukar Aset Tidak Berwujud-LO</v>
          </cell>
          <cell r="D2844">
            <v>0</v>
          </cell>
          <cell r="E2844">
            <v>0</v>
          </cell>
          <cell r="F2844">
            <v>0</v>
          </cell>
          <cell r="G2844">
            <v>0</v>
          </cell>
          <cell r="H2844">
            <v>0</v>
          </cell>
          <cell r="I2844">
            <v>0</v>
          </cell>
          <cell r="J2844">
            <v>0</v>
          </cell>
        </row>
        <row r="2845">
          <cell r="B2845" t="str">
            <v>7.1.04.02.08</v>
          </cell>
          <cell r="C2845" t="str">
            <v>Hasil Selisih Lebih Tukar Menukar Aset Lain-Lain-LO</v>
          </cell>
          <cell r="D2845">
            <v>0</v>
          </cell>
          <cell r="E2845">
            <v>0</v>
          </cell>
          <cell r="F2845">
            <v>0</v>
          </cell>
          <cell r="G2845">
            <v>0</v>
          </cell>
          <cell r="H2845">
            <v>0</v>
          </cell>
          <cell r="I2845">
            <v>0</v>
          </cell>
          <cell r="J2845">
            <v>0</v>
          </cell>
        </row>
        <row r="2846">
          <cell r="B2846" t="str">
            <v>7.1.04.03</v>
          </cell>
          <cell r="C2846" t="str">
            <v>Hasil Pemanfaatan BMD yang Tidak Dipisahkan-LO</v>
          </cell>
          <cell r="D2846">
            <v>0</v>
          </cell>
          <cell r="E2846">
            <v>0</v>
          </cell>
          <cell r="F2846"/>
          <cell r="G2846"/>
          <cell r="H2846"/>
          <cell r="I2846"/>
          <cell r="J2846">
            <v>0</v>
          </cell>
        </row>
        <row r="2847">
          <cell r="B2847" t="str">
            <v>7.1.04.03.01</v>
          </cell>
          <cell r="C2847" t="str">
            <v>Hasil Sewa BMD-LO</v>
          </cell>
          <cell r="D2847">
            <v>0</v>
          </cell>
          <cell r="E2847">
            <v>0</v>
          </cell>
          <cell r="F2847">
            <v>0</v>
          </cell>
          <cell r="G2847">
            <v>0</v>
          </cell>
          <cell r="H2847">
            <v>0</v>
          </cell>
          <cell r="I2847">
            <v>0</v>
          </cell>
          <cell r="J2847">
            <v>0</v>
          </cell>
        </row>
        <row r="2848">
          <cell r="B2848" t="str">
            <v>7.1.04.03.02</v>
          </cell>
          <cell r="C2848" t="str">
            <v>Hasil Kerja Sama Pemanfaatan BMD-LO</v>
          </cell>
          <cell r="D2848">
            <v>0</v>
          </cell>
          <cell r="E2848">
            <v>0</v>
          </cell>
          <cell r="F2848">
            <v>0</v>
          </cell>
          <cell r="G2848">
            <v>0</v>
          </cell>
          <cell r="H2848">
            <v>0</v>
          </cell>
          <cell r="I2848">
            <v>0</v>
          </cell>
          <cell r="J2848">
            <v>0</v>
          </cell>
        </row>
        <row r="2849">
          <cell r="B2849" t="str">
            <v>7.1.04.03.03</v>
          </cell>
          <cell r="C2849" t="str">
            <v>Hasil dari Bangun Guna Serah-LO</v>
          </cell>
          <cell r="D2849">
            <v>0</v>
          </cell>
          <cell r="E2849">
            <v>0</v>
          </cell>
          <cell r="F2849">
            <v>0</v>
          </cell>
          <cell r="G2849">
            <v>0</v>
          </cell>
          <cell r="H2849">
            <v>0</v>
          </cell>
          <cell r="I2849">
            <v>0</v>
          </cell>
          <cell r="J2849">
            <v>0</v>
          </cell>
        </row>
        <row r="2850">
          <cell r="B2850" t="str">
            <v>7.1.04.03.04</v>
          </cell>
          <cell r="C2850" t="str">
            <v>Hasil dari Bangun Serah Guna-LO</v>
          </cell>
          <cell r="D2850">
            <v>0</v>
          </cell>
          <cell r="E2850">
            <v>0</v>
          </cell>
          <cell r="F2850">
            <v>0</v>
          </cell>
          <cell r="G2850">
            <v>0</v>
          </cell>
          <cell r="H2850">
            <v>0</v>
          </cell>
          <cell r="I2850">
            <v>0</v>
          </cell>
          <cell r="J2850">
            <v>0</v>
          </cell>
        </row>
        <row r="2851">
          <cell r="B2851" t="str">
            <v>7.1.04.03.05</v>
          </cell>
          <cell r="C2851" t="str">
            <v>Hasil dari Kerja Sama Penyediaan Infrastruktur-LO</v>
          </cell>
          <cell r="D2851">
            <v>0</v>
          </cell>
          <cell r="E2851">
            <v>0</v>
          </cell>
          <cell r="F2851">
            <v>0</v>
          </cell>
          <cell r="G2851">
            <v>0</v>
          </cell>
          <cell r="H2851">
            <v>0</v>
          </cell>
          <cell r="I2851">
            <v>0</v>
          </cell>
          <cell r="J2851">
            <v>0</v>
          </cell>
        </row>
        <row r="2852">
          <cell r="B2852" t="str">
            <v>7.1.04.04</v>
          </cell>
          <cell r="C2852" t="str">
            <v>Hasil Kerja Sama Daerah-LO</v>
          </cell>
          <cell r="D2852">
            <v>0</v>
          </cell>
          <cell r="E2852">
            <v>0</v>
          </cell>
          <cell r="F2852"/>
          <cell r="G2852"/>
          <cell r="H2852"/>
          <cell r="I2852"/>
          <cell r="J2852">
            <v>0</v>
          </cell>
        </row>
        <row r="2853">
          <cell r="B2853" t="str">
            <v>7.1.04.04.01</v>
          </cell>
          <cell r="C2853" t="str">
            <v>Hasil Kerja Sama Daerah-LO</v>
          </cell>
          <cell r="D2853">
            <v>0</v>
          </cell>
          <cell r="E2853">
            <v>0</v>
          </cell>
          <cell r="F2853">
            <v>0</v>
          </cell>
          <cell r="G2853">
            <v>0</v>
          </cell>
          <cell r="H2853">
            <v>0</v>
          </cell>
          <cell r="I2853">
            <v>0</v>
          </cell>
          <cell r="J2853">
            <v>0</v>
          </cell>
        </row>
        <row r="2854">
          <cell r="B2854" t="str">
            <v>7.1.04.05</v>
          </cell>
          <cell r="C2854" t="str">
            <v>Jasa Giro-LO</v>
          </cell>
          <cell r="D2854">
            <v>26093577602.810001</v>
          </cell>
          <cell r="E2854">
            <v>24260754002.98</v>
          </cell>
          <cell r="F2854"/>
          <cell r="G2854"/>
          <cell r="H2854"/>
          <cell r="I2854"/>
          <cell r="J2854">
            <v>24260754002.98</v>
          </cell>
        </row>
        <row r="2855">
          <cell r="B2855" t="str">
            <v>7.1.04.05.01</v>
          </cell>
          <cell r="C2855" t="str">
            <v>Jasa Giro pada Kas Daerah-LO</v>
          </cell>
          <cell r="D2855">
            <v>25979140821.720001</v>
          </cell>
          <cell r="E2855">
            <v>24191417348.369999</v>
          </cell>
          <cell r="F2855">
            <v>0</v>
          </cell>
          <cell r="G2855">
            <v>0</v>
          </cell>
          <cell r="H2855">
            <v>0</v>
          </cell>
          <cell r="I2855">
            <v>0</v>
          </cell>
          <cell r="J2855">
            <v>24191417348.369999</v>
          </cell>
        </row>
        <row r="2856">
          <cell r="B2856" t="str">
            <v>7.1.04.05.02</v>
          </cell>
          <cell r="C2856" t="str">
            <v>Jasa Giro pada Kas di Bendahara-LO</v>
          </cell>
          <cell r="D2856">
            <v>114436781.09</v>
          </cell>
          <cell r="E2856">
            <v>69336654.609999999</v>
          </cell>
          <cell r="F2856">
            <v>0</v>
          </cell>
          <cell r="G2856">
            <v>0</v>
          </cell>
          <cell r="H2856">
            <v>0</v>
          </cell>
          <cell r="I2856">
            <v>0</v>
          </cell>
          <cell r="J2856">
            <v>69336654.609999999</v>
          </cell>
        </row>
        <row r="2857">
          <cell r="B2857" t="str">
            <v>7.1.04.05.03</v>
          </cell>
          <cell r="C2857" t="str">
            <v>Jasa Giro pada Rekening Dana Cadangan-LO</v>
          </cell>
          <cell r="D2857">
            <v>0</v>
          </cell>
          <cell r="E2857">
            <v>0</v>
          </cell>
          <cell r="F2857">
            <v>0</v>
          </cell>
          <cell r="G2857">
            <v>0</v>
          </cell>
          <cell r="H2857">
            <v>0</v>
          </cell>
          <cell r="I2857">
            <v>0</v>
          </cell>
          <cell r="J2857">
            <v>0</v>
          </cell>
        </row>
        <row r="2858">
          <cell r="B2858" t="str">
            <v>7.1.04.05.04</v>
          </cell>
          <cell r="C2858" t="str">
            <v>Jasa Giro pada Rekening Dana BOS-LO</v>
          </cell>
          <cell r="D2858">
            <v>0</v>
          </cell>
          <cell r="E2858">
            <v>0</v>
          </cell>
          <cell r="F2858">
            <v>0</v>
          </cell>
          <cell r="G2858">
            <v>0</v>
          </cell>
          <cell r="H2858">
            <v>0</v>
          </cell>
          <cell r="I2858">
            <v>0</v>
          </cell>
          <cell r="J2858">
            <v>0</v>
          </cell>
        </row>
        <row r="2859">
          <cell r="B2859" t="str">
            <v>7.1.04.05.05</v>
          </cell>
          <cell r="C2859" t="str">
            <v>Jasa Giro Dana Kapitasi pada FKTP-LO</v>
          </cell>
          <cell r="D2859">
            <v>0</v>
          </cell>
          <cell r="E2859">
            <v>0</v>
          </cell>
          <cell r="F2859">
            <v>0</v>
          </cell>
          <cell r="G2859">
            <v>0</v>
          </cell>
          <cell r="H2859">
            <v>0</v>
          </cell>
          <cell r="I2859">
            <v>0</v>
          </cell>
          <cell r="J2859">
            <v>0</v>
          </cell>
        </row>
        <row r="2860">
          <cell r="B2860" t="str">
            <v>7.1.04.05.06</v>
          </cell>
          <cell r="C2860" t="str">
            <v>Pendapatan Jasa Giro pada Rekening Dana BOSP-LO</v>
          </cell>
          <cell r="D2860">
            <v>0</v>
          </cell>
          <cell r="E2860">
            <v>0</v>
          </cell>
          <cell r="F2860">
            <v>0</v>
          </cell>
          <cell r="G2860">
            <v>0</v>
          </cell>
          <cell r="H2860">
            <v>0</v>
          </cell>
          <cell r="I2860">
            <v>0</v>
          </cell>
          <cell r="J2860">
            <v>0</v>
          </cell>
        </row>
        <row r="2861">
          <cell r="B2861" t="str">
            <v>7.1.04.05.07</v>
          </cell>
          <cell r="C2861" t="str">
            <v>Pendapatan Jasa Giro pada Rekening Dana BOK Puskesmas-LO</v>
          </cell>
          <cell r="D2861">
            <v>0</v>
          </cell>
          <cell r="E2861">
            <v>0</v>
          </cell>
          <cell r="F2861">
            <v>0</v>
          </cell>
          <cell r="G2861">
            <v>0</v>
          </cell>
          <cell r="H2861">
            <v>0</v>
          </cell>
          <cell r="I2861">
            <v>0</v>
          </cell>
          <cell r="J2861">
            <v>0</v>
          </cell>
        </row>
        <row r="2862">
          <cell r="B2862" t="str">
            <v>7.1.04.05.08</v>
          </cell>
          <cell r="C2862" t="str">
            <v>Jasa Giro pada Rekening Kas Otonomi Khusus-LO</v>
          </cell>
          <cell r="D2862">
            <v>0</v>
          </cell>
          <cell r="E2862">
            <v>0</v>
          </cell>
          <cell r="F2862">
            <v>0</v>
          </cell>
          <cell r="G2862">
            <v>0</v>
          </cell>
          <cell r="H2862">
            <v>0</v>
          </cell>
          <cell r="I2862">
            <v>0</v>
          </cell>
          <cell r="J2862">
            <v>0</v>
          </cell>
        </row>
        <row r="2863">
          <cell r="B2863" t="str">
            <v>7.1.04.05.09</v>
          </cell>
          <cell r="C2863" t="str">
            <v>Jasa Giro pada Rekening Kas Dana Abadi Daerah-LO</v>
          </cell>
          <cell r="D2863">
            <v>0</v>
          </cell>
          <cell r="E2863">
            <v>0</v>
          </cell>
          <cell r="F2863">
            <v>0</v>
          </cell>
          <cell r="G2863">
            <v>0</v>
          </cell>
          <cell r="H2863">
            <v>0</v>
          </cell>
          <cell r="I2863">
            <v>0</v>
          </cell>
          <cell r="J2863">
            <v>0</v>
          </cell>
        </row>
        <row r="2864">
          <cell r="B2864" t="str">
            <v>7.1.04.06</v>
          </cell>
          <cell r="C2864" t="str">
            <v>Hasil Pengelolaan Dana Bergulir-LO</v>
          </cell>
          <cell r="D2864">
            <v>0</v>
          </cell>
          <cell r="E2864">
            <v>0</v>
          </cell>
          <cell r="F2864"/>
          <cell r="G2864"/>
          <cell r="H2864"/>
          <cell r="I2864"/>
          <cell r="J2864">
            <v>0</v>
          </cell>
        </row>
        <row r="2865">
          <cell r="B2865" t="str">
            <v>7.1.04.06.01</v>
          </cell>
          <cell r="C2865" t="str">
            <v>Hasil Pengelolaan Dana Bergulir-LO</v>
          </cell>
          <cell r="D2865">
            <v>0</v>
          </cell>
          <cell r="E2865">
            <v>0</v>
          </cell>
          <cell r="F2865">
            <v>0</v>
          </cell>
          <cell r="G2865">
            <v>0</v>
          </cell>
          <cell r="H2865">
            <v>0</v>
          </cell>
          <cell r="I2865">
            <v>0</v>
          </cell>
          <cell r="J2865">
            <v>0</v>
          </cell>
        </row>
        <row r="2866">
          <cell r="B2866" t="str">
            <v>7.1.04.07</v>
          </cell>
          <cell r="C2866" t="str">
            <v>Pendapatan Bunga-LO</v>
          </cell>
          <cell r="D2866">
            <v>11596916777.93</v>
          </cell>
          <cell r="E2866">
            <v>13103973878.43</v>
          </cell>
          <cell r="F2866"/>
          <cell r="G2866"/>
          <cell r="H2866"/>
          <cell r="I2866"/>
          <cell r="J2866">
            <v>13103973878.43</v>
          </cell>
        </row>
        <row r="2867">
          <cell r="B2867" t="str">
            <v>7.1.04.07.01</v>
          </cell>
          <cell r="C2867" t="str">
            <v>Pendapatan Bunga atas Penempatan Uang Pemerintah Daerah-LO</v>
          </cell>
          <cell r="D2867">
            <v>11596916777.93</v>
          </cell>
          <cell r="E2867">
            <v>13103973878.43</v>
          </cell>
          <cell r="F2867">
            <v>0</v>
          </cell>
          <cell r="G2867">
            <v>0</v>
          </cell>
          <cell r="H2867">
            <v>0</v>
          </cell>
          <cell r="I2867">
            <v>0</v>
          </cell>
          <cell r="J2867">
            <v>13103973878.43</v>
          </cell>
        </row>
        <row r="2868">
          <cell r="B2868" t="str">
            <v>7.1.04.08</v>
          </cell>
          <cell r="C2868" t="str">
            <v>Penerimaan atas Tuntutan Ganti Kerugian Keuangan Daerah-LO</v>
          </cell>
          <cell r="D2868">
            <v>1470701124</v>
          </cell>
          <cell r="E2868">
            <v>164645125</v>
          </cell>
          <cell r="F2868"/>
          <cell r="G2868"/>
          <cell r="H2868"/>
          <cell r="I2868"/>
          <cell r="J2868">
            <v>164645125</v>
          </cell>
        </row>
        <row r="2869">
          <cell r="B2869" t="str">
            <v>7.1.04.08.01</v>
          </cell>
          <cell r="C2869" t="str">
            <v>Tuntutan Ganti Kerugian Daerah terhadap Bendahara-LO</v>
          </cell>
          <cell r="D2869">
            <v>0</v>
          </cell>
          <cell r="E2869">
            <v>164645125</v>
          </cell>
          <cell r="F2869">
            <v>0</v>
          </cell>
          <cell r="G2869">
            <v>0</v>
          </cell>
          <cell r="H2869">
            <v>0</v>
          </cell>
          <cell r="I2869">
            <v>0</v>
          </cell>
          <cell r="J2869">
            <v>164645125</v>
          </cell>
        </row>
        <row r="2870">
          <cell r="B2870" t="str">
            <v>7.1.04.08.02</v>
          </cell>
          <cell r="C2870" t="str">
            <v>Tuntutan Ganti Kerugian Daerah terhadap Pegawai Negeri Bukan Bendahara atau Pejabat Lain-LO</v>
          </cell>
          <cell r="D2870">
            <v>1470701124</v>
          </cell>
          <cell r="E2870">
            <v>0</v>
          </cell>
          <cell r="F2870">
            <v>0</v>
          </cell>
          <cell r="G2870">
            <v>0</v>
          </cell>
          <cell r="H2870">
            <v>0</v>
          </cell>
          <cell r="I2870">
            <v>0</v>
          </cell>
          <cell r="J2870">
            <v>0</v>
          </cell>
        </row>
        <row r="2871">
          <cell r="B2871" t="str">
            <v>7.1.04.09</v>
          </cell>
          <cell r="C2871" t="str">
            <v>Penerimaan Komisi, Potongan, atau Bentuk Lain-LO</v>
          </cell>
          <cell r="D2871">
            <v>0</v>
          </cell>
          <cell r="E2871">
            <v>0</v>
          </cell>
          <cell r="F2871"/>
          <cell r="G2871"/>
          <cell r="H2871"/>
          <cell r="I2871"/>
          <cell r="J2871">
            <v>0</v>
          </cell>
        </row>
        <row r="2872">
          <cell r="B2872" t="str">
            <v>7.1.04.09.01</v>
          </cell>
          <cell r="C2872" t="str">
            <v>Penerimaan Komisi, Potongan, atau Bentuk Lain-LO</v>
          </cell>
          <cell r="D2872">
            <v>0</v>
          </cell>
          <cell r="E2872">
            <v>0</v>
          </cell>
          <cell r="F2872">
            <v>0</v>
          </cell>
          <cell r="G2872">
            <v>0</v>
          </cell>
          <cell r="H2872">
            <v>0</v>
          </cell>
          <cell r="I2872">
            <v>0</v>
          </cell>
          <cell r="J2872">
            <v>0</v>
          </cell>
        </row>
        <row r="2873">
          <cell r="B2873" t="str">
            <v>7.1.04.10</v>
          </cell>
          <cell r="C2873" t="str">
            <v>Penerimaan Keuntungan dari Selisih Nilai Tukar Rupiah terhadap Mata Uang Asing-LO</v>
          </cell>
          <cell r="D2873">
            <v>0</v>
          </cell>
          <cell r="E2873">
            <v>0</v>
          </cell>
          <cell r="F2873"/>
          <cell r="G2873"/>
          <cell r="H2873"/>
          <cell r="I2873"/>
          <cell r="J2873">
            <v>0</v>
          </cell>
        </row>
        <row r="2874">
          <cell r="B2874" t="str">
            <v>7.1.04.10.01</v>
          </cell>
          <cell r="C2874" t="str">
            <v>Penerimaan Keuntungan dari Selisih Nilai Tukar Rupiah terhadap Mata Uang Asing-LO</v>
          </cell>
          <cell r="D2874">
            <v>0</v>
          </cell>
          <cell r="E2874">
            <v>0</v>
          </cell>
          <cell r="F2874">
            <v>0</v>
          </cell>
          <cell r="G2874">
            <v>0</v>
          </cell>
          <cell r="H2874">
            <v>0</v>
          </cell>
          <cell r="I2874">
            <v>0</v>
          </cell>
          <cell r="J2874">
            <v>0</v>
          </cell>
        </row>
        <row r="2875">
          <cell r="B2875" t="str">
            <v>7.1.04.11</v>
          </cell>
          <cell r="C2875" t="str">
            <v>Pendapatan Denda atas Keterlambatan Pelaksanaan Pekerjaan-LO</v>
          </cell>
          <cell r="D2875">
            <v>1204673874</v>
          </cell>
          <cell r="E2875">
            <v>3087448465</v>
          </cell>
          <cell r="F2875"/>
          <cell r="G2875"/>
          <cell r="H2875"/>
          <cell r="I2875"/>
          <cell r="J2875">
            <v>3087448465</v>
          </cell>
        </row>
        <row r="2876">
          <cell r="B2876" t="str">
            <v>7.1.04.11.01</v>
          </cell>
          <cell r="C2876" t="str">
            <v>Pendapatan Denda atas Keterlambatan Pelaksanaan Pekerjaan-LO</v>
          </cell>
          <cell r="D2876">
            <v>1204673874</v>
          </cell>
          <cell r="E2876">
            <v>3087448465</v>
          </cell>
          <cell r="F2876">
            <v>0</v>
          </cell>
          <cell r="G2876">
            <v>0</v>
          </cell>
          <cell r="H2876">
            <v>0</v>
          </cell>
          <cell r="I2876">
            <v>0</v>
          </cell>
          <cell r="J2876">
            <v>3087448465</v>
          </cell>
        </row>
        <row r="2877">
          <cell r="B2877" t="str">
            <v>7.1.04.12</v>
          </cell>
          <cell r="C2877" t="str">
            <v>Pendapatan Denda Pajak Daerah-LO</v>
          </cell>
          <cell r="D2877">
            <v>211575812</v>
          </cell>
          <cell r="E2877">
            <v>1503092744</v>
          </cell>
          <cell r="F2877"/>
          <cell r="G2877"/>
          <cell r="H2877"/>
          <cell r="I2877"/>
          <cell r="J2877">
            <v>1503092744</v>
          </cell>
        </row>
        <row r="2878">
          <cell r="B2878" t="str">
            <v>7.1.04.12.01</v>
          </cell>
          <cell r="C2878" t="str">
            <v>Pendapatan Denda Pajak Kendaraan Bermotor (PKB)-LO</v>
          </cell>
          <cell r="D2878">
            <v>0</v>
          </cell>
          <cell r="E2878">
            <v>0</v>
          </cell>
          <cell r="F2878">
            <v>0</v>
          </cell>
          <cell r="G2878">
            <v>0</v>
          </cell>
          <cell r="H2878">
            <v>0</v>
          </cell>
          <cell r="I2878">
            <v>0</v>
          </cell>
          <cell r="J2878">
            <v>0</v>
          </cell>
        </row>
        <row r="2879">
          <cell r="B2879" t="str">
            <v>7.1.04.12.02</v>
          </cell>
          <cell r="C2879" t="str">
            <v>Pendapatan Denda Bea Balik Nama Kendaraan Bermotor (BBNKB)-LO</v>
          </cell>
          <cell r="D2879">
            <v>0</v>
          </cell>
          <cell r="E2879">
            <v>0</v>
          </cell>
          <cell r="F2879">
            <v>0</v>
          </cell>
          <cell r="G2879">
            <v>0</v>
          </cell>
          <cell r="H2879">
            <v>0</v>
          </cell>
          <cell r="I2879">
            <v>0</v>
          </cell>
          <cell r="J2879">
            <v>0</v>
          </cell>
        </row>
        <row r="2880">
          <cell r="B2880" t="str">
            <v>7.1.04.12.03</v>
          </cell>
          <cell r="C2880" t="str">
            <v>Pendapatan Denda Pajak Bahan Bakar Kendaraan Bermotor (PBBKB)-LO</v>
          </cell>
          <cell r="D2880">
            <v>0</v>
          </cell>
          <cell r="E2880">
            <v>0</v>
          </cell>
          <cell r="F2880">
            <v>0</v>
          </cell>
          <cell r="G2880">
            <v>0</v>
          </cell>
          <cell r="H2880">
            <v>0</v>
          </cell>
          <cell r="I2880">
            <v>0</v>
          </cell>
          <cell r="J2880">
            <v>0</v>
          </cell>
        </row>
        <row r="2881">
          <cell r="B2881" t="str">
            <v>7.1.04.12.04</v>
          </cell>
          <cell r="C2881" t="str">
            <v>Pendapatan Denda Pajak Air Permukaan-LO</v>
          </cell>
          <cell r="D2881">
            <v>0</v>
          </cell>
          <cell r="E2881">
            <v>0</v>
          </cell>
          <cell r="F2881">
            <v>0</v>
          </cell>
          <cell r="G2881">
            <v>0</v>
          </cell>
          <cell r="H2881">
            <v>0</v>
          </cell>
          <cell r="I2881">
            <v>0</v>
          </cell>
          <cell r="J2881">
            <v>0</v>
          </cell>
        </row>
        <row r="2882">
          <cell r="B2882" t="str">
            <v>7.1.04.12.05</v>
          </cell>
          <cell r="C2882" t="str">
            <v>Pendapatan Denda Pajak Rokok-LO</v>
          </cell>
          <cell r="D2882">
            <v>0</v>
          </cell>
          <cell r="E2882">
            <v>0</v>
          </cell>
          <cell r="F2882">
            <v>0</v>
          </cell>
          <cell r="G2882">
            <v>0</v>
          </cell>
          <cell r="H2882">
            <v>0</v>
          </cell>
          <cell r="I2882">
            <v>0</v>
          </cell>
          <cell r="J2882">
            <v>0</v>
          </cell>
        </row>
        <row r="2883">
          <cell r="B2883" t="str">
            <v>7.1.04.12.06</v>
          </cell>
          <cell r="C2883" t="str">
            <v>Pendapatan Denda Pajak Hotel-LO</v>
          </cell>
          <cell r="D2883">
            <v>4727869</v>
          </cell>
          <cell r="E2883">
            <v>0</v>
          </cell>
          <cell r="F2883">
            <v>0</v>
          </cell>
          <cell r="G2883">
            <v>0</v>
          </cell>
          <cell r="H2883">
            <v>0</v>
          </cell>
          <cell r="I2883">
            <v>0</v>
          </cell>
          <cell r="J2883">
            <v>0</v>
          </cell>
        </row>
        <row r="2884">
          <cell r="B2884" t="str">
            <v>7.1.04.12.07</v>
          </cell>
          <cell r="C2884" t="str">
            <v>Pendapatan Denda Pajak Restoran-LO</v>
          </cell>
          <cell r="D2884">
            <v>126279461</v>
          </cell>
          <cell r="E2884">
            <v>0</v>
          </cell>
          <cell r="F2884">
            <v>0</v>
          </cell>
          <cell r="G2884">
            <v>0</v>
          </cell>
          <cell r="H2884">
            <v>0</v>
          </cell>
          <cell r="I2884">
            <v>0</v>
          </cell>
          <cell r="J2884">
            <v>0</v>
          </cell>
        </row>
        <row r="2885">
          <cell r="B2885" t="str">
            <v>7.1.04.12.08</v>
          </cell>
          <cell r="C2885" t="str">
            <v>Pendapatan Denda Pajak Hiburan-LO</v>
          </cell>
          <cell r="D2885">
            <v>15000</v>
          </cell>
          <cell r="E2885">
            <v>0</v>
          </cell>
          <cell r="F2885">
            <v>0</v>
          </cell>
          <cell r="G2885">
            <v>0</v>
          </cell>
          <cell r="H2885">
            <v>0</v>
          </cell>
          <cell r="I2885">
            <v>0</v>
          </cell>
          <cell r="J2885">
            <v>0</v>
          </cell>
        </row>
        <row r="2886">
          <cell r="B2886" t="str">
            <v>7.1.04.12.09</v>
          </cell>
          <cell r="C2886" t="str">
            <v>Pendapatan Denda Pajak Reklame-LO</v>
          </cell>
          <cell r="D2886">
            <v>0</v>
          </cell>
          <cell r="E2886">
            <v>991250</v>
          </cell>
          <cell r="F2886">
            <v>0</v>
          </cell>
          <cell r="G2886">
            <v>0</v>
          </cell>
          <cell r="H2886">
            <v>0</v>
          </cell>
          <cell r="I2886">
            <v>0</v>
          </cell>
          <cell r="J2886">
            <v>991250</v>
          </cell>
        </row>
        <row r="2887">
          <cell r="B2887" t="str">
            <v>7.1.04.12.10</v>
          </cell>
          <cell r="C2887" t="str">
            <v>Pendapatan Denda Pajak Penerangan Jalan-LO</v>
          </cell>
          <cell r="D2887">
            <v>0</v>
          </cell>
          <cell r="E2887">
            <v>0</v>
          </cell>
          <cell r="F2887">
            <v>0</v>
          </cell>
          <cell r="G2887">
            <v>0</v>
          </cell>
          <cell r="H2887">
            <v>0</v>
          </cell>
          <cell r="I2887">
            <v>0</v>
          </cell>
          <cell r="J2887">
            <v>0</v>
          </cell>
        </row>
        <row r="2888">
          <cell r="B2888" t="str">
            <v>7.1.04.12.11</v>
          </cell>
          <cell r="C2888" t="str">
            <v>Pendapatan Denda Pajak Parkir-LO</v>
          </cell>
          <cell r="D2888">
            <v>267399</v>
          </cell>
          <cell r="E2888">
            <v>470373</v>
          </cell>
          <cell r="F2888">
            <v>0</v>
          </cell>
          <cell r="G2888">
            <v>0</v>
          </cell>
          <cell r="H2888">
            <v>0</v>
          </cell>
          <cell r="I2888">
            <v>0</v>
          </cell>
          <cell r="J2888">
            <v>470373</v>
          </cell>
        </row>
        <row r="2889">
          <cell r="B2889" t="str">
            <v>7.1.04.12.12</v>
          </cell>
          <cell r="C2889" t="str">
            <v>Pendapatan Denda Pajak Air Tanah-LO</v>
          </cell>
          <cell r="D2889">
            <v>40190</v>
          </cell>
          <cell r="E2889">
            <v>180684203</v>
          </cell>
          <cell r="F2889">
            <v>0</v>
          </cell>
          <cell r="G2889">
            <v>0</v>
          </cell>
          <cell r="H2889">
            <v>0</v>
          </cell>
          <cell r="I2889">
            <v>0</v>
          </cell>
          <cell r="J2889">
            <v>180684203</v>
          </cell>
        </row>
        <row r="2890">
          <cell r="B2890" t="str">
            <v>7.1.04.12.13</v>
          </cell>
          <cell r="C2890" t="str">
            <v>Pendapatan Denda Pajak Sarang Burung Walet-LO</v>
          </cell>
          <cell r="D2890">
            <v>0</v>
          </cell>
          <cell r="E2890">
            <v>0</v>
          </cell>
          <cell r="F2890">
            <v>0</v>
          </cell>
          <cell r="G2890">
            <v>0</v>
          </cell>
          <cell r="H2890">
            <v>0</v>
          </cell>
          <cell r="I2890">
            <v>0</v>
          </cell>
          <cell r="J2890">
            <v>0</v>
          </cell>
        </row>
        <row r="2891">
          <cell r="B2891" t="str">
            <v>7.1.04.12.14</v>
          </cell>
          <cell r="C2891" t="str">
            <v>Pendapatan Denda Pajak Mineral Bukan Logam dan Batuan-LO</v>
          </cell>
          <cell r="D2891">
            <v>2146440</v>
          </cell>
          <cell r="E2891">
            <v>5797956</v>
          </cell>
          <cell r="F2891">
            <v>0</v>
          </cell>
          <cell r="G2891">
            <v>0</v>
          </cell>
          <cell r="H2891">
            <v>0</v>
          </cell>
          <cell r="I2891">
            <v>0</v>
          </cell>
          <cell r="J2891">
            <v>5797956</v>
          </cell>
        </row>
        <row r="2892">
          <cell r="B2892" t="str">
            <v>7.1.04.12.15</v>
          </cell>
          <cell r="C2892" t="str">
            <v>Pendapatan Denda Pajak Bumi dan Bangunan Perdesaan dan Perkotaan (PBBP2)-LO</v>
          </cell>
          <cell r="D2892">
            <v>78099453</v>
          </cell>
          <cell r="E2892">
            <v>38812567</v>
          </cell>
          <cell r="F2892">
            <v>0</v>
          </cell>
          <cell r="G2892">
            <v>0</v>
          </cell>
          <cell r="H2892">
            <v>0</v>
          </cell>
          <cell r="I2892">
            <v>0</v>
          </cell>
          <cell r="J2892">
            <v>38812567</v>
          </cell>
        </row>
        <row r="2893">
          <cell r="B2893" t="str">
            <v>7.1.04.12.16</v>
          </cell>
          <cell r="C2893" t="str">
            <v>Pendapatan Denda Bea Perolehan Hak atas Tanah dan Bangunan (BPHTB)-LO</v>
          </cell>
          <cell r="D2893">
            <v>0</v>
          </cell>
          <cell r="E2893">
            <v>0</v>
          </cell>
          <cell r="F2893">
            <v>0</v>
          </cell>
          <cell r="G2893">
            <v>0</v>
          </cell>
          <cell r="H2893">
            <v>0</v>
          </cell>
          <cell r="I2893">
            <v>0</v>
          </cell>
          <cell r="J2893">
            <v>0</v>
          </cell>
        </row>
        <row r="2894">
          <cell r="B2894" t="str">
            <v>7.1.04.12.17</v>
          </cell>
          <cell r="C2894" t="str">
            <v>Pendapatan Denda Pajak Alat Berat-LO</v>
          </cell>
          <cell r="D2894">
            <v>0</v>
          </cell>
          <cell r="E2894">
            <v>0</v>
          </cell>
          <cell r="F2894">
            <v>0</v>
          </cell>
          <cell r="G2894">
            <v>0</v>
          </cell>
          <cell r="H2894">
            <v>0</v>
          </cell>
          <cell r="I2894">
            <v>0</v>
          </cell>
          <cell r="J2894">
            <v>0</v>
          </cell>
        </row>
        <row r="2895">
          <cell r="B2895" t="str">
            <v>7.1.04.12.18</v>
          </cell>
          <cell r="C2895" t="str">
            <v>Pendapatan Denda Opsen Pajak Mineral Bukan Logam dan Batuan (MBLB)-LO</v>
          </cell>
          <cell r="D2895">
            <v>0</v>
          </cell>
          <cell r="E2895">
            <v>0</v>
          </cell>
          <cell r="F2895">
            <v>0</v>
          </cell>
          <cell r="G2895">
            <v>0</v>
          </cell>
          <cell r="H2895">
            <v>0</v>
          </cell>
          <cell r="I2895">
            <v>0</v>
          </cell>
          <cell r="J2895">
            <v>0</v>
          </cell>
        </row>
        <row r="2896">
          <cell r="B2896" t="str">
            <v>7.1.04.12.19</v>
          </cell>
          <cell r="C2896" t="str">
            <v>Pendapatan Denda Pajak Barang dan Jasa Tertentu (PBJT)-LO</v>
          </cell>
          <cell r="D2896">
            <v>0</v>
          </cell>
          <cell r="E2896">
            <v>1189207282</v>
          </cell>
          <cell r="F2896">
            <v>0</v>
          </cell>
          <cell r="G2896">
            <v>0</v>
          </cell>
          <cell r="H2896">
            <v>0</v>
          </cell>
          <cell r="I2896">
            <v>0</v>
          </cell>
          <cell r="J2896">
            <v>1189207282</v>
          </cell>
        </row>
        <row r="2897">
          <cell r="B2897" t="str">
            <v>7.1.04.12.20</v>
          </cell>
          <cell r="C2897" t="str">
            <v>Pendapatan Denda Opsen Pajak Kendaraan Bermotor (PKB)-LO</v>
          </cell>
          <cell r="D2897">
            <v>0</v>
          </cell>
          <cell r="E2897">
            <v>85465925</v>
          </cell>
          <cell r="F2897">
            <v>0</v>
          </cell>
          <cell r="G2897">
            <v>0</v>
          </cell>
          <cell r="H2897">
            <v>0</v>
          </cell>
          <cell r="I2897">
            <v>0</v>
          </cell>
          <cell r="J2897">
            <v>85465925</v>
          </cell>
        </row>
        <row r="2898">
          <cell r="B2898" t="str">
            <v>7.1.04.12.21</v>
          </cell>
          <cell r="C2898" t="str">
            <v>Pendapatan Denda Opsen Bea Balik Nama Kendaraan Bermotor (BBNKB)-LO</v>
          </cell>
          <cell r="D2898">
            <v>0</v>
          </cell>
          <cell r="E2898">
            <v>1663188</v>
          </cell>
          <cell r="F2898">
            <v>0</v>
          </cell>
          <cell r="G2898">
            <v>0</v>
          </cell>
          <cell r="H2898">
            <v>0</v>
          </cell>
          <cell r="I2898">
            <v>0</v>
          </cell>
          <cell r="J2898">
            <v>1663188</v>
          </cell>
        </row>
        <row r="2899">
          <cell r="B2899" t="str">
            <v>7.1.04.13</v>
          </cell>
          <cell r="C2899" t="str">
            <v>Pendapatan Denda Retribusi Daerah-LO</v>
          </cell>
          <cell r="D2899">
            <v>70000000</v>
          </cell>
          <cell r="E2899">
            <v>0</v>
          </cell>
          <cell r="F2899"/>
          <cell r="G2899"/>
          <cell r="H2899"/>
          <cell r="I2899"/>
          <cell r="J2899">
            <v>0</v>
          </cell>
        </row>
        <row r="2900">
          <cell r="B2900" t="str">
            <v>7.1.04.13.01</v>
          </cell>
          <cell r="C2900" t="str">
            <v>Pendapatan Denda Retribusi Jasa Umum-LO</v>
          </cell>
          <cell r="D2900">
            <v>0</v>
          </cell>
          <cell r="E2900">
            <v>0</v>
          </cell>
          <cell r="F2900">
            <v>0</v>
          </cell>
          <cell r="G2900">
            <v>0</v>
          </cell>
          <cell r="H2900">
            <v>0</v>
          </cell>
          <cell r="I2900">
            <v>0</v>
          </cell>
          <cell r="J2900">
            <v>0</v>
          </cell>
        </row>
        <row r="2901">
          <cell r="B2901" t="str">
            <v>7.1.04.13.02</v>
          </cell>
          <cell r="C2901" t="str">
            <v>Pendapatan Denda Retribusi Jasa Usaha-LO</v>
          </cell>
          <cell r="D2901">
            <v>0</v>
          </cell>
          <cell r="E2901">
            <v>0</v>
          </cell>
          <cell r="F2901">
            <v>0</v>
          </cell>
          <cell r="G2901">
            <v>0</v>
          </cell>
          <cell r="H2901">
            <v>0</v>
          </cell>
          <cell r="I2901">
            <v>0</v>
          </cell>
          <cell r="J2901">
            <v>0</v>
          </cell>
        </row>
        <row r="2902">
          <cell r="B2902" t="str">
            <v>7.1.04.13.03</v>
          </cell>
          <cell r="C2902" t="str">
            <v>Pendapatan Denda Retribusi Perizinan Tertentu-LO</v>
          </cell>
          <cell r="D2902">
            <v>70000000</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F2903"/>
          <cell r="G2903"/>
          <cell r="H2903"/>
          <cell r="I2903"/>
          <cell r="J2903">
            <v>0</v>
          </cell>
        </row>
        <row r="2904">
          <cell r="B2904" t="str">
            <v>7.1.04.14.01</v>
          </cell>
          <cell r="C2904" t="str">
            <v>Hasil Eksekusi atas Jaminan atas Pengadaan Barang/Jasa-LO</v>
          </cell>
          <cell r="D2904">
            <v>0</v>
          </cell>
          <cell r="E2904">
            <v>0</v>
          </cell>
          <cell r="F2904">
            <v>0</v>
          </cell>
          <cell r="G2904">
            <v>0</v>
          </cell>
          <cell r="H2904">
            <v>0</v>
          </cell>
          <cell r="I2904">
            <v>0</v>
          </cell>
          <cell r="J2904">
            <v>0</v>
          </cell>
        </row>
        <row r="2905">
          <cell r="B2905" t="str">
            <v>7.1.04.15</v>
          </cell>
          <cell r="C2905" t="str">
            <v>Pendapatan dari Pengembalian-LO</v>
          </cell>
          <cell r="D2905">
            <v>1888571840</v>
          </cell>
          <cell r="E2905">
            <v>2068877664.3099999</v>
          </cell>
          <cell r="F2905"/>
          <cell r="G2905"/>
          <cell r="H2905"/>
          <cell r="I2905"/>
          <cell r="J2905">
            <v>2082014041.3099999</v>
          </cell>
        </row>
        <row r="2906">
          <cell r="B2906" t="str">
            <v>7.1.04.15.01</v>
          </cell>
          <cell r="C2906" t="str">
            <v>Pendapatan dari Pengembalian Kelebihan Pembayaran Pajak Penghasilan Pasal 21-LO</v>
          </cell>
          <cell r="D2906">
            <v>0</v>
          </cell>
          <cell r="E2906">
            <v>0</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D2907">
            <v>0</v>
          </cell>
          <cell r="E2907">
            <v>0</v>
          </cell>
          <cell r="F2907">
            <v>0</v>
          </cell>
          <cell r="G2907">
            <v>0</v>
          </cell>
          <cell r="H2907">
            <v>0</v>
          </cell>
          <cell r="I2907">
            <v>0</v>
          </cell>
          <cell r="J2907">
            <v>0</v>
          </cell>
        </row>
        <row r="2908">
          <cell r="B2908" t="str">
            <v>7.1.04.15.03</v>
          </cell>
          <cell r="C2908" t="str">
            <v>Pendapatan dari Pengembalian Kelebihan Pembayaran Gaji dan Tunjangan-LO</v>
          </cell>
          <cell r="D2908">
            <v>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0</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D2910">
            <v>0</v>
          </cell>
          <cell r="E2910">
            <v>0</v>
          </cell>
          <cell r="F2910">
            <v>0</v>
          </cell>
          <cell r="G2910">
            <v>0</v>
          </cell>
          <cell r="H2910">
            <v>0</v>
          </cell>
          <cell r="I2910">
            <v>0</v>
          </cell>
          <cell r="J2910">
            <v>0</v>
          </cell>
        </row>
        <row r="2911">
          <cell r="B2911" t="str">
            <v>7.1.04.15.06</v>
          </cell>
          <cell r="C2911" t="str">
            <v>Pendapatan dari Pengembalian Kelebihan Pembayaran Jaminan Kematian (JKM)-LO</v>
          </cell>
          <cell r="D2911">
            <v>0</v>
          </cell>
          <cell r="E2911">
            <v>0</v>
          </cell>
          <cell r="F2911">
            <v>0</v>
          </cell>
          <cell r="G2911">
            <v>0</v>
          </cell>
          <cell r="H2911">
            <v>0</v>
          </cell>
          <cell r="I2911">
            <v>0</v>
          </cell>
          <cell r="J2911">
            <v>0</v>
          </cell>
        </row>
        <row r="2912">
          <cell r="B2912" t="str">
            <v>7.1.04.15.07</v>
          </cell>
          <cell r="C2912" t="str">
            <v>Pendapatan dari Pengembalian Kelebihan Pembayaran Jaminan Kesehatan Nasional (JKN)-LO</v>
          </cell>
          <cell r="D2912">
            <v>0</v>
          </cell>
          <cell r="E2912">
            <v>0</v>
          </cell>
          <cell r="F2912">
            <v>0</v>
          </cell>
          <cell r="G2912">
            <v>0</v>
          </cell>
          <cell r="H2912">
            <v>0</v>
          </cell>
          <cell r="I2912">
            <v>0</v>
          </cell>
          <cell r="J2912">
            <v>0</v>
          </cell>
        </row>
        <row r="2913">
          <cell r="B2913" t="str">
            <v>7.1.04.15.08</v>
          </cell>
          <cell r="C2913" t="str">
            <v>Pendapatan dari Pengembalian Kelebihan Pembayaran Belanja Gaji dan Tunjangan ASN-LO</v>
          </cell>
          <cell r="D2913">
            <v>1000000</v>
          </cell>
          <cell r="E2913">
            <v>0</v>
          </cell>
          <cell r="F2913">
            <v>0</v>
          </cell>
          <cell r="G2913">
            <v>0</v>
          </cell>
          <cell r="H2913">
            <v>0</v>
          </cell>
          <cell r="I2913">
            <v>0</v>
          </cell>
          <cell r="J2913">
            <v>0</v>
          </cell>
        </row>
        <row r="2914">
          <cell r="B2914" t="str">
            <v>7.1.04.15.09</v>
          </cell>
          <cell r="C2914" t="str">
            <v>Pendapatan dari Pengembalian Kelebihan Pembayaran Belanja Tambahan Penghasilan ASN-LO</v>
          </cell>
          <cell r="D2914">
            <v>0</v>
          </cell>
          <cell r="E2914">
            <v>0</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D2915">
            <v>0</v>
          </cell>
          <cell r="E2915">
            <v>0</v>
          </cell>
          <cell r="F2915">
            <v>0</v>
          </cell>
          <cell r="G2915">
            <v>0</v>
          </cell>
          <cell r="H2915">
            <v>0</v>
          </cell>
          <cell r="I2915">
            <v>0</v>
          </cell>
          <cell r="J2915">
            <v>0</v>
          </cell>
        </row>
        <row r="2916">
          <cell r="B2916" t="str">
            <v>7.1.04.15.11</v>
          </cell>
          <cell r="C2916" t="str">
            <v>Pendapatan dari Pengembalian Kelebihan Pembayaran Belanja Gaji dan Tunjangan DPRD-LO</v>
          </cell>
          <cell r="D2916">
            <v>0</v>
          </cell>
          <cell r="E2916">
            <v>0</v>
          </cell>
          <cell r="F2916">
            <v>0</v>
          </cell>
          <cell r="G2916">
            <v>0</v>
          </cell>
          <cell r="H2916">
            <v>0</v>
          </cell>
          <cell r="I2916">
            <v>0</v>
          </cell>
          <cell r="J2916">
            <v>0</v>
          </cell>
        </row>
        <row r="2917">
          <cell r="B2917" t="str">
            <v>7.1.04.15.12</v>
          </cell>
          <cell r="C2917" t="str">
            <v>Pendapatan dari Pengembalian Kelebihan Pembayaran Belanja Gaji dan Tunjangan KDH/WKDH-LO</v>
          </cell>
          <cell r="D2917">
            <v>0</v>
          </cell>
          <cell r="E2917">
            <v>0</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D2918">
            <v>0</v>
          </cell>
          <cell r="E2918">
            <v>0</v>
          </cell>
          <cell r="F2918">
            <v>0</v>
          </cell>
          <cell r="G2918">
            <v>0</v>
          </cell>
          <cell r="H2918">
            <v>0</v>
          </cell>
          <cell r="I2918">
            <v>0</v>
          </cell>
          <cell r="J2918">
            <v>0</v>
          </cell>
        </row>
        <row r="2919">
          <cell r="B2919" t="str">
            <v>7.1.04.15.14</v>
          </cell>
          <cell r="C2919" t="str">
            <v>Pendapatan dari Pengembalian Kelebihan Pembayaran Belanja Gaji dan Tunjangan MRP-LO</v>
          </cell>
          <cell r="D2919">
            <v>0</v>
          </cell>
          <cell r="E2919">
            <v>0</v>
          </cell>
          <cell r="F2919">
            <v>0</v>
          </cell>
          <cell r="G2919">
            <v>0</v>
          </cell>
          <cell r="H2919">
            <v>0</v>
          </cell>
          <cell r="I2919">
            <v>0</v>
          </cell>
          <cell r="J2919">
            <v>0</v>
          </cell>
        </row>
        <row r="2920">
          <cell r="B2920" t="str">
            <v>7.1.04.15.15</v>
          </cell>
          <cell r="C2920" t="str">
            <v>Pendapatan dari Pengembalian Kelebihan Pembayaran Belanja Barang-LO</v>
          </cell>
          <cell r="D2920">
            <v>389857060</v>
          </cell>
          <cell r="E2920">
            <v>486207629.27999997</v>
          </cell>
          <cell r="F2920">
            <v>0</v>
          </cell>
          <cell r="G2920">
            <v>0</v>
          </cell>
          <cell r="H2920">
            <v>0</v>
          </cell>
          <cell r="I2920">
            <v>0</v>
          </cell>
          <cell r="J2920">
            <v>486207629.27999997</v>
          </cell>
        </row>
        <row r="2921">
          <cell r="B2921" t="str">
            <v>7.1.04.15.16</v>
          </cell>
          <cell r="C2921" t="str">
            <v>Pendapatan dari Pengembalian Kelebihan Pembayaran Belanja Jasa-LO</v>
          </cell>
          <cell r="D2921">
            <v>4000000</v>
          </cell>
          <cell r="E2921">
            <v>27422370</v>
          </cell>
          <cell r="F2921">
            <v>0</v>
          </cell>
          <cell r="G2921">
            <v>0</v>
          </cell>
          <cell r="H2921">
            <v>0</v>
          </cell>
          <cell r="I2921">
            <v>0</v>
          </cell>
          <cell r="J2921">
            <v>27422370</v>
          </cell>
        </row>
        <row r="2922">
          <cell r="B2922" t="str">
            <v>7.1.04.15.17</v>
          </cell>
          <cell r="C2922" t="str">
            <v>Pendapatan dari Pengembalian Kelebihan Pembayaran Belanja Pemeliharaan-LO</v>
          </cell>
          <cell r="D2922">
            <v>0</v>
          </cell>
          <cell r="E2922">
            <v>0</v>
          </cell>
          <cell r="F2922">
            <v>0</v>
          </cell>
          <cell r="G2922">
            <v>0</v>
          </cell>
          <cell r="H2922">
            <v>0</v>
          </cell>
          <cell r="I2922">
            <v>13136377</v>
          </cell>
          <cell r="J2922">
            <v>13136377</v>
          </cell>
        </row>
        <row r="2923">
          <cell r="B2923" t="str">
            <v>7.1.04.15.18</v>
          </cell>
          <cell r="C2923" t="str">
            <v>Pendapatan dari Pengembalian Kelebihan Pembayaran Belanja Uang dan/atau Jasa untuk Diberikan kepada Pihak Ketiga/Pihak Lain/Masyarakat-LO</v>
          </cell>
          <cell r="D2923">
            <v>0</v>
          </cell>
          <cell r="E2923">
            <v>1000000</v>
          </cell>
          <cell r="F2923">
            <v>0</v>
          </cell>
          <cell r="G2923">
            <v>0</v>
          </cell>
          <cell r="H2923">
            <v>0</v>
          </cell>
          <cell r="I2923">
            <v>0</v>
          </cell>
          <cell r="J2923">
            <v>1000000</v>
          </cell>
        </row>
        <row r="2924">
          <cell r="B2924" t="str">
            <v>7.1.04.15.19</v>
          </cell>
          <cell r="C2924" t="str">
            <v>Pendapatan dari Pengembalian Kelebihan Pembayaran Belanja Penunjang Otonomi Khusus*)-LO</v>
          </cell>
          <cell r="D2924">
            <v>0</v>
          </cell>
          <cell r="E2924">
            <v>0</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D2925">
            <v>0</v>
          </cell>
          <cell r="E2925">
            <v>0</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D2926">
            <v>0</v>
          </cell>
          <cell r="E2926">
            <v>0</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D2927">
            <v>0</v>
          </cell>
          <cell r="E2927">
            <v>0</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D2928">
            <v>0</v>
          </cell>
          <cell r="E2928">
            <v>0</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D2929">
            <v>0</v>
          </cell>
          <cell r="E2929">
            <v>0</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D2930">
            <v>0</v>
          </cell>
          <cell r="E2930">
            <v>0</v>
          </cell>
          <cell r="F2930">
            <v>0</v>
          </cell>
          <cell r="G2930">
            <v>0</v>
          </cell>
          <cell r="H2930">
            <v>0</v>
          </cell>
          <cell r="I2930">
            <v>0</v>
          </cell>
          <cell r="J2930">
            <v>0</v>
          </cell>
        </row>
        <row r="2931">
          <cell r="B2931" t="str">
            <v>7.1.04.15.26</v>
          </cell>
          <cell r="C2931" t="str">
            <v>Pendapatan dari Pengembalian Kelebihan Pembayaran Belanja Subsidi kepada BUMN-LO</v>
          </cell>
          <cell r="D2931">
            <v>0</v>
          </cell>
          <cell r="E2931">
            <v>0</v>
          </cell>
          <cell r="F2931">
            <v>0</v>
          </cell>
          <cell r="G2931">
            <v>0</v>
          </cell>
          <cell r="H2931">
            <v>0</v>
          </cell>
          <cell r="I2931">
            <v>0</v>
          </cell>
          <cell r="J2931">
            <v>0</v>
          </cell>
        </row>
        <row r="2932">
          <cell r="B2932" t="str">
            <v>7.1.04.15.27</v>
          </cell>
          <cell r="C2932" t="str">
            <v>Pendapatan dari Pengembalian Kelebihan Pembayaran Belanja Subsidi kepada BUMD-LO</v>
          </cell>
          <cell r="D2932">
            <v>0</v>
          </cell>
          <cell r="E2932">
            <v>0</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D2933">
            <v>0</v>
          </cell>
          <cell r="E2933">
            <v>0</v>
          </cell>
          <cell r="F2933">
            <v>0</v>
          </cell>
          <cell r="G2933">
            <v>0</v>
          </cell>
          <cell r="H2933">
            <v>0</v>
          </cell>
          <cell r="I2933">
            <v>0</v>
          </cell>
          <cell r="J2933">
            <v>0</v>
          </cell>
        </row>
        <row r="2934">
          <cell r="B2934" t="str">
            <v>7.1.04.15.29</v>
          </cell>
          <cell r="C2934" t="str">
            <v>Pendapatan dari Pengembalian Kelebihan Pembayaran Belanja Subsidi kepada Koperasi-LO</v>
          </cell>
          <cell r="D2934">
            <v>0</v>
          </cell>
          <cell r="E2934">
            <v>0</v>
          </cell>
          <cell r="F2934">
            <v>0</v>
          </cell>
          <cell r="G2934">
            <v>0</v>
          </cell>
          <cell r="H2934">
            <v>0</v>
          </cell>
          <cell r="I2934">
            <v>0</v>
          </cell>
          <cell r="J2934">
            <v>0</v>
          </cell>
        </row>
        <row r="2935">
          <cell r="B2935" t="str">
            <v>7.1.04.15.30</v>
          </cell>
          <cell r="C2935" t="str">
            <v>Pendapatan dari Pengembalian Kelebihan Pembayaran Belanja Hibah kepada Pemerintah Pusat-LO</v>
          </cell>
          <cell r="D2935">
            <v>0</v>
          </cell>
          <cell r="E2935">
            <v>0</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D2936">
            <v>0</v>
          </cell>
          <cell r="E2936">
            <v>0</v>
          </cell>
          <cell r="F2936">
            <v>0</v>
          </cell>
          <cell r="G2936">
            <v>0</v>
          </cell>
          <cell r="H2936">
            <v>0</v>
          </cell>
          <cell r="I2936">
            <v>0</v>
          </cell>
          <cell r="J2936">
            <v>0</v>
          </cell>
        </row>
        <row r="2937">
          <cell r="B2937" t="str">
            <v>7.1.04.15.32</v>
          </cell>
          <cell r="C2937" t="str">
            <v>Pendapatan dari Pengembalian Kelebihan Pembayaran Belanja Hibah kepada BUMN-LO</v>
          </cell>
          <cell r="D2937">
            <v>0</v>
          </cell>
          <cell r="E2937">
            <v>0</v>
          </cell>
          <cell r="F2937">
            <v>0</v>
          </cell>
          <cell r="G2937">
            <v>0</v>
          </cell>
          <cell r="H2937">
            <v>0</v>
          </cell>
          <cell r="I2937">
            <v>0</v>
          </cell>
          <cell r="J2937">
            <v>0</v>
          </cell>
        </row>
        <row r="2938">
          <cell r="B2938" t="str">
            <v>7.1.04.15.33</v>
          </cell>
          <cell r="C2938" t="str">
            <v>Pendapatan dari Pengembalian Kelebihan Pembayaran Belanja Hibah kepada BUMD-LO</v>
          </cell>
          <cell r="D2938">
            <v>0</v>
          </cell>
          <cell r="E2938">
            <v>0</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0</v>
          </cell>
          <cell r="E2939">
            <v>209000000</v>
          </cell>
          <cell r="F2939">
            <v>0</v>
          </cell>
          <cell r="G2939">
            <v>0</v>
          </cell>
          <cell r="H2939">
            <v>0</v>
          </cell>
          <cell r="I2939">
            <v>0</v>
          </cell>
          <cell r="J2939">
            <v>209000000</v>
          </cell>
        </row>
        <row r="2940">
          <cell r="B2940" t="str">
            <v>7.1.04.15.35</v>
          </cell>
          <cell r="C2940" t="str">
            <v>Pendapatan dari Pengembalian Kelebihan Pembayaran Belanja Hibah Dana BOS-LO</v>
          </cell>
          <cell r="D2940">
            <v>0</v>
          </cell>
          <cell r="E2940">
            <v>0</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D2941">
            <v>0</v>
          </cell>
          <cell r="E2941">
            <v>0</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750000</v>
          </cell>
          <cell r="F2942">
            <v>0</v>
          </cell>
          <cell r="G2942">
            <v>0</v>
          </cell>
          <cell r="H2942">
            <v>0</v>
          </cell>
          <cell r="I2942">
            <v>0</v>
          </cell>
          <cell r="J2942">
            <v>750000</v>
          </cell>
        </row>
        <row r="2943">
          <cell r="B2943" t="str">
            <v>7.1.04.15.38</v>
          </cell>
          <cell r="C2943" t="str">
            <v>Pendapatan dari Pengembalian Kelebihan Pembayaran Belanja Bantuan Sosial kepada Keluarga-LO</v>
          </cell>
          <cell r="D2943">
            <v>0</v>
          </cell>
          <cell r="E2943">
            <v>64460000</v>
          </cell>
          <cell r="F2943">
            <v>0</v>
          </cell>
          <cell r="G2943">
            <v>0</v>
          </cell>
          <cell r="H2943">
            <v>0</v>
          </cell>
          <cell r="I2943">
            <v>0</v>
          </cell>
          <cell r="J2943">
            <v>64460000</v>
          </cell>
        </row>
        <row r="2944">
          <cell r="B2944" t="str">
            <v>7.1.04.15.39</v>
          </cell>
          <cell r="C2944" t="str">
            <v>Pendapatan dari Pengembalian Kelebihan Pembayaran Belanja Bantuan Sosial kepada Kelompok Masyarakat-LO</v>
          </cell>
          <cell r="D2944">
            <v>329360000</v>
          </cell>
          <cell r="E2944">
            <v>116030100</v>
          </cell>
          <cell r="F2944">
            <v>0</v>
          </cell>
          <cell r="G2944">
            <v>0</v>
          </cell>
          <cell r="H2944">
            <v>0</v>
          </cell>
          <cell r="I2944">
            <v>0</v>
          </cell>
          <cell r="J2944">
            <v>116030100</v>
          </cell>
        </row>
        <row r="2945">
          <cell r="B2945" t="str">
            <v>7.1.04.15.40</v>
          </cell>
          <cell r="C2945" t="str">
            <v>Pendapatan dari Pengembalian Kelebihan Pembayaran Belanja Bantuan Sosial Bantuan Sosial kepada Lembaga Non Pemerintahan (Bidang Pendidikan, Keagamaan dan Bidang Lainnya)-LO</v>
          </cell>
          <cell r="D2945">
            <v>0</v>
          </cell>
          <cell r="E2945">
            <v>0</v>
          </cell>
          <cell r="F2945">
            <v>0</v>
          </cell>
          <cell r="G2945">
            <v>0</v>
          </cell>
          <cell r="H2945">
            <v>0</v>
          </cell>
          <cell r="I2945">
            <v>0</v>
          </cell>
          <cell r="J2945">
            <v>0</v>
          </cell>
        </row>
        <row r="2946">
          <cell r="B2946" t="str">
            <v>7.1.04.15.41</v>
          </cell>
          <cell r="C2946" t="str">
            <v>Pendapatan dari Pengembalian Kelebihan Pembayaran Belanja Modal Tanah-LO</v>
          </cell>
          <cell r="D2946">
            <v>0</v>
          </cell>
          <cell r="E2946">
            <v>0</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D2947">
            <v>0</v>
          </cell>
          <cell r="E2947">
            <v>0</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D2949">
            <v>0</v>
          </cell>
          <cell r="E2949">
            <v>0</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D2950">
            <v>0</v>
          </cell>
          <cell r="E2950">
            <v>0</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0</v>
          </cell>
          <cell r="E2951">
            <v>38362691</v>
          </cell>
          <cell r="F2951">
            <v>0</v>
          </cell>
          <cell r="G2951">
            <v>0</v>
          </cell>
          <cell r="H2951">
            <v>0</v>
          </cell>
          <cell r="I2951">
            <v>0</v>
          </cell>
          <cell r="J2951">
            <v>38362691</v>
          </cell>
        </row>
        <row r="2952">
          <cell r="B2952" t="str">
            <v>7.1.04.15.47</v>
          </cell>
          <cell r="C2952" t="str">
            <v>Pendapatan dari Pengembalian Kelebihan Pembayaran Belanja Modal Peralatan dan Mesin-Alat Studio, Komunikasi, dan Pemancar-LO</v>
          </cell>
          <cell r="D2952">
            <v>0</v>
          </cell>
          <cell r="E2952">
            <v>0</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0</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D2954">
            <v>0</v>
          </cell>
          <cell r="E2954">
            <v>0</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D2955">
            <v>0</v>
          </cell>
          <cell r="E2955">
            <v>0</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D2956">
            <v>0</v>
          </cell>
          <cell r="E2956">
            <v>0</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D2957">
            <v>0</v>
          </cell>
          <cell r="E2957">
            <v>0</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D2958">
            <v>3717780</v>
          </cell>
          <cell r="E2958">
            <v>0</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D2959">
            <v>0</v>
          </cell>
          <cell r="E2959">
            <v>0</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D2960">
            <v>0</v>
          </cell>
          <cell r="E2960">
            <v>0</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D2961">
            <v>0</v>
          </cell>
          <cell r="E2961">
            <v>0</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D2962">
            <v>0</v>
          </cell>
          <cell r="E2962">
            <v>0</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D2963">
            <v>0</v>
          </cell>
          <cell r="E2963">
            <v>0</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D2964">
            <v>0</v>
          </cell>
          <cell r="E2964">
            <v>0</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218143000</v>
          </cell>
          <cell r="E2965">
            <v>106718540.62</v>
          </cell>
          <cell r="F2965">
            <v>0</v>
          </cell>
          <cell r="G2965">
            <v>0</v>
          </cell>
          <cell r="H2965">
            <v>0</v>
          </cell>
          <cell r="I2965">
            <v>0</v>
          </cell>
          <cell r="J2965">
            <v>106718540.62</v>
          </cell>
        </row>
        <row r="2966">
          <cell r="B2966" t="str">
            <v>7.1.04.15.62</v>
          </cell>
          <cell r="C2966" t="str">
            <v>Pendapatan dari Pengembalian Kelebihan Pembayaran Belanja Modal Gedung dan Bangunan-Monumen-LO</v>
          </cell>
          <cell r="D2966">
            <v>0</v>
          </cell>
          <cell r="E2966">
            <v>0</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D2967">
            <v>0</v>
          </cell>
          <cell r="E2967">
            <v>0</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D2968">
            <v>28409000</v>
          </cell>
          <cell r="E2968">
            <v>0</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914085000</v>
          </cell>
          <cell r="E2969">
            <v>732290704.40999997</v>
          </cell>
          <cell r="F2969">
            <v>0</v>
          </cell>
          <cell r="G2969">
            <v>0</v>
          </cell>
          <cell r="H2969">
            <v>0</v>
          </cell>
          <cell r="I2969">
            <v>0</v>
          </cell>
          <cell r="J2969">
            <v>732290704.40999997</v>
          </cell>
        </row>
        <row r="2970">
          <cell r="B2970" t="str">
            <v>7.1.04.15.66</v>
          </cell>
          <cell r="C2970" t="str">
            <v>Pendapatan dari Pengembalian Kelebihan Pembayaran Belanja Modal Jalan, Jaringan, dan Irigasi-Bangunan Air-LO</v>
          </cell>
          <cell r="D2970">
            <v>0</v>
          </cell>
          <cell r="E2970">
            <v>0</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D2971">
            <v>0</v>
          </cell>
          <cell r="E2971">
            <v>0</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D2972">
            <v>0</v>
          </cell>
          <cell r="E2972">
            <v>0</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D2973">
            <v>0</v>
          </cell>
          <cell r="E2973">
            <v>0</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D2974">
            <v>0</v>
          </cell>
          <cell r="E2974">
            <v>0</v>
          </cell>
          <cell r="F2974">
            <v>0</v>
          </cell>
          <cell r="G2974">
            <v>0</v>
          </cell>
          <cell r="H2974">
            <v>0</v>
          </cell>
          <cell r="I2974">
            <v>0</v>
          </cell>
          <cell r="J2974">
            <v>0</v>
          </cell>
        </row>
        <row r="2975">
          <cell r="B2975" t="str">
            <v>7.1.04.15.71</v>
          </cell>
          <cell r="C2975" t="str">
            <v>Pendapatan dari Pengembalian Kelebihan Pembayaran Belanja Modal Aset Tetap Lainnya-Hewan-LO</v>
          </cell>
          <cell r="D2975">
            <v>0</v>
          </cell>
          <cell r="E2975">
            <v>0</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D2976">
            <v>0</v>
          </cell>
          <cell r="E2976">
            <v>0</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D2977">
            <v>0</v>
          </cell>
          <cell r="E2977">
            <v>0</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D2978">
            <v>0</v>
          </cell>
          <cell r="E2978">
            <v>0</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D2979">
            <v>0</v>
          </cell>
          <cell r="E2979">
            <v>0</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D2980">
            <v>0</v>
          </cell>
          <cell r="E2980">
            <v>0</v>
          </cell>
          <cell r="F2980">
            <v>0</v>
          </cell>
          <cell r="G2980">
            <v>0</v>
          </cell>
          <cell r="H2980">
            <v>0</v>
          </cell>
          <cell r="I2980">
            <v>0</v>
          </cell>
          <cell r="J2980">
            <v>0</v>
          </cell>
        </row>
        <row r="2981">
          <cell r="B2981" t="str">
            <v>7.1.04.15.77</v>
          </cell>
          <cell r="C2981" t="str">
            <v>Pendapatan dari Pengembalian Kelebihan Pembayaran Belanja Tidak Terduga-LO</v>
          </cell>
          <cell r="D2981">
            <v>0</v>
          </cell>
          <cell r="E2981">
            <v>0</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D2982">
            <v>0</v>
          </cell>
          <cell r="E2982">
            <v>1000000</v>
          </cell>
          <cell r="F2982">
            <v>0</v>
          </cell>
          <cell r="G2982">
            <v>0</v>
          </cell>
          <cell r="H2982">
            <v>0</v>
          </cell>
          <cell r="I2982">
            <v>0</v>
          </cell>
          <cell r="J2982">
            <v>1000000</v>
          </cell>
        </row>
        <row r="2983">
          <cell r="B2983" t="str">
            <v>7.1.04.15.79</v>
          </cell>
          <cell r="C2983" t="str">
            <v>Pendapatan dari Pengembalian Kelebihan Pembayaran Belanja Bagi Hasil Retribusi Daerah Kabupaten/Kota Kepada Pemerintah Desa-LO</v>
          </cell>
          <cell r="D2983">
            <v>0</v>
          </cell>
          <cell r="E2983">
            <v>0</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D2984">
            <v>0</v>
          </cell>
          <cell r="E2984">
            <v>0</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D2985">
            <v>0</v>
          </cell>
          <cell r="E2985">
            <v>0</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D2986">
            <v>0</v>
          </cell>
          <cell r="E2986">
            <v>0</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D2987">
            <v>0</v>
          </cell>
          <cell r="E2987">
            <v>0</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D2988">
            <v>0</v>
          </cell>
          <cell r="E2988">
            <v>0</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D2989">
            <v>0</v>
          </cell>
          <cell r="E2989">
            <v>0</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D2990">
            <v>0</v>
          </cell>
          <cell r="E2990">
            <v>0</v>
          </cell>
          <cell r="F2990">
            <v>0</v>
          </cell>
          <cell r="G2990">
            <v>0</v>
          </cell>
          <cell r="H2990">
            <v>0</v>
          </cell>
          <cell r="I2990">
            <v>0</v>
          </cell>
          <cell r="J2990">
            <v>0</v>
          </cell>
        </row>
        <row r="2991">
          <cell r="B2991" t="str">
            <v>7.1.04.15.87</v>
          </cell>
          <cell r="C2991" t="str">
            <v>Pendapatan dari Pengembalian Kelebihan Pembayaran Belanja Hibah Dana BOSP-LO</v>
          </cell>
          <cell r="D2991">
            <v>0</v>
          </cell>
          <cell r="E2991">
            <v>285635629</v>
          </cell>
          <cell r="F2991">
            <v>0</v>
          </cell>
          <cell r="G2991">
            <v>0</v>
          </cell>
          <cell r="H2991">
            <v>0</v>
          </cell>
          <cell r="I2991">
            <v>0</v>
          </cell>
          <cell r="J2991">
            <v>285635629</v>
          </cell>
        </row>
        <row r="2992">
          <cell r="B2992" t="str">
            <v>7.1.04.15.88</v>
          </cell>
          <cell r="C2992" t="str">
            <v>Pendapatan dari Pengembalian Kelebihan Pembayaran Belanja Pegawai BOS, Belanja Barang dan Jasa BOS, Belanja Modal Peralatan dan Mesin BOS, serta Belanja Modal Aset Tetap Lainnya BOS-LO</v>
          </cell>
          <cell r="D2992">
            <v>0</v>
          </cell>
          <cell r="E2992">
            <v>0</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0</v>
          </cell>
          <cell r="E2993">
            <v>0</v>
          </cell>
          <cell r="F2993">
            <v>0</v>
          </cell>
          <cell r="G2993">
            <v>0</v>
          </cell>
          <cell r="H2993">
            <v>0</v>
          </cell>
          <cell r="I2993">
            <v>0</v>
          </cell>
          <cell r="J2993">
            <v>0</v>
          </cell>
        </row>
        <row r="2994">
          <cell r="B2994" t="str">
            <v>7.1.04.15.90</v>
          </cell>
          <cell r="C2994" t="str">
            <v>Pendapatan dari Pengembalian Kelebihan Pembayaran Belanja Barang dan Jasa BOK Puskesmas-LO</v>
          </cell>
          <cell r="D2994">
            <v>0</v>
          </cell>
          <cell r="E2994">
            <v>0</v>
          </cell>
          <cell r="F2994">
            <v>0</v>
          </cell>
          <cell r="G2994">
            <v>0</v>
          </cell>
          <cell r="H2994">
            <v>0</v>
          </cell>
          <cell r="I2994">
            <v>0</v>
          </cell>
          <cell r="J2994">
            <v>0</v>
          </cell>
        </row>
        <row r="2995">
          <cell r="B2995" t="str">
            <v>7.1.04.15.91</v>
          </cell>
          <cell r="C2995" t="str">
            <v>Pendapatan dari Pengembalian Kelebihan Pembayaran Belanja Hibah kepada BUMDesa-LO</v>
          </cell>
          <cell r="D2995">
            <v>0</v>
          </cell>
          <cell r="E2995">
            <v>0</v>
          </cell>
          <cell r="F2995">
            <v>0</v>
          </cell>
          <cell r="G2995">
            <v>0</v>
          </cell>
          <cell r="H2995">
            <v>0</v>
          </cell>
          <cell r="I2995">
            <v>0</v>
          </cell>
          <cell r="J2995">
            <v>0</v>
          </cell>
        </row>
        <row r="2996">
          <cell r="B2996" t="str">
            <v>7.1.04.15.92</v>
          </cell>
          <cell r="C2996" t="str">
            <v>Pendapatan dari Pengembalian Kelebihan Pembayaran Belanja Hibah kepada Koperasi-LO</v>
          </cell>
          <cell r="D2996">
            <v>0</v>
          </cell>
          <cell r="E2996">
            <v>0</v>
          </cell>
          <cell r="F2996">
            <v>0</v>
          </cell>
          <cell r="G2996">
            <v>0</v>
          </cell>
          <cell r="H2996">
            <v>0</v>
          </cell>
          <cell r="I2996">
            <v>0</v>
          </cell>
          <cell r="J2996">
            <v>0</v>
          </cell>
        </row>
        <row r="2997">
          <cell r="B2997" t="str">
            <v>7.1.04.15.93</v>
          </cell>
          <cell r="C2997" t="str">
            <v>Pendapatan dari Pengembalian Kelebihan Pembayaran Belanja Imbalan-Imbalan Sukuk Daerah-LO</v>
          </cell>
          <cell r="D2997">
            <v>0</v>
          </cell>
          <cell r="E2997">
            <v>0</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D2998">
            <v>0</v>
          </cell>
          <cell r="E2998">
            <v>0</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D2999">
            <v>0</v>
          </cell>
          <cell r="E2999">
            <v>0</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0</v>
          </cell>
          <cell r="E3000">
            <v>0</v>
          </cell>
          <cell r="F3000">
            <v>0</v>
          </cell>
          <cell r="G3000">
            <v>0</v>
          </cell>
          <cell r="H3000">
            <v>0</v>
          </cell>
          <cell r="I3000">
            <v>0</v>
          </cell>
          <cell r="J3000">
            <v>0</v>
          </cell>
        </row>
        <row r="3001">
          <cell r="B3001" t="str">
            <v>7.1.04.16</v>
          </cell>
          <cell r="C3001" t="str">
            <v>Pendapatan dari BLUD-LO</v>
          </cell>
          <cell r="D3001">
            <v>46861993051.07</v>
          </cell>
          <cell r="E3001">
            <v>48389277708.720001</v>
          </cell>
          <cell r="F3001"/>
          <cell r="G3001"/>
          <cell r="H3001"/>
          <cell r="I3001"/>
          <cell r="J3001">
            <v>79548231.719999999</v>
          </cell>
        </row>
        <row r="3002">
          <cell r="B3002" t="str">
            <v>7.1.04.16.01</v>
          </cell>
          <cell r="C3002" t="str">
            <v>Pendapatan dari BLUD-LO</v>
          </cell>
          <cell r="D3002">
            <v>0</v>
          </cell>
          <cell r="E3002">
            <v>0</v>
          </cell>
          <cell r="F3002">
            <v>0</v>
          </cell>
          <cell r="G3002">
            <v>0</v>
          </cell>
          <cell r="H3002">
            <v>0</v>
          </cell>
          <cell r="I3002">
            <v>0</v>
          </cell>
          <cell r="J3002">
            <v>0</v>
          </cell>
        </row>
        <row r="3003">
          <cell r="B3003" t="str">
            <v>7.1.04.16.02</v>
          </cell>
          <cell r="C3003" t="str">
            <v>Pendapatan BLUD dari Jasa Layanan-LO</v>
          </cell>
          <cell r="D3003">
            <v>33993424518</v>
          </cell>
          <cell r="E3003">
            <v>48335551417</v>
          </cell>
          <cell r="F3003">
            <v>0</v>
          </cell>
          <cell r="G3003">
            <v>0</v>
          </cell>
          <cell r="H3003">
            <v>48335551417</v>
          </cell>
          <cell r="I3003">
            <v>0</v>
          </cell>
          <cell r="J3003">
            <v>0</v>
          </cell>
        </row>
        <row r="3004">
          <cell r="B3004" t="str">
            <v>7.1.04.16.03</v>
          </cell>
          <cell r="C3004" t="str">
            <v>Pendapatan BLUD dari Hibah-LO</v>
          </cell>
          <cell r="D3004">
            <v>0</v>
          </cell>
          <cell r="E3004">
            <v>0</v>
          </cell>
          <cell r="F3004">
            <v>0</v>
          </cell>
          <cell r="G3004">
            <v>0</v>
          </cell>
          <cell r="H3004">
            <v>0</v>
          </cell>
          <cell r="I3004">
            <v>0</v>
          </cell>
          <cell r="J3004">
            <v>0</v>
          </cell>
        </row>
        <row r="3005">
          <cell r="B3005" t="str">
            <v>7.1.04.16.04</v>
          </cell>
          <cell r="C3005" t="str">
            <v>Pendapatan BLUD dari Hasil Kerja Sama dengan Pihak Lain-LO</v>
          </cell>
          <cell r="D3005">
            <v>12808834420</v>
          </cell>
          <cell r="E3005">
            <v>0</v>
          </cell>
          <cell r="F3005">
            <v>0</v>
          </cell>
          <cell r="G3005">
            <v>0</v>
          </cell>
          <cell r="H3005">
            <v>0</v>
          </cell>
          <cell r="I3005">
            <v>25821940</v>
          </cell>
          <cell r="J3005">
            <v>25821940</v>
          </cell>
        </row>
        <row r="3006">
          <cell r="B3006" t="str">
            <v>7.1.04.16.05</v>
          </cell>
          <cell r="C3006" t="str">
            <v>Pendapatan BLUD dari APBD-LO</v>
          </cell>
          <cell r="D3006">
            <v>0</v>
          </cell>
          <cell r="E3006">
            <v>0</v>
          </cell>
          <cell r="F3006">
            <v>0</v>
          </cell>
          <cell r="G3006">
            <v>0</v>
          </cell>
          <cell r="H3006">
            <v>0</v>
          </cell>
          <cell r="I3006">
            <v>0</v>
          </cell>
          <cell r="J3006">
            <v>0</v>
          </cell>
        </row>
        <row r="3007">
          <cell r="B3007" t="str">
            <v>7.1.04.16.06</v>
          </cell>
          <cell r="C3007" t="str">
            <v>Pendapatan BLUD dari Lain-Lain Pendapatan BLUD yang Sah-LO</v>
          </cell>
          <cell r="D3007">
            <v>59734113.07</v>
          </cell>
          <cell r="E3007">
            <v>53726291.719999999</v>
          </cell>
          <cell r="F3007">
            <v>0</v>
          </cell>
          <cell r="G3007">
            <v>0</v>
          </cell>
          <cell r="H3007">
            <v>0</v>
          </cell>
          <cell r="I3007">
            <v>0</v>
          </cell>
          <cell r="J3007">
            <v>53726291.719999999</v>
          </cell>
        </row>
        <row r="3008">
          <cell r="B3008" t="str">
            <v>7.1.04.17</v>
          </cell>
          <cell r="C3008" t="str">
            <v>Pendapatan Denda Pemanfaatan BMD yang Tidak Dipisahkan-LO</v>
          </cell>
          <cell r="D3008">
            <v>0</v>
          </cell>
          <cell r="E3008">
            <v>0</v>
          </cell>
          <cell r="F3008"/>
          <cell r="G3008"/>
          <cell r="H3008"/>
          <cell r="I3008"/>
          <cell r="J3008">
            <v>0</v>
          </cell>
        </row>
        <row r="3009">
          <cell r="B3009" t="str">
            <v>7.1.04.17.01</v>
          </cell>
          <cell r="C3009" t="str">
            <v>Pendapatan Denda Pengakhiran Sewa BMD-LO</v>
          </cell>
          <cell r="D3009">
            <v>0</v>
          </cell>
          <cell r="E3009">
            <v>0</v>
          </cell>
          <cell r="F3009">
            <v>0</v>
          </cell>
          <cell r="G3009">
            <v>0</v>
          </cell>
          <cell r="H3009">
            <v>0</v>
          </cell>
          <cell r="I3009">
            <v>0</v>
          </cell>
          <cell r="J3009">
            <v>0</v>
          </cell>
        </row>
        <row r="3010">
          <cell r="B3010" t="str">
            <v>7.1.04.17.02</v>
          </cell>
          <cell r="C3010" t="str">
            <v>Pendapatan Denda Hasil dari Kerja Sama Penyediaan Infrastruktur-LO</v>
          </cell>
          <cell r="D3010">
            <v>0</v>
          </cell>
          <cell r="E3010">
            <v>0</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F3011"/>
          <cell r="G3011"/>
          <cell r="H3011"/>
          <cell r="I3011"/>
          <cell r="J3011">
            <v>0</v>
          </cell>
        </row>
        <row r="3012">
          <cell r="B3012" t="str">
            <v>7.1.04.18.01</v>
          </cell>
          <cell r="C3012" t="str">
            <v>Pendapatan Dana Kapitasi JKN pada FKTP-LO</v>
          </cell>
          <cell r="D3012">
            <v>0</v>
          </cell>
          <cell r="E3012">
            <v>0</v>
          </cell>
          <cell r="F3012">
            <v>0</v>
          </cell>
          <cell r="G3012">
            <v>0</v>
          </cell>
          <cell r="H3012">
            <v>0</v>
          </cell>
          <cell r="I3012">
            <v>0</v>
          </cell>
          <cell r="J3012">
            <v>0</v>
          </cell>
        </row>
        <row r="3013">
          <cell r="B3013" t="str">
            <v>7.1.04.19</v>
          </cell>
          <cell r="C3013" t="str">
            <v>Pendapatan Hasil Pengelolaan Dana Bergulir-LO</v>
          </cell>
          <cell r="D3013">
            <v>0</v>
          </cell>
          <cell r="E3013">
            <v>0</v>
          </cell>
          <cell r="F3013"/>
          <cell r="G3013"/>
          <cell r="H3013"/>
          <cell r="I3013"/>
          <cell r="J3013">
            <v>0</v>
          </cell>
        </row>
        <row r="3014">
          <cell r="B3014" t="str">
            <v>7.1.04.19.01</v>
          </cell>
          <cell r="C3014" t="str">
            <v>Pendapatan Hasil Pengelolaan Dana Bergulir-LO</v>
          </cell>
          <cell r="D3014">
            <v>0</v>
          </cell>
          <cell r="E3014">
            <v>0</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F3015"/>
          <cell r="G3015"/>
          <cell r="H3015"/>
          <cell r="I3015"/>
          <cell r="J3015">
            <v>0</v>
          </cell>
        </row>
        <row r="3016">
          <cell r="B3016" t="str">
            <v>7.1.04.20.01</v>
          </cell>
          <cell r="C3016" t="str">
            <v>Pendapatan Berdasarkan Putusan Pengadilan (Inkracht)-LO</v>
          </cell>
          <cell r="D3016">
            <v>0</v>
          </cell>
          <cell r="E3016">
            <v>0</v>
          </cell>
          <cell r="F3016">
            <v>0</v>
          </cell>
          <cell r="G3016">
            <v>0</v>
          </cell>
          <cell r="H3016">
            <v>0</v>
          </cell>
          <cell r="I3016">
            <v>0</v>
          </cell>
          <cell r="J3016">
            <v>0</v>
          </cell>
        </row>
        <row r="3017">
          <cell r="B3017" t="str">
            <v>7.1.04.21</v>
          </cell>
          <cell r="C3017" t="str">
            <v>Pendapatan Denda atas Pelanggaran Peraturan Daerah-LO</v>
          </cell>
          <cell r="D3017">
            <v>0</v>
          </cell>
          <cell r="E3017">
            <v>0</v>
          </cell>
          <cell r="F3017"/>
          <cell r="G3017"/>
          <cell r="H3017"/>
          <cell r="I3017"/>
          <cell r="J3017">
            <v>0</v>
          </cell>
        </row>
        <row r="3018">
          <cell r="B3018" t="str">
            <v>7.1.04.21.01</v>
          </cell>
          <cell r="C3018" t="str">
            <v>Pendapatan Denda atas Pelanggaran Peraturan Daerah-LO</v>
          </cell>
          <cell r="D3018">
            <v>0</v>
          </cell>
          <cell r="E3018">
            <v>0</v>
          </cell>
          <cell r="F3018">
            <v>0</v>
          </cell>
          <cell r="G3018">
            <v>0</v>
          </cell>
          <cell r="H3018">
            <v>0</v>
          </cell>
          <cell r="I3018">
            <v>0</v>
          </cell>
          <cell r="J3018">
            <v>0</v>
          </cell>
        </row>
        <row r="3019">
          <cell r="B3019" t="str">
            <v>7.1.04.22</v>
          </cell>
          <cell r="C3019" t="str">
            <v>Pendapatan Zakat, Infaq, Shadaqah , dan Wakaf-LO</v>
          </cell>
          <cell r="D3019">
            <v>0</v>
          </cell>
          <cell r="E3019">
            <v>0</v>
          </cell>
          <cell r="F3019"/>
          <cell r="G3019"/>
          <cell r="H3019"/>
          <cell r="I3019"/>
          <cell r="J3019">
            <v>0</v>
          </cell>
        </row>
        <row r="3020">
          <cell r="B3020" t="str">
            <v>7.1.04.22.01</v>
          </cell>
          <cell r="C3020" t="str">
            <v>Pendapatan Zakat-LO</v>
          </cell>
          <cell r="D3020">
            <v>0</v>
          </cell>
          <cell r="E3020">
            <v>0</v>
          </cell>
          <cell r="F3020">
            <v>0</v>
          </cell>
          <cell r="G3020">
            <v>0</v>
          </cell>
          <cell r="H3020">
            <v>0</v>
          </cell>
          <cell r="I3020">
            <v>0</v>
          </cell>
          <cell r="J3020">
            <v>0</v>
          </cell>
        </row>
        <row r="3021">
          <cell r="B3021" t="str">
            <v>7.1.04.22.02</v>
          </cell>
          <cell r="C3021" t="str">
            <v>Pendapatan Infaq-LO</v>
          </cell>
          <cell r="D3021">
            <v>0</v>
          </cell>
          <cell r="E3021">
            <v>0</v>
          </cell>
          <cell r="F3021">
            <v>0</v>
          </cell>
          <cell r="G3021">
            <v>0</v>
          </cell>
          <cell r="H3021">
            <v>0</v>
          </cell>
          <cell r="I3021">
            <v>0</v>
          </cell>
          <cell r="J3021">
            <v>0</v>
          </cell>
        </row>
        <row r="3022">
          <cell r="B3022" t="str">
            <v>7.1.04.22.03</v>
          </cell>
          <cell r="C3022" t="str">
            <v>Pendapatan Shadaqah-LO</v>
          </cell>
          <cell r="D3022">
            <v>0</v>
          </cell>
          <cell r="E3022">
            <v>0</v>
          </cell>
          <cell r="F3022">
            <v>0</v>
          </cell>
          <cell r="G3022">
            <v>0</v>
          </cell>
          <cell r="H3022">
            <v>0</v>
          </cell>
          <cell r="I3022">
            <v>0</v>
          </cell>
          <cell r="J3022">
            <v>0</v>
          </cell>
        </row>
        <row r="3023">
          <cell r="B3023" t="str">
            <v>7.1.04.22.04</v>
          </cell>
          <cell r="C3023" t="str">
            <v>Pendapatan Wakaf-LO</v>
          </cell>
          <cell r="D3023">
            <v>0</v>
          </cell>
          <cell r="E3023">
            <v>0</v>
          </cell>
          <cell r="F3023">
            <v>0</v>
          </cell>
          <cell r="G3023">
            <v>0</v>
          </cell>
          <cell r="H3023">
            <v>0</v>
          </cell>
          <cell r="I3023">
            <v>0</v>
          </cell>
          <cell r="J3023">
            <v>0</v>
          </cell>
        </row>
        <row r="3024">
          <cell r="B3024" t="str">
            <v>7.1.04.23</v>
          </cell>
          <cell r="C3024" t="str">
            <v>Pendapatan Hasil Pelaksanaan Perjanjian/Kontrak-LO</v>
          </cell>
          <cell r="D3024">
            <v>0</v>
          </cell>
          <cell r="E3024">
            <v>0</v>
          </cell>
          <cell r="F3024"/>
          <cell r="G3024"/>
          <cell r="H3024"/>
          <cell r="I3024"/>
          <cell r="J3024">
            <v>0</v>
          </cell>
        </row>
        <row r="3025">
          <cell r="B3025" t="str">
            <v>7.1.04.23.01</v>
          </cell>
          <cell r="C3025" t="str">
            <v>Pendapatan Hasil Pelaksanaan Perjanjian/Kontrak-LO</v>
          </cell>
          <cell r="D3025">
            <v>0</v>
          </cell>
          <cell r="E3025">
            <v>0</v>
          </cell>
          <cell r="F3025">
            <v>0</v>
          </cell>
          <cell r="G3025">
            <v>0</v>
          </cell>
          <cell r="H3025">
            <v>0</v>
          </cell>
          <cell r="I3025">
            <v>0</v>
          </cell>
          <cell r="J3025">
            <v>0</v>
          </cell>
        </row>
        <row r="3026">
          <cell r="B3026" t="str">
            <v>7.1.04.24</v>
          </cell>
          <cell r="C3026" t="str">
            <v>Pendapatan Konsesi Jasa-LO</v>
          </cell>
          <cell r="D3026">
            <v>0</v>
          </cell>
          <cell r="E3026">
            <v>0</v>
          </cell>
          <cell r="F3026"/>
          <cell r="G3026"/>
          <cell r="H3026"/>
          <cell r="I3026"/>
          <cell r="J3026">
            <v>0</v>
          </cell>
        </row>
        <row r="3027">
          <cell r="B3027" t="str">
            <v>7.1.04.24.01</v>
          </cell>
          <cell r="C3027" t="str">
            <v>Pendapatan Konsesi Jasa-LO</v>
          </cell>
          <cell r="D3027">
            <v>0</v>
          </cell>
          <cell r="E3027">
            <v>0</v>
          </cell>
          <cell r="F3027">
            <v>0</v>
          </cell>
          <cell r="G3027">
            <v>0</v>
          </cell>
          <cell r="H3027">
            <v>0</v>
          </cell>
          <cell r="I3027">
            <v>0</v>
          </cell>
          <cell r="J3027">
            <v>0</v>
          </cell>
        </row>
        <row r="3028">
          <cell r="B3028" t="str">
            <v>7.1.04.25</v>
          </cell>
          <cell r="C3028" t="str">
            <v>Pungutan bagi Wisatawan Asing-LO</v>
          </cell>
          <cell r="D3028">
            <v>0</v>
          </cell>
          <cell r="E3028">
            <v>0</v>
          </cell>
          <cell r="F3028"/>
          <cell r="G3028"/>
          <cell r="H3028"/>
          <cell r="I3028"/>
          <cell r="J3028">
            <v>0</v>
          </cell>
        </row>
        <row r="3029">
          <cell r="B3029" t="str">
            <v>7.1.04.25.01</v>
          </cell>
          <cell r="C3029" t="str">
            <v>Pungutan bagi Wisatawan Asing-LO</v>
          </cell>
          <cell r="D3029">
            <v>0</v>
          </cell>
          <cell r="E3029">
            <v>0</v>
          </cell>
          <cell r="F3029">
            <v>0</v>
          </cell>
          <cell r="G3029">
            <v>0</v>
          </cell>
          <cell r="H3029">
            <v>0</v>
          </cell>
          <cell r="I3029">
            <v>0</v>
          </cell>
          <cell r="J3029">
            <v>0</v>
          </cell>
        </row>
        <row r="3030">
          <cell r="B3030" t="str">
            <v>7.1.04.26</v>
          </cell>
          <cell r="C3030" t="str">
            <v>Hasil Pengelolaan Dana Abadi Daerah-LO</v>
          </cell>
          <cell r="D3030">
            <v>0</v>
          </cell>
          <cell r="E3030">
            <v>0</v>
          </cell>
          <cell r="F3030"/>
          <cell r="G3030"/>
          <cell r="H3030"/>
          <cell r="I3030"/>
          <cell r="J3030">
            <v>0</v>
          </cell>
        </row>
        <row r="3031">
          <cell r="B3031" t="str">
            <v>7.1.04.26.01</v>
          </cell>
          <cell r="C3031" t="str">
            <v>Hasil Pengelolaan Dana Abadi Daerah-LO</v>
          </cell>
          <cell r="D3031">
            <v>0</v>
          </cell>
          <cell r="E3031">
            <v>0</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F3032"/>
          <cell r="G3032"/>
          <cell r="H3032"/>
          <cell r="I3032"/>
          <cell r="J3032">
            <v>0</v>
          </cell>
        </row>
        <row r="3033">
          <cell r="B3033" t="str">
            <v>7.1.04.27.01</v>
          </cell>
          <cell r="C3033" t="str">
            <v>Pendapatan Denda-LO</v>
          </cell>
          <cell r="D3033">
            <v>0</v>
          </cell>
          <cell r="E3033">
            <v>0</v>
          </cell>
          <cell r="F3033">
            <v>0</v>
          </cell>
          <cell r="G3033">
            <v>0</v>
          </cell>
          <cell r="H3033">
            <v>0</v>
          </cell>
          <cell r="I3033">
            <v>0</v>
          </cell>
          <cell r="J3033">
            <v>0</v>
          </cell>
        </row>
        <row r="3034">
          <cell r="B3034" t="str">
            <v>7.1.04.27.02</v>
          </cell>
          <cell r="C3034" t="str">
            <v>Pendapatan Bunga-LO</v>
          </cell>
          <cell r="D3034">
            <v>0</v>
          </cell>
          <cell r="E3034">
            <v>0</v>
          </cell>
          <cell r="F3034">
            <v>0</v>
          </cell>
          <cell r="G3034">
            <v>0</v>
          </cell>
          <cell r="H3034">
            <v>0</v>
          </cell>
          <cell r="I3034">
            <v>0</v>
          </cell>
          <cell r="J3034">
            <v>0</v>
          </cell>
        </row>
        <row r="3035">
          <cell r="B3035" t="str">
            <v>7.1.04.27.03</v>
          </cell>
          <cell r="C3035" t="str">
            <v>Pendapatan Kenaikan Pokok Pajak-LO</v>
          </cell>
          <cell r="D3035">
            <v>0</v>
          </cell>
          <cell r="E3035">
            <v>0</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F3036"/>
          <cell r="G3036"/>
          <cell r="H3036"/>
          <cell r="I3036"/>
          <cell r="J3036">
            <v>0</v>
          </cell>
        </row>
        <row r="3037">
          <cell r="B3037" t="str">
            <v>7.1.04.28.01</v>
          </cell>
          <cell r="C3037" t="str">
            <v>Pendapatan Denda-LO</v>
          </cell>
          <cell r="D3037">
            <v>0</v>
          </cell>
          <cell r="E3037">
            <v>0</v>
          </cell>
          <cell r="F3037">
            <v>0</v>
          </cell>
          <cell r="G3037">
            <v>0</v>
          </cell>
          <cell r="H3037">
            <v>0</v>
          </cell>
          <cell r="I3037">
            <v>0</v>
          </cell>
          <cell r="J3037">
            <v>0</v>
          </cell>
        </row>
        <row r="3038">
          <cell r="B3038" t="str">
            <v>7.1.04.28.02</v>
          </cell>
          <cell r="C3038" t="str">
            <v>Pendapatan Bunga-LO</v>
          </cell>
          <cell r="D3038">
            <v>0</v>
          </cell>
          <cell r="E3038">
            <v>0</v>
          </cell>
          <cell r="F3038">
            <v>0</v>
          </cell>
          <cell r="G3038">
            <v>0</v>
          </cell>
          <cell r="H3038">
            <v>0</v>
          </cell>
          <cell r="I3038">
            <v>0</v>
          </cell>
          <cell r="J3038">
            <v>0</v>
          </cell>
        </row>
        <row r="3039">
          <cell r="B3039"/>
          <cell r="C3039"/>
          <cell r="D3039"/>
          <cell r="E3039"/>
          <cell r="F3039"/>
          <cell r="G3039"/>
          <cell r="H3039"/>
          <cell r="I3039"/>
          <cell r="J3039"/>
        </row>
        <row r="3040">
          <cell r="B3040" t="str">
            <v>7.2</v>
          </cell>
          <cell r="C3040" t="str">
            <v>PENDAPATAN TRANSFER-LO</v>
          </cell>
          <cell r="D3040">
            <v>1105495176736</v>
          </cell>
          <cell r="E3040">
            <v>1908244581015</v>
          </cell>
          <cell r="F3040"/>
          <cell r="G3040"/>
          <cell r="H3040"/>
          <cell r="I3040"/>
          <cell r="J3040">
            <v>1908244581015</v>
          </cell>
        </row>
        <row r="3041">
          <cell r="B3041" t="str">
            <v>7.2.01</v>
          </cell>
          <cell r="C3041" t="str">
            <v>Pendapatan Transfer Pemerintah Pusat-LO</v>
          </cell>
          <cell r="D3041">
            <v>966492223869</v>
          </cell>
          <cell r="E3041">
            <v>1864594458094</v>
          </cell>
          <cell r="F3041"/>
          <cell r="G3041"/>
          <cell r="H3041"/>
          <cell r="I3041"/>
          <cell r="J3041">
            <v>1864594458094</v>
          </cell>
        </row>
        <row r="3042">
          <cell r="B3042" t="str">
            <v>7.2.01.01</v>
          </cell>
          <cell r="C3042" t="str">
            <v>Dana Perimbangan-LO</v>
          </cell>
          <cell r="D3042">
            <v>933446890869</v>
          </cell>
          <cell r="E3042">
            <v>0</v>
          </cell>
          <cell r="F3042"/>
          <cell r="G3042"/>
          <cell r="H3042"/>
          <cell r="I3042"/>
          <cell r="J3042">
            <v>0</v>
          </cell>
        </row>
        <row r="3043">
          <cell r="B3043" t="str">
            <v>7.2.01.01.01</v>
          </cell>
          <cell r="C3043" t="str">
            <v>Dana Transfer Umum-Dana Bagi Hasil (DBH)-LO</v>
          </cell>
          <cell r="D3043">
            <v>309530818000</v>
          </cell>
          <cell r="E3043">
            <v>0</v>
          </cell>
          <cell r="F3043">
            <v>0</v>
          </cell>
          <cell r="G3043">
            <v>0</v>
          </cell>
          <cell r="H3043">
            <v>0</v>
          </cell>
          <cell r="I3043">
            <v>0</v>
          </cell>
          <cell r="J3043">
            <v>0</v>
          </cell>
        </row>
        <row r="3044">
          <cell r="B3044" t="str">
            <v>7.2.01.01.02</v>
          </cell>
          <cell r="C3044" t="str">
            <v>Dana Transfer Umum-Dana Alokasi Umum (DAU)-LO</v>
          </cell>
          <cell r="D3044">
            <v>432375705856</v>
          </cell>
          <cell r="E3044">
            <v>0</v>
          </cell>
          <cell r="F3044">
            <v>0</v>
          </cell>
          <cell r="G3044">
            <v>0</v>
          </cell>
          <cell r="H3044">
            <v>0</v>
          </cell>
          <cell r="I3044">
            <v>0</v>
          </cell>
          <cell r="J3044">
            <v>0</v>
          </cell>
        </row>
        <row r="3045">
          <cell r="B3045" t="str">
            <v>7.2.01.01.03</v>
          </cell>
          <cell r="C3045" t="str">
            <v>Dana Transfer Khusus-Dana Alokasi Khusus (DAK) Fisik-LO</v>
          </cell>
          <cell r="D3045">
            <v>103353966287</v>
          </cell>
          <cell r="E3045">
            <v>0</v>
          </cell>
          <cell r="F3045">
            <v>0</v>
          </cell>
          <cell r="G3045">
            <v>0</v>
          </cell>
          <cell r="H3045">
            <v>0</v>
          </cell>
          <cell r="I3045">
            <v>0</v>
          </cell>
          <cell r="J3045">
            <v>0</v>
          </cell>
        </row>
        <row r="3046">
          <cell r="B3046" t="str">
            <v>7.2.01.01.04</v>
          </cell>
          <cell r="C3046" t="str">
            <v>Dana Transfer Khusus-Dana Alokasi Khusus (DAK) Non Fisik-LO</v>
          </cell>
          <cell r="D3046">
            <v>88186400726</v>
          </cell>
          <cell r="E3046">
            <v>0</v>
          </cell>
          <cell r="F3046">
            <v>0</v>
          </cell>
          <cell r="G3046">
            <v>0</v>
          </cell>
          <cell r="H3046">
            <v>0</v>
          </cell>
          <cell r="I3046">
            <v>0</v>
          </cell>
          <cell r="J3046">
            <v>0</v>
          </cell>
        </row>
        <row r="3047">
          <cell r="B3047" t="str">
            <v>7.2.01.02</v>
          </cell>
          <cell r="C3047" t="str">
            <v>Dana Insentif Daerah (DID)-LO</v>
          </cell>
          <cell r="D3047">
            <v>0</v>
          </cell>
          <cell r="E3047">
            <v>0</v>
          </cell>
          <cell r="F3047"/>
          <cell r="G3047"/>
          <cell r="H3047"/>
          <cell r="I3047"/>
          <cell r="J3047">
            <v>0</v>
          </cell>
        </row>
        <row r="3048">
          <cell r="B3048" t="str">
            <v>7.2.01.02.01</v>
          </cell>
          <cell r="C3048" t="str">
            <v>DID-LO</v>
          </cell>
          <cell r="D3048">
            <v>0</v>
          </cell>
          <cell r="E3048">
            <v>0</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F3049"/>
          <cell r="G3049"/>
          <cell r="H3049"/>
          <cell r="I3049"/>
          <cell r="J3049">
            <v>0</v>
          </cell>
        </row>
        <row r="3050">
          <cell r="B3050" t="str">
            <v>7.2.01.03.01</v>
          </cell>
          <cell r="C3050" t="str">
            <v>Dana Otonomi Khusus-Provinsi Papua-LO</v>
          </cell>
          <cell r="D3050">
            <v>0</v>
          </cell>
          <cell r="E3050">
            <v>0</v>
          </cell>
          <cell r="F3050">
            <v>0</v>
          </cell>
          <cell r="G3050">
            <v>0</v>
          </cell>
          <cell r="H3050">
            <v>0</v>
          </cell>
          <cell r="I3050">
            <v>0</v>
          </cell>
          <cell r="J3050">
            <v>0</v>
          </cell>
        </row>
        <row r="3051">
          <cell r="B3051" t="str">
            <v>7.2.01.03.02</v>
          </cell>
          <cell r="C3051" t="str">
            <v>Dana Otonomi Khusus-Provinsi Papua Barat-LO</v>
          </cell>
          <cell r="D3051">
            <v>0</v>
          </cell>
          <cell r="E3051">
            <v>0</v>
          </cell>
          <cell r="F3051">
            <v>0</v>
          </cell>
          <cell r="G3051">
            <v>0</v>
          </cell>
          <cell r="H3051">
            <v>0</v>
          </cell>
          <cell r="I3051">
            <v>0</v>
          </cell>
          <cell r="J3051">
            <v>0</v>
          </cell>
        </row>
        <row r="3052">
          <cell r="B3052" t="str">
            <v>7.2.01.03.03</v>
          </cell>
          <cell r="C3052" t="str">
            <v>Dana Otonomi Khusus-Provinsi Aceh-LO</v>
          </cell>
          <cell r="D3052">
            <v>0</v>
          </cell>
          <cell r="E3052">
            <v>0</v>
          </cell>
          <cell r="F3052">
            <v>0</v>
          </cell>
          <cell r="G3052">
            <v>0</v>
          </cell>
          <cell r="H3052">
            <v>0</v>
          </cell>
          <cell r="I3052">
            <v>0</v>
          </cell>
          <cell r="J3052">
            <v>0</v>
          </cell>
        </row>
        <row r="3053">
          <cell r="B3053" t="str">
            <v>7.2.01.03.04</v>
          </cell>
          <cell r="C3053" t="str">
            <v>Dana Tambahan Infrastruktur dalam rangka Otonomi Khusus Provinsi Papua-LO</v>
          </cell>
          <cell r="D3053">
            <v>0</v>
          </cell>
          <cell r="E3053">
            <v>0</v>
          </cell>
          <cell r="F3053">
            <v>0</v>
          </cell>
          <cell r="G3053">
            <v>0</v>
          </cell>
          <cell r="H3053">
            <v>0</v>
          </cell>
          <cell r="I3053">
            <v>0</v>
          </cell>
          <cell r="J3053">
            <v>0</v>
          </cell>
        </row>
        <row r="3054">
          <cell r="B3054" t="str">
            <v>7.2.01.03.05</v>
          </cell>
          <cell r="C3054" t="str">
            <v>Dana Tambahan Infrastruktur dalam rangka Otonomi Khusus Provinsi Papua Barat-LO</v>
          </cell>
          <cell r="D3054">
            <v>0</v>
          </cell>
          <cell r="E3054">
            <v>0</v>
          </cell>
          <cell r="F3054">
            <v>0</v>
          </cell>
          <cell r="G3054">
            <v>0</v>
          </cell>
          <cell r="H3054">
            <v>0</v>
          </cell>
          <cell r="I3054">
            <v>0</v>
          </cell>
          <cell r="J3054">
            <v>0</v>
          </cell>
        </row>
        <row r="3055">
          <cell r="B3055" t="str">
            <v>7.2.01.03.06</v>
          </cell>
          <cell r="C3055" t="str">
            <v>Dana Bagi Hasil (DBH) Minyak dan Gas Otonomi Khusus Papua-LO</v>
          </cell>
          <cell r="D3055">
            <v>0</v>
          </cell>
          <cell r="E3055">
            <v>0</v>
          </cell>
          <cell r="F3055">
            <v>0</v>
          </cell>
          <cell r="G3055">
            <v>0</v>
          </cell>
          <cell r="H3055">
            <v>0</v>
          </cell>
          <cell r="I3055">
            <v>0</v>
          </cell>
          <cell r="J3055">
            <v>0</v>
          </cell>
        </row>
        <row r="3056">
          <cell r="B3056" t="str">
            <v>7.2.01.03.07</v>
          </cell>
          <cell r="C3056" t="str">
            <v>Dana Bagi Hasil (DBH) Minyak dan Gas Otonomi Khusus Aceh-LO</v>
          </cell>
          <cell r="D3056">
            <v>0</v>
          </cell>
          <cell r="E3056">
            <v>0</v>
          </cell>
          <cell r="F3056">
            <v>0</v>
          </cell>
          <cell r="G3056">
            <v>0</v>
          </cell>
          <cell r="H3056">
            <v>0</v>
          </cell>
          <cell r="I3056">
            <v>0</v>
          </cell>
          <cell r="J3056">
            <v>0</v>
          </cell>
        </row>
        <row r="3057">
          <cell r="B3057" t="str">
            <v>7.2.01.03.08</v>
          </cell>
          <cell r="C3057" t="str">
            <v>Dana Otonomi Khusus 1%-Papua-LO</v>
          </cell>
          <cell r="D3057">
            <v>0</v>
          </cell>
          <cell r="E3057">
            <v>0</v>
          </cell>
          <cell r="F3057">
            <v>0</v>
          </cell>
          <cell r="G3057">
            <v>0</v>
          </cell>
          <cell r="H3057">
            <v>0</v>
          </cell>
          <cell r="I3057">
            <v>0</v>
          </cell>
          <cell r="J3057">
            <v>0</v>
          </cell>
        </row>
        <row r="3058">
          <cell r="B3058" t="str">
            <v>7.2.01.03.09</v>
          </cell>
          <cell r="C3058" t="str">
            <v>DBH SDA Pertambangan Minyak Bumi-Papua-LO</v>
          </cell>
          <cell r="D3058">
            <v>0</v>
          </cell>
          <cell r="E3058">
            <v>0</v>
          </cell>
          <cell r="F3058">
            <v>0</v>
          </cell>
          <cell r="G3058">
            <v>0</v>
          </cell>
          <cell r="H3058">
            <v>0</v>
          </cell>
          <cell r="I3058">
            <v>0</v>
          </cell>
          <cell r="J3058">
            <v>0</v>
          </cell>
        </row>
        <row r="3059">
          <cell r="B3059" t="str">
            <v>7.2.01.03.10</v>
          </cell>
          <cell r="C3059" t="str">
            <v>DBH SDA Pertambangan Gas Alam-Papua-LO</v>
          </cell>
          <cell r="D3059">
            <v>0</v>
          </cell>
          <cell r="E3059">
            <v>0</v>
          </cell>
          <cell r="F3059">
            <v>0</v>
          </cell>
          <cell r="G3059">
            <v>0</v>
          </cell>
          <cell r="H3059">
            <v>0</v>
          </cell>
          <cell r="I3059">
            <v>0</v>
          </cell>
          <cell r="J3059">
            <v>0</v>
          </cell>
        </row>
        <row r="3060">
          <cell r="B3060" t="str">
            <v>7.2.01.03.11</v>
          </cell>
          <cell r="C3060" t="str">
            <v>Dana Otonomi Khusus 1,25%-Papua-LO</v>
          </cell>
          <cell r="D3060">
            <v>0</v>
          </cell>
          <cell r="E3060">
            <v>0</v>
          </cell>
          <cell r="F3060">
            <v>0</v>
          </cell>
          <cell r="G3060">
            <v>0</v>
          </cell>
          <cell r="H3060">
            <v>0</v>
          </cell>
          <cell r="I3060">
            <v>0</v>
          </cell>
          <cell r="J3060">
            <v>0</v>
          </cell>
        </row>
        <row r="3061">
          <cell r="B3061" t="str">
            <v>7.2.01.03.12</v>
          </cell>
          <cell r="C3061" t="str">
            <v>DTI-Papua-LO</v>
          </cell>
          <cell r="D3061">
            <v>0</v>
          </cell>
          <cell r="E3061">
            <v>0</v>
          </cell>
          <cell r="F3061">
            <v>0</v>
          </cell>
          <cell r="G3061">
            <v>0</v>
          </cell>
          <cell r="H3061">
            <v>0</v>
          </cell>
          <cell r="I3061">
            <v>0</v>
          </cell>
          <cell r="J3061">
            <v>0</v>
          </cell>
        </row>
        <row r="3062">
          <cell r="B3062" t="str">
            <v>7.2.01.03.13</v>
          </cell>
          <cell r="C3062" t="str">
            <v>DBH SDA Pertambangan Minyak Bumi-Aceh-LO</v>
          </cell>
          <cell r="D3062">
            <v>0</v>
          </cell>
          <cell r="E3062">
            <v>0</v>
          </cell>
          <cell r="F3062">
            <v>0</v>
          </cell>
          <cell r="G3062">
            <v>0</v>
          </cell>
          <cell r="H3062">
            <v>0</v>
          </cell>
          <cell r="I3062">
            <v>0</v>
          </cell>
          <cell r="J3062">
            <v>0</v>
          </cell>
        </row>
        <row r="3063">
          <cell r="B3063" t="str">
            <v>7.2.01.03.14</v>
          </cell>
          <cell r="C3063" t="str">
            <v>DBH SDA Pertambangan Gas Alam-Aceh-LO</v>
          </cell>
          <cell r="D3063">
            <v>0</v>
          </cell>
          <cell r="E3063">
            <v>0</v>
          </cell>
          <cell r="F3063">
            <v>0</v>
          </cell>
          <cell r="G3063">
            <v>0</v>
          </cell>
          <cell r="H3063">
            <v>0</v>
          </cell>
          <cell r="I3063">
            <v>0</v>
          </cell>
          <cell r="J3063">
            <v>0</v>
          </cell>
        </row>
        <row r="3064">
          <cell r="B3064" t="str">
            <v>7.2.01.04</v>
          </cell>
          <cell r="C3064" t="str">
            <v>Dana Keistimewaan-LO</v>
          </cell>
          <cell r="D3064">
            <v>0</v>
          </cell>
          <cell r="E3064">
            <v>0</v>
          </cell>
          <cell r="F3064"/>
          <cell r="G3064"/>
          <cell r="H3064"/>
          <cell r="I3064"/>
          <cell r="J3064">
            <v>0</v>
          </cell>
        </row>
        <row r="3065">
          <cell r="B3065" t="str">
            <v>7.2.01.04.01</v>
          </cell>
          <cell r="C3065" t="str">
            <v>Dana Keistimewaan Daerah Istimewa Yogyakarta-LO</v>
          </cell>
          <cell r="D3065">
            <v>0</v>
          </cell>
          <cell r="E3065">
            <v>0</v>
          </cell>
          <cell r="F3065">
            <v>0</v>
          </cell>
          <cell r="G3065">
            <v>0</v>
          </cell>
          <cell r="H3065">
            <v>0</v>
          </cell>
          <cell r="I3065">
            <v>0</v>
          </cell>
          <cell r="J3065">
            <v>0</v>
          </cell>
        </row>
        <row r="3066">
          <cell r="B3066" t="str">
            <v>7.2.01.05</v>
          </cell>
          <cell r="C3066" t="str">
            <v>Dana Desa-LO</v>
          </cell>
          <cell r="D3066">
            <v>0</v>
          </cell>
          <cell r="E3066">
            <v>0</v>
          </cell>
          <cell r="F3066"/>
          <cell r="G3066"/>
          <cell r="H3066"/>
          <cell r="I3066"/>
          <cell r="J3066">
            <v>0</v>
          </cell>
        </row>
        <row r="3067">
          <cell r="B3067" t="str">
            <v>7.2.01.05.01</v>
          </cell>
          <cell r="C3067" t="str">
            <v>Dana Desa-LO</v>
          </cell>
          <cell r="D3067">
            <v>0</v>
          </cell>
          <cell r="E3067">
            <v>0</v>
          </cell>
          <cell r="F3067">
            <v>0</v>
          </cell>
          <cell r="G3067">
            <v>0</v>
          </cell>
          <cell r="H3067">
            <v>0</v>
          </cell>
          <cell r="I3067">
            <v>0</v>
          </cell>
          <cell r="J3067">
            <v>0</v>
          </cell>
        </row>
        <row r="3068">
          <cell r="B3068" t="str">
            <v>7.2.01.06</v>
          </cell>
          <cell r="C3068" t="str">
            <v>Insentif Fiskal-LO</v>
          </cell>
          <cell r="D3068">
            <v>33045333000</v>
          </cell>
          <cell r="E3068">
            <v>13112385000</v>
          </cell>
          <cell r="F3068"/>
          <cell r="G3068"/>
          <cell r="H3068"/>
          <cell r="I3068"/>
          <cell r="J3068">
            <v>13112385000</v>
          </cell>
        </row>
        <row r="3069">
          <cell r="B3069" t="str">
            <v>7.2.01.06.01</v>
          </cell>
          <cell r="C3069" t="str">
            <v>Insentif Fiskal-LO</v>
          </cell>
          <cell r="D3069">
            <v>33045333000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7385625000</v>
          </cell>
          <cell r="F3070">
            <v>0</v>
          </cell>
          <cell r="G3070">
            <v>0</v>
          </cell>
          <cell r="H3070">
            <v>0</v>
          </cell>
          <cell r="I3070">
            <v>0</v>
          </cell>
          <cell r="J3070">
            <v>7385625000</v>
          </cell>
        </row>
        <row r="3071">
          <cell r="B3071" t="str">
            <v>7.2.01.06.03</v>
          </cell>
          <cell r="C3071" t="str">
            <v>Insentif Fiskal Untuk Penghargaan Kinerja Tahun Berjalan-LO</v>
          </cell>
          <cell r="D3071">
            <v>0</v>
          </cell>
          <cell r="E3071">
            <v>5726760000</v>
          </cell>
          <cell r="F3071">
            <v>0</v>
          </cell>
          <cell r="G3071">
            <v>0</v>
          </cell>
          <cell r="H3071">
            <v>0</v>
          </cell>
          <cell r="I3071">
            <v>0</v>
          </cell>
          <cell r="J3071">
            <v>5726760000</v>
          </cell>
        </row>
        <row r="3072">
          <cell r="B3072" t="str">
            <v>7.2.01.07</v>
          </cell>
          <cell r="C3072" t="str">
            <v>Dana Bagi Hasil (DBH)-LO</v>
          </cell>
          <cell r="D3072">
            <v>0</v>
          </cell>
          <cell r="E3072">
            <v>1314768365100</v>
          </cell>
          <cell r="F3072"/>
          <cell r="G3072"/>
          <cell r="H3072"/>
          <cell r="I3072"/>
          <cell r="J3072">
            <v>1314768365100</v>
          </cell>
        </row>
        <row r="3073">
          <cell r="B3073" t="str">
            <v>7.2.01.07.01</v>
          </cell>
          <cell r="C3073" t="str">
            <v>DBH Pajak-LO</v>
          </cell>
          <cell r="D3073">
            <v>0</v>
          </cell>
          <cell r="E3073">
            <v>331408568100</v>
          </cell>
          <cell r="F3073">
            <v>0</v>
          </cell>
          <cell r="G3073">
            <v>0</v>
          </cell>
          <cell r="H3073">
            <v>0</v>
          </cell>
          <cell r="I3073">
            <v>0</v>
          </cell>
          <cell r="J3073">
            <v>331408568100</v>
          </cell>
        </row>
        <row r="3074">
          <cell r="B3074" t="str">
            <v>7.2.01.07.02</v>
          </cell>
          <cell r="C3074" t="str">
            <v>DBH Sumber Daya Alam (SDA)-LO</v>
          </cell>
          <cell r="D3074">
            <v>0</v>
          </cell>
          <cell r="E3074">
            <v>983359797000</v>
          </cell>
          <cell r="F3074">
            <v>0</v>
          </cell>
          <cell r="G3074">
            <v>0</v>
          </cell>
          <cell r="H3074">
            <v>0</v>
          </cell>
          <cell r="I3074">
            <v>0</v>
          </cell>
          <cell r="J3074">
            <v>983359797000</v>
          </cell>
        </row>
        <row r="3075">
          <cell r="B3075" t="str">
            <v>7.2.01.07.03</v>
          </cell>
          <cell r="C3075" t="str">
            <v>DBH Lainnya-LO</v>
          </cell>
          <cell r="D3075">
            <v>0</v>
          </cell>
          <cell r="E3075">
            <v>0</v>
          </cell>
          <cell r="F3075">
            <v>0</v>
          </cell>
          <cell r="G3075">
            <v>0</v>
          </cell>
          <cell r="H3075">
            <v>0</v>
          </cell>
          <cell r="I3075">
            <v>0</v>
          </cell>
          <cell r="J3075">
            <v>0</v>
          </cell>
        </row>
        <row r="3076">
          <cell r="B3076" t="str">
            <v>7.2.01.08</v>
          </cell>
          <cell r="C3076" t="str">
            <v>Dana Alokasi Umum (DAU)-LO</v>
          </cell>
          <cell r="D3076">
            <v>0</v>
          </cell>
          <cell r="E3076">
            <v>425074556043</v>
          </cell>
          <cell r="F3076"/>
          <cell r="G3076"/>
          <cell r="H3076"/>
          <cell r="I3076"/>
          <cell r="J3076">
            <v>425074556043</v>
          </cell>
        </row>
        <row r="3077">
          <cell r="B3077" t="str">
            <v>7.2.01.08.01</v>
          </cell>
          <cell r="C3077" t="str">
            <v>DAU yang Tidak Ditentukan Penggunaannya-LO</v>
          </cell>
          <cell r="D3077">
            <v>0</v>
          </cell>
          <cell r="E3077">
            <v>358488751133</v>
          </cell>
          <cell r="F3077">
            <v>0</v>
          </cell>
          <cell r="G3077">
            <v>0</v>
          </cell>
          <cell r="H3077">
            <v>0</v>
          </cell>
          <cell r="I3077">
            <v>0</v>
          </cell>
          <cell r="J3077">
            <v>358488751133</v>
          </cell>
        </row>
        <row r="3078">
          <cell r="B3078" t="str">
            <v>7.2.01.08.02</v>
          </cell>
          <cell r="C3078" t="str">
            <v>DAU yang Ditentukan Penggunaannya-LO</v>
          </cell>
          <cell r="D3078">
            <v>0</v>
          </cell>
          <cell r="E3078">
            <v>66585804910</v>
          </cell>
          <cell r="F3078">
            <v>0</v>
          </cell>
          <cell r="G3078">
            <v>0</v>
          </cell>
          <cell r="H3078">
            <v>0</v>
          </cell>
          <cell r="I3078">
            <v>0</v>
          </cell>
          <cell r="J3078">
            <v>66585804910</v>
          </cell>
        </row>
        <row r="3079">
          <cell r="B3079" t="str">
            <v>7.2.01.09</v>
          </cell>
          <cell r="C3079" t="str">
            <v>Dana Alokasi Khusus (DAK)-LO</v>
          </cell>
          <cell r="D3079">
            <v>0</v>
          </cell>
          <cell r="E3079">
            <v>111639151951</v>
          </cell>
          <cell r="F3079"/>
          <cell r="G3079"/>
          <cell r="H3079"/>
          <cell r="I3079"/>
          <cell r="J3079">
            <v>111639151951</v>
          </cell>
        </row>
        <row r="3080">
          <cell r="B3080" t="str">
            <v>7.2.01.09.01</v>
          </cell>
          <cell r="C3080" t="str">
            <v>DAK Fisik-LO</v>
          </cell>
          <cell r="D3080">
            <v>0</v>
          </cell>
          <cell r="E3080">
            <v>5943939229</v>
          </cell>
          <cell r="F3080">
            <v>0</v>
          </cell>
          <cell r="G3080">
            <v>0</v>
          </cell>
          <cell r="H3080">
            <v>0</v>
          </cell>
          <cell r="I3080">
            <v>0</v>
          </cell>
          <cell r="J3080">
            <v>5943939229</v>
          </cell>
        </row>
        <row r="3081">
          <cell r="B3081" t="str">
            <v>7.2.01.09.02</v>
          </cell>
          <cell r="C3081" t="str">
            <v>DAK Non Fisik-LO</v>
          </cell>
          <cell r="D3081">
            <v>0</v>
          </cell>
          <cell r="E3081">
            <v>105695212722</v>
          </cell>
          <cell r="F3081">
            <v>0</v>
          </cell>
          <cell r="G3081">
            <v>0</v>
          </cell>
          <cell r="H3081">
            <v>0</v>
          </cell>
          <cell r="I3081">
            <v>0</v>
          </cell>
          <cell r="J3081">
            <v>105695212722</v>
          </cell>
        </row>
        <row r="3082">
          <cell r="B3082" t="str">
            <v>7.2.01.09.03</v>
          </cell>
          <cell r="C3082" t="str">
            <v>Hibah kepada Daerah-LO</v>
          </cell>
          <cell r="D3082">
            <v>0</v>
          </cell>
          <cell r="E3082">
            <v>0</v>
          </cell>
          <cell r="F3082">
            <v>0</v>
          </cell>
          <cell r="G3082">
            <v>0</v>
          </cell>
          <cell r="H3082">
            <v>0</v>
          </cell>
          <cell r="I3082">
            <v>0</v>
          </cell>
          <cell r="J3082">
            <v>0</v>
          </cell>
        </row>
        <row r="3083">
          <cell r="B3083"/>
          <cell r="C3083"/>
          <cell r="D3083"/>
          <cell r="E3083"/>
          <cell r="F3083"/>
          <cell r="G3083"/>
          <cell r="H3083"/>
          <cell r="I3083"/>
          <cell r="J3083"/>
        </row>
        <row r="3084">
          <cell r="B3084" t="str">
            <v>7.2.02</v>
          </cell>
          <cell r="C3084" t="str">
            <v>Pendapatan Transfer Antar Daerah-LO</v>
          </cell>
          <cell r="D3084">
            <v>139002952867</v>
          </cell>
          <cell r="E3084">
            <v>43650122921</v>
          </cell>
          <cell r="F3084"/>
          <cell r="G3084"/>
          <cell r="H3084"/>
          <cell r="I3084"/>
          <cell r="J3084">
            <v>43650122921</v>
          </cell>
        </row>
        <row r="3085">
          <cell r="B3085" t="str">
            <v>7.2.02.01</v>
          </cell>
          <cell r="C3085" t="str">
            <v>Pendapatan Bagi Hasil-LO</v>
          </cell>
          <cell r="D3085">
            <v>139002952867</v>
          </cell>
          <cell r="E3085">
            <v>43585122921</v>
          </cell>
          <cell r="F3085"/>
          <cell r="G3085"/>
          <cell r="H3085"/>
          <cell r="I3085"/>
          <cell r="J3085">
            <v>43585122921</v>
          </cell>
        </row>
        <row r="3086">
          <cell r="B3086" t="str">
            <v>7.2.02.01.01</v>
          </cell>
          <cell r="C3086" t="str">
            <v>Pendapatan Bagi Hasil Pajak-LO</v>
          </cell>
          <cell r="D3086">
            <v>139002952867</v>
          </cell>
          <cell r="E3086">
            <v>43585122921</v>
          </cell>
          <cell r="F3086">
            <v>0</v>
          </cell>
          <cell r="G3086">
            <v>0</v>
          </cell>
          <cell r="H3086">
            <v>0</v>
          </cell>
          <cell r="I3086">
            <v>0</v>
          </cell>
          <cell r="J3086">
            <v>43585122921</v>
          </cell>
        </row>
        <row r="3087">
          <cell r="B3087" t="str">
            <v>7.2.02.02</v>
          </cell>
          <cell r="C3087" t="str">
            <v>Bantuan Keuangan-LO</v>
          </cell>
          <cell r="D3087">
            <v>0</v>
          </cell>
          <cell r="E3087">
            <v>65000000</v>
          </cell>
          <cell r="F3087"/>
          <cell r="G3087"/>
          <cell r="H3087"/>
          <cell r="I3087"/>
          <cell r="J3087">
            <v>65000000</v>
          </cell>
        </row>
        <row r="3088">
          <cell r="B3088" t="str">
            <v>7.2.02.02.01</v>
          </cell>
          <cell r="C3088" t="str">
            <v>Bantuan Keuangan Umum dari Pemerintah Provinsi-LO</v>
          </cell>
          <cell r="D3088">
            <v>0</v>
          </cell>
          <cell r="E3088">
            <v>0</v>
          </cell>
          <cell r="F3088">
            <v>0</v>
          </cell>
          <cell r="G3088">
            <v>0</v>
          </cell>
          <cell r="H3088">
            <v>0</v>
          </cell>
          <cell r="I3088">
            <v>0</v>
          </cell>
          <cell r="J3088">
            <v>0</v>
          </cell>
        </row>
        <row r="3089">
          <cell r="B3089" t="str">
            <v>7.2.02.02.02</v>
          </cell>
          <cell r="C3089" t="str">
            <v>Bantuan Keuangan Khusus dari Pemerintah Provinsi-LO</v>
          </cell>
          <cell r="D3089">
            <v>0</v>
          </cell>
          <cell r="E3089">
            <v>65000000</v>
          </cell>
          <cell r="F3089">
            <v>0</v>
          </cell>
          <cell r="G3089">
            <v>0</v>
          </cell>
          <cell r="H3089">
            <v>0</v>
          </cell>
          <cell r="I3089">
            <v>0</v>
          </cell>
          <cell r="J3089">
            <v>65000000</v>
          </cell>
        </row>
        <row r="3090">
          <cell r="B3090" t="str">
            <v>7.2.02.02.03</v>
          </cell>
          <cell r="C3090" t="str">
            <v>Bantuan Keuangan Umum dari Pemerintah Kabupaten/Kota-LO</v>
          </cell>
          <cell r="D3090">
            <v>0</v>
          </cell>
          <cell r="E3090">
            <v>0</v>
          </cell>
          <cell r="F3090">
            <v>0</v>
          </cell>
          <cell r="G3090">
            <v>0</v>
          </cell>
          <cell r="H3090">
            <v>0</v>
          </cell>
          <cell r="I3090">
            <v>0</v>
          </cell>
          <cell r="J3090">
            <v>0</v>
          </cell>
        </row>
        <row r="3091">
          <cell r="B3091" t="str">
            <v>7.2.02.02.04</v>
          </cell>
          <cell r="C3091" t="str">
            <v>Bantuan Keuangan Khusus dari Pemerintah Kabupaten/Kota-LO</v>
          </cell>
          <cell r="D3091">
            <v>0</v>
          </cell>
          <cell r="E3091">
            <v>0</v>
          </cell>
          <cell r="F3091">
            <v>0</v>
          </cell>
          <cell r="G3091">
            <v>0</v>
          </cell>
          <cell r="H3091">
            <v>0</v>
          </cell>
          <cell r="I3091">
            <v>0</v>
          </cell>
          <cell r="J3091">
            <v>0</v>
          </cell>
        </row>
        <row r="3092">
          <cell r="B3092"/>
          <cell r="C3092"/>
          <cell r="D3092"/>
          <cell r="E3092"/>
          <cell r="F3092"/>
          <cell r="G3092"/>
          <cell r="H3092"/>
          <cell r="I3092"/>
          <cell r="J3092"/>
        </row>
        <row r="3093">
          <cell r="B3093" t="str">
            <v>7.3</v>
          </cell>
          <cell r="C3093" t="str">
            <v>LAIN-LAIN PENDAPATAN DAERAH YANG SAH-LO</v>
          </cell>
          <cell r="D3093">
            <v>224211998461</v>
          </cell>
          <cell r="E3093">
            <v>315944092553.06</v>
          </cell>
          <cell r="F3093"/>
          <cell r="G3093"/>
          <cell r="H3093"/>
          <cell r="I3093"/>
          <cell r="J3093">
            <v>325305784379.06</v>
          </cell>
        </row>
        <row r="3094">
          <cell r="B3094" t="str">
            <v>7.3.01</v>
          </cell>
          <cell r="C3094" t="str">
            <v>Pendapatan Hibah-LO</v>
          </cell>
          <cell r="D3094">
            <v>25192790350</v>
          </cell>
          <cell r="E3094">
            <v>17472317425.559998</v>
          </cell>
          <cell r="F3094"/>
          <cell r="G3094"/>
          <cell r="H3094"/>
          <cell r="I3094"/>
          <cell r="J3094">
            <v>26834009251.560001</v>
          </cell>
        </row>
        <row r="3095">
          <cell r="B3095" t="str">
            <v>7.3.01.01</v>
          </cell>
          <cell r="C3095" t="str">
            <v>Pendapatan Hibah dari Pemerintah Pusat-LO</v>
          </cell>
          <cell r="D3095">
            <v>2187779000</v>
          </cell>
          <cell r="E3095">
            <v>14226184399</v>
          </cell>
          <cell r="F3095"/>
          <cell r="G3095"/>
          <cell r="H3095"/>
          <cell r="I3095"/>
          <cell r="J3095">
            <v>23587876225</v>
          </cell>
        </row>
        <row r="3096">
          <cell r="B3096" t="str">
            <v>7.3.01.01.01</v>
          </cell>
          <cell r="C3096" t="str">
            <v>Pendapatan Hibah dari Pemerintah Pusat-LO</v>
          </cell>
          <cell r="D3096">
            <v>2187779000</v>
          </cell>
          <cell r="E3096">
            <v>14226184399</v>
          </cell>
          <cell r="F3096">
            <v>0</v>
          </cell>
          <cell r="G3096">
            <v>9361691826</v>
          </cell>
          <cell r="H3096">
            <v>0</v>
          </cell>
          <cell r="I3096">
            <v>0</v>
          </cell>
          <cell r="J3096">
            <v>23587876225</v>
          </cell>
        </row>
        <row r="3097">
          <cell r="B3097" t="str">
            <v>7.3.01.02</v>
          </cell>
          <cell r="C3097" t="str">
            <v>Pendapatan Hibah dari Pemerintah Daerah Lainnya-LO</v>
          </cell>
          <cell r="D3097">
            <v>22995985850</v>
          </cell>
          <cell r="E3097">
            <v>2577521981.5599999</v>
          </cell>
          <cell r="F3097"/>
          <cell r="G3097"/>
          <cell r="H3097"/>
          <cell r="I3097"/>
          <cell r="J3097">
            <v>2577521981.5599999</v>
          </cell>
        </row>
        <row r="3098">
          <cell r="B3098" t="str">
            <v>7.3.01.02.01</v>
          </cell>
          <cell r="C3098" t="str">
            <v>Pendapatan Hibah dari Pemerintah Daerah Lainnya-LO</v>
          </cell>
          <cell r="D3098">
            <v>22995985850</v>
          </cell>
          <cell r="E3098">
            <v>2577521981.5599999</v>
          </cell>
          <cell r="F3098">
            <v>0</v>
          </cell>
          <cell r="G3098">
            <v>0</v>
          </cell>
          <cell r="H3098">
            <v>0</v>
          </cell>
          <cell r="I3098">
            <v>0</v>
          </cell>
          <cell r="J3098">
            <v>2577521981.5599999</v>
          </cell>
        </row>
        <row r="3099">
          <cell r="B3099" t="str">
            <v>7.3.01.03</v>
          </cell>
          <cell r="C3099" t="str">
            <v>Pendapatan Hibah dari Kelompok Masyarakat/Perorangan Dalam Negeri-LO</v>
          </cell>
          <cell r="D3099">
            <v>197500</v>
          </cell>
          <cell r="E3099">
            <v>12000000</v>
          </cell>
          <cell r="F3099"/>
          <cell r="G3099"/>
          <cell r="H3099"/>
          <cell r="I3099"/>
          <cell r="J3099">
            <v>12000000</v>
          </cell>
        </row>
        <row r="3100">
          <cell r="B3100" t="str">
            <v>7.3.01.03.01</v>
          </cell>
          <cell r="C3100" t="str">
            <v>Pendapatan Hibah dari Kelompok Masyarakat/Perorangan Dalam Negeri-LO</v>
          </cell>
          <cell r="D3100">
            <v>197500</v>
          </cell>
          <cell r="E3100">
            <v>12000000</v>
          </cell>
          <cell r="F3100">
            <v>0</v>
          </cell>
          <cell r="G3100">
            <v>0</v>
          </cell>
          <cell r="H3100">
            <v>0</v>
          </cell>
          <cell r="I3100">
            <v>0</v>
          </cell>
          <cell r="J3100">
            <v>12000000</v>
          </cell>
        </row>
        <row r="3101">
          <cell r="B3101" t="str">
            <v>7.3.01.04</v>
          </cell>
          <cell r="C3101" t="str">
            <v>Pendapatan Hibah dari Badan/Lembaga/Organisasi Dalam Negeri/Luar Negeri-LO</v>
          </cell>
          <cell r="D3101">
            <v>0</v>
          </cell>
          <cell r="E3101">
            <v>656611045</v>
          </cell>
          <cell r="F3101"/>
          <cell r="G3101"/>
          <cell r="H3101"/>
          <cell r="I3101"/>
          <cell r="J3101">
            <v>656611045</v>
          </cell>
        </row>
        <row r="3102">
          <cell r="B3102" t="str">
            <v>7.3.01.04.01</v>
          </cell>
          <cell r="C3102" t="str">
            <v>Pendapatan Hibah dari Badan/Lembaga/Organisasi Dalam Negeri-LO</v>
          </cell>
          <cell r="D3102">
            <v>0</v>
          </cell>
          <cell r="E3102">
            <v>656611045</v>
          </cell>
          <cell r="F3102">
            <v>0</v>
          </cell>
          <cell r="G3102">
            <v>0</v>
          </cell>
          <cell r="H3102">
            <v>0</v>
          </cell>
          <cell r="I3102">
            <v>0</v>
          </cell>
          <cell r="J3102">
            <v>656611045</v>
          </cell>
        </row>
        <row r="3103">
          <cell r="B3103" t="str">
            <v>7.3.01.04.02</v>
          </cell>
          <cell r="C3103" t="str">
            <v>Pendapatan Hibah dari Badan/Lembaga/Organisasi Luar Negeri-LO</v>
          </cell>
          <cell r="D3103">
            <v>0</v>
          </cell>
          <cell r="E3103">
            <v>0</v>
          </cell>
          <cell r="F3103">
            <v>0</v>
          </cell>
          <cell r="G3103">
            <v>0</v>
          </cell>
          <cell r="H3103">
            <v>0</v>
          </cell>
          <cell r="I3103">
            <v>0</v>
          </cell>
          <cell r="J3103">
            <v>0</v>
          </cell>
        </row>
        <row r="3104">
          <cell r="B3104" t="str">
            <v>7.3.01.04.03</v>
          </cell>
          <cell r="C3104" t="str">
            <v>Pendapatan Hibah dari Lembaga/Organisasi Swasta Dalam Negeri-LO</v>
          </cell>
          <cell r="D3104">
            <v>0</v>
          </cell>
          <cell r="E3104">
            <v>0</v>
          </cell>
          <cell r="F3104">
            <v>0</v>
          </cell>
          <cell r="G3104">
            <v>0</v>
          </cell>
          <cell r="H3104">
            <v>0</v>
          </cell>
          <cell r="I3104">
            <v>0</v>
          </cell>
          <cell r="J3104">
            <v>0</v>
          </cell>
        </row>
        <row r="3105">
          <cell r="B3105" t="str">
            <v>7.3.01.04.04</v>
          </cell>
          <cell r="C3105" t="str">
            <v>Pendapatan Hibah dari Lembaga/Organisasi Swasta Luar Negeri-LO</v>
          </cell>
          <cell r="D3105">
            <v>0</v>
          </cell>
          <cell r="E3105">
            <v>0</v>
          </cell>
          <cell r="F3105">
            <v>0</v>
          </cell>
          <cell r="G3105">
            <v>0</v>
          </cell>
          <cell r="H3105">
            <v>0</v>
          </cell>
          <cell r="I3105">
            <v>0</v>
          </cell>
          <cell r="J3105">
            <v>0</v>
          </cell>
        </row>
        <row r="3106">
          <cell r="B3106" t="str">
            <v>7.3.01.05</v>
          </cell>
          <cell r="C3106" t="str">
            <v>Sumbangan Pihak Ketiga/Sejenis-LO</v>
          </cell>
          <cell r="D3106">
            <v>8828000</v>
          </cell>
          <cell r="E3106">
            <v>0</v>
          </cell>
          <cell r="F3106"/>
          <cell r="G3106"/>
          <cell r="H3106"/>
          <cell r="I3106"/>
          <cell r="J3106">
            <v>0</v>
          </cell>
        </row>
        <row r="3107">
          <cell r="B3107" t="str">
            <v>7.3.01.05.01</v>
          </cell>
          <cell r="C3107" t="str">
            <v>Sumbangan Pihak Ketiga/Sejenis-LO</v>
          </cell>
          <cell r="D3107">
            <v>8828000</v>
          </cell>
          <cell r="E3107">
            <v>0</v>
          </cell>
          <cell r="F3107">
            <v>0</v>
          </cell>
          <cell r="G3107">
            <v>0</v>
          </cell>
          <cell r="H3107">
            <v>0</v>
          </cell>
          <cell r="I3107">
            <v>0</v>
          </cell>
          <cell r="J3107">
            <v>0</v>
          </cell>
        </row>
        <row r="3108">
          <cell r="B3108"/>
          <cell r="C3108"/>
          <cell r="D3108"/>
          <cell r="E3108"/>
          <cell r="F3108"/>
          <cell r="G3108"/>
          <cell r="H3108"/>
          <cell r="I3108"/>
          <cell r="J3108"/>
        </row>
        <row r="3109">
          <cell r="B3109" t="str">
            <v>7.3.02</v>
          </cell>
          <cell r="C3109" t="str">
            <v>Dana Darurat-LO</v>
          </cell>
          <cell r="D3109">
            <v>0</v>
          </cell>
          <cell r="E3109">
            <v>0</v>
          </cell>
          <cell r="F3109"/>
          <cell r="G3109"/>
          <cell r="H3109"/>
          <cell r="I3109"/>
          <cell r="J3109">
            <v>0</v>
          </cell>
        </row>
        <row r="3110">
          <cell r="B3110" t="str">
            <v>7.3.02.01</v>
          </cell>
          <cell r="C3110" t="str">
            <v>Dana Darurat-LO</v>
          </cell>
          <cell r="D3110">
            <v>0</v>
          </cell>
          <cell r="E3110">
            <v>0</v>
          </cell>
          <cell r="F3110"/>
          <cell r="G3110"/>
          <cell r="H3110"/>
          <cell r="I3110"/>
          <cell r="J3110">
            <v>0</v>
          </cell>
        </row>
        <row r="3111">
          <cell r="B3111" t="str">
            <v>7.3.02.01.01</v>
          </cell>
          <cell r="C3111" t="str">
            <v>Dana Darurat-LO</v>
          </cell>
          <cell r="D3111">
            <v>0</v>
          </cell>
          <cell r="E3111">
            <v>0</v>
          </cell>
          <cell r="F3111">
            <v>0</v>
          </cell>
          <cell r="G3111">
            <v>0</v>
          </cell>
          <cell r="H3111">
            <v>0</v>
          </cell>
          <cell r="I3111">
            <v>0</v>
          </cell>
          <cell r="J3111">
            <v>0</v>
          </cell>
        </row>
        <row r="3112">
          <cell r="B3112"/>
          <cell r="C3112"/>
          <cell r="D3112"/>
          <cell r="E3112"/>
          <cell r="F3112"/>
          <cell r="G3112"/>
          <cell r="H3112"/>
          <cell r="I3112"/>
          <cell r="J3112"/>
        </row>
        <row r="3113">
          <cell r="B3113" t="str">
            <v>7.3.03</v>
          </cell>
          <cell r="C3113" t="str">
            <v>Lain-lain Pendapatan Sesuai dengan Ketentuan Peraturan Perundang-Undangan-LO</v>
          </cell>
          <cell r="D3113">
            <v>199019208111</v>
          </cell>
          <cell r="E3113">
            <v>298471775127.5</v>
          </cell>
          <cell r="F3113"/>
          <cell r="G3113"/>
          <cell r="H3113"/>
          <cell r="I3113"/>
          <cell r="J3113">
            <v>298471775127.5</v>
          </cell>
        </row>
        <row r="3114">
          <cell r="B3114" t="str">
            <v>7.3.03.01</v>
          </cell>
          <cell r="C3114" t="str">
            <v>Lain-lain Pendapatan-LO</v>
          </cell>
          <cell r="D3114">
            <v>199002030750</v>
          </cell>
          <cell r="E3114">
            <v>298388317272</v>
          </cell>
          <cell r="F3114"/>
          <cell r="G3114"/>
          <cell r="H3114"/>
          <cell r="I3114"/>
          <cell r="J3114">
            <v>2237432122</v>
          </cell>
        </row>
        <row r="3115">
          <cell r="B3115" t="str">
            <v>7.3.03.01.01</v>
          </cell>
          <cell r="C3115" t="str">
            <v>Pendapatan Hibah Dana BOS-LO</v>
          </cell>
          <cell r="D3115">
            <v>0</v>
          </cell>
          <cell r="E3115">
            <v>0</v>
          </cell>
          <cell r="F3115">
            <v>0</v>
          </cell>
          <cell r="G3115">
            <v>0</v>
          </cell>
          <cell r="H3115">
            <v>0</v>
          </cell>
          <cell r="I3115">
            <v>0</v>
          </cell>
          <cell r="J3115">
            <v>0</v>
          </cell>
        </row>
        <row r="3116">
          <cell r="B3116" t="str">
            <v>7.3.03.01.02</v>
          </cell>
          <cell r="C3116" t="str">
            <v>Pendapatan atas Pengembalian Hibah-LO</v>
          </cell>
          <cell r="D3116">
            <v>0</v>
          </cell>
          <cell r="E3116">
            <v>2237432122</v>
          </cell>
          <cell r="F3116">
            <v>0</v>
          </cell>
          <cell r="G3116">
            <v>0</v>
          </cell>
          <cell r="H3116">
            <v>0</v>
          </cell>
          <cell r="I3116">
            <v>0</v>
          </cell>
          <cell r="J3116">
            <v>2237432122</v>
          </cell>
        </row>
        <row r="3117">
          <cell r="B3117" t="str">
            <v>7.3.03.01.03</v>
          </cell>
          <cell r="C3117" t="str">
            <v>Pendapatan atas Dana Reducing Emission from Deforestration and Forest Degradation Results Based Payment-LO</v>
          </cell>
          <cell r="D3117">
            <v>199002030750</v>
          </cell>
          <cell r="E3117">
            <v>296150885150</v>
          </cell>
          <cell r="F3117">
            <v>0</v>
          </cell>
          <cell r="G3117">
            <v>0</v>
          </cell>
          <cell r="H3117">
            <v>296150885150</v>
          </cell>
          <cell r="I3117">
            <v>0</v>
          </cell>
          <cell r="J3117">
            <v>0</v>
          </cell>
        </row>
        <row r="3118">
          <cell r="B3118" t="str">
            <v>7.3.03.02</v>
          </cell>
          <cell r="C3118" t="str">
            <v>Pendapatan Dana Kapitasi JKN pada FKTP-LO</v>
          </cell>
          <cell r="D3118">
            <v>0</v>
          </cell>
          <cell r="E3118">
            <v>0</v>
          </cell>
          <cell r="F3118"/>
          <cell r="G3118"/>
          <cell r="H3118"/>
          <cell r="I3118"/>
          <cell r="J3118">
            <v>0</v>
          </cell>
        </row>
        <row r="3119">
          <cell r="B3119" t="str">
            <v>7.3.03.02.01</v>
          </cell>
          <cell r="C3119" t="str">
            <v>Pendapatan Dana Kapitasi JKN pada FKTP-LO</v>
          </cell>
          <cell r="D3119">
            <v>0</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0</v>
          </cell>
          <cell r="E3120">
            <v>0</v>
          </cell>
          <cell r="F3120"/>
          <cell r="G3120"/>
          <cell r="H3120"/>
          <cell r="I3120"/>
          <cell r="J3120">
            <v>296150885150</v>
          </cell>
        </row>
        <row r="3121">
          <cell r="B3121" t="str">
            <v>7.3.03.03.01</v>
          </cell>
          <cell r="C3121" t="str">
            <v>Pendapatan Bagi Hasil Pemegang IUPK atas Pertambangan Mineral Logam dan Batu Bara-LO</v>
          </cell>
          <cell r="D3121">
            <v>0</v>
          </cell>
          <cell r="E3121">
            <v>0</v>
          </cell>
          <cell r="F3121">
            <v>0</v>
          </cell>
          <cell r="G3121">
            <v>0</v>
          </cell>
          <cell r="H3121">
            <v>0</v>
          </cell>
          <cell r="I3121">
            <v>296150885150</v>
          </cell>
          <cell r="J3121">
            <v>296150885150</v>
          </cell>
        </row>
        <row r="3122">
          <cell r="B3122" t="str">
            <v>7.3.03.04</v>
          </cell>
          <cell r="C3122" t="str">
            <v>Kontribusi dari Sumber Lain yang Sah dan Tidak Mengikat-LO</v>
          </cell>
          <cell r="D3122">
            <v>17177361</v>
          </cell>
          <cell r="E3122">
            <v>83457855.5</v>
          </cell>
          <cell r="F3122"/>
          <cell r="G3122"/>
          <cell r="H3122"/>
          <cell r="I3122"/>
          <cell r="J3122">
            <v>83457855.5</v>
          </cell>
        </row>
        <row r="3123">
          <cell r="B3123" t="str">
            <v>7.3.03.04.01</v>
          </cell>
          <cell r="C3123" t="str">
            <v>Kontribusi dari Sumber Lain yang Sah dan Tidak Mengikat-LO</v>
          </cell>
          <cell r="D3123">
            <v>17177361</v>
          </cell>
          <cell r="E3123">
            <v>83457855.5</v>
          </cell>
          <cell r="F3123">
            <v>0</v>
          </cell>
          <cell r="G3123">
            <v>0</v>
          </cell>
          <cell r="H3123">
            <v>0</v>
          </cell>
          <cell r="I3123">
            <v>0</v>
          </cell>
          <cell r="J3123">
            <v>83457855.5</v>
          </cell>
        </row>
        <row r="3124">
          <cell r="B3124" t="str">
            <v>7.3.03.05</v>
          </cell>
          <cell r="C3124" t="str">
            <v>Pendapatan Klaim Pelayanan Kesehatan/Nonkapitasi-LO</v>
          </cell>
          <cell r="D3124">
            <v>0</v>
          </cell>
          <cell r="E3124">
            <v>0</v>
          </cell>
          <cell r="F3124"/>
          <cell r="G3124"/>
          <cell r="H3124"/>
          <cell r="I3124"/>
          <cell r="J3124">
            <v>0</v>
          </cell>
        </row>
        <row r="3125">
          <cell r="B3125" t="str">
            <v>7.3.03.05.01</v>
          </cell>
          <cell r="C3125" t="str">
            <v>Pendapatan Klaim Pelayanan Kesehatan/Nonkapitasi-LO</v>
          </cell>
          <cell r="D3125">
            <v>0</v>
          </cell>
          <cell r="E3125">
            <v>0</v>
          </cell>
          <cell r="F3125">
            <v>0</v>
          </cell>
          <cell r="G3125">
            <v>0</v>
          </cell>
          <cell r="H3125">
            <v>0</v>
          </cell>
          <cell r="I3125">
            <v>0</v>
          </cell>
          <cell r="J3125">
            <v>0</v>
          </cell>
        </row>
        <row r="3126">
          <cell r="B3126" t="str">
            <v>7.3.03.06</v>
          </cell>
          <cell r="C3126" t="str">
            <v>Pendapatan Bonus Produksi Panas Bumi-LO</v>
          </cell>
          <cell r="D3126">
            <v>0</v>
          </cell>
          <cell r="E3126">
            <v>0</v>
          </cell>
          <cell r="F3126"/>
          <cell r="G3126"/>
          <cell r="H3126"/>
          <cell r="I3126"/>
          <cell r="J3126">
            <v>0</v>
          </cell>
        </row>
        <row r="3127">
          <cell r="B3127" t="str">
            <v>7.3.03.06.01</v>
          </cell>
          <cell r="C3127" t="str">
            <v>Pendapatan Bonus Produksi Panas Bumi-LO</v>
          </cell>
          <cell r="D3127">
            <v>0</v>
          </cell>
          <cell r="E3127">
            <v>0</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F3128"/>
          <cell r="G3128"/>
          <cell r="H3128"/>
          <cell r="I3128"/>
          <cell r="J3128">
            <v>0</v>
          </cell>
        </row>
        <row r="3129">
          <cell r="B3129" t="str">
            <v>7.3.03.07.01</v>
          </cell>
          <cell r="C3129" t="str">
            <v>Pendapatan Bonus Tandatangan dan Bonus Produksi Pemerintah Aceh-LO</v>
          </cell>
          <cell r="D3129">
            <v>0</v>
          </cell>
          <cell r="E3129">
            <v>0</v>
          </cell>
          <cell r="F3129">
            <v>0</v>
          </cell>
          <cell r="G3129">
            <v>0</v>
          </cell>
          <cell r="H3129">
            <v>0</v>
          </cell>
          <cell r="I3129">
            <v>0</v>
          </cell>
          <cell r="J3129">
            <v>0</v>
          </cell>
        </row>
        <row r="3130">
          <cell r="B3130"/>
          <cell r="C3130"/>
          <cell r="D3130"/>
          <cell r="E3130"/>
          <cell r="F3130"/>
          <cell r="G3130"/>
          <cell r="H3130"/>
          <cell r="I3130"/>
          <cell r="J3130"/>
        </row>
        <row r="3131">
          <cell r="B3131" t="str">
            <v>8</v>
          </cell>
          <cell r="C3131" t="str">
            <v>BEBAN DAERAH</v>
          </cell>
          <cell r="D3131">
            <v>1538897553881.4099</v>
          </cell>
          <cell r="E3131">
            <v>1699932523972.3201</v>
          </cell>
          <cell r="F3131"/>
          <cell r="G3131"/>
          <cell r="H3131"/>
          <cell r="I3131"/>
          <cell r="J3131">
            <v>1700000125039.75</v>
          </cell>
        </row>
        <row r="3132">
          <cell r="B3132" t="str">
            <v>8.1</v>
          </cell>
          <cell r="C3132" t="str">
            <v>BEBAN OPERASI</v>
          </cell>
          <cell r="D3132">
            <v>1418535968938.4099</v>
          </cell>
          <cell r="E3132">
            <v>1568067340010.3201</v>
          </cell>
          <cell r="F3132"/>
          <cell r="G3132"/>
          <cell r="H3132"/>
          <cell r="I3132"/>
          <cell r="J3132">
            <v>1568134941077.75</v>
          </cell>
        </row>
        <row r="3133">
          <cell r="B3133" t="str">
            <v>8.1.01</v>
          </cell>
          <cell r="C3133" t="str">
            <v>Beban Pegawai</v>
          </cell>
          <cell r="D3133">
            <v>504209539439.97998</v>
          </cell>
          <cell r="E3133">
            <v>587986063034</v>
          </cell>
          <cell r="F3133"/>
          <cell r="G3133"/>
          <cell r="H3133"/>
          <cell r="I3133"/>
          <cell r="J3133">
            <v>587937280254</v>
          </cell>
        </row>
        <row r="3134">
          <cell r="B3134" t="str">
            <v>8.1.01.01</v>
          </cell>
          <cell r="C3134" t="str">
            <v>Beban Gaji dan Tunjangan ASN</v>
          </cell>
          <cell r="D3134">
            <v>309086308090</v>
          </cell>
          <cell r="E3134">
            <v>366112237164</v>
          </cell>
          <cell r="F3134"/>
          <cell r="G3134"/>
          <cell r="H3134"/>
          <cell r="I3134"/>
          <cell r="J3134">
            <v>366073704384</v>
          </cell>
        </row>
        <row r="3135">
          <cell r="B3135" t="str">
            <v>8.1.01.01.01</v>
          </cell>
          <cell r="C3135" t="str">
            <v>Beban Gaji Pokok ASN</v>
          </cell>
          <cell r="D3135">
            <v>229768448036</v>
          </cell>
          <cell r="E3135">
            <v>270135243832</v>
          </cell>
          <cell r="F3135">
            <v>0</v>
          </cell>
          <cell r="G3135">
            <v>9727536</v>
          </cell>
          <cell r="H3135">
            <v>0</v>
          </cell>
          <cell r="I3135">
            <v>0</v>
          </cell>
          <cell r="J3135">
            <v>270125516296</v>
          </cell>
        </row>
        <row r="3136">
          <cell r="B3136" t="str">
            <v>8.1.01.01.02</v>
          </cell>
          <cell r="C3136" t="str">
            <v>Beban Tunjangan Keluarga ASN</v>
          </cell>
          <cell r="D3136">
            <v>21140110644</v>
          </cell>
          <cell r="E3136">
            <v>24615334821</v>
          </cell>
          <cell r="F3136">
            <v>0</v>
          </cell>
          <cell r="G3136">
            <v>28805244</v>
          </cell>
          <cell r="H3136">
            <v>0</v>
          </cell>
          <cell r="I3136">
            <v>0</v>
          </cell>
          <cell r="J3136">
            <v>24586529577</v>
          </cell>
        </row>
        <row r="3137">
          <cell r="B3137" t="str">
            <v>8.1.01.01.03</v>
          </cell>
          <cell r="C3137" t="str">
            <v>Beban Tunjangan Jabatan ASN</v>
          </cell>
          <cell r="D3137">
            <v>5323137774</v>
          </cell>
          <cell r="E3137">
            <v>5045182500</v>
          </cell>
          <cell r="F3137">
            <v>0</v>
          </cell>
          <cell r="G3137">
            <v>0</v>
          </cell>
          <cell r="H3137">
            <v>0</v>
          </cell>
          <cell r="I3137">
            <v>0</v>
          </cell>
          <cell r="J3137">
            <v>5045182500</v>
          </cell>
        </row>
        <row r="3138">
          <cell r="B3138" t="str">
            <v>8.1.01.01.04</v>
          </cell>
          <cell r="C3138" t="str">
            <v>Beban Tunjangan Fungsional ASN</v>
          </cell>
          <cell r="D3138">
            <v>18203178504</v>
          </cell>
          <cell r="E3138">
            <v>20225967000</v>
          </cell>
          <cell r="F3138">
            <v>0</v>
          </cell>
          <cell r="G3138">
            <v>0</v>
          </cell>
          <cell r="H3138">
            <v>0</v>
          </cell>
          <cell r="I3138">
            <v>0</v>
          </cell>
          <cell r="J3138">
            <v>20225967000</v>
          </cell>
        </row>
        <row r="3139">
          <cell r="B3139" t="str">
            <v>8.1.01.01.05</v>
          </cell>
          <cell r="C3139" t="str">
            <v>Beban Tunjangan Fungsional Umum ASN</v>
          </cell>
          <cell r="D3139">
            <v>1903675000</v>
          </cell>
          <cell r="E3139">
            <v>4070310500</v>
          </cell>
          <cell r="F3139">
            <v>0</v>
          </cell>
          <cell r="G3139">
            <v>0</v>
          </cell>
          <cell r="H3139">
            <v>0</v>
          </cell>
          <cell r="I3139">
            <v>0</v>
          </cell>
          <cell r="J3139">
            <v>4070310500</v>
          </cell>
        </row>
        <row r="3140">
          <cell r="B3140" t="str">
            <v>8.1.01.01.06</v>
          </cell>
          <cell r="C3140" t="str">
            <v>Beban Tunjangan Beras ASN</v>
          </cell>
          <cell r="D3140">
            <v>13943240532</v>
          </cell>
          <cell r="E3140">
            <v>15593409616</v>
          </cell>
          <cell r="F3140">
            <v>0</v>
          </cell>
          <cell r="G3140">
            <v>0</v>
          </cell>
          <cell r="H3140">
            <v>0</v>
          </cell>
          <cell r="I3140">
            <v>0</v>
          </cell>
          <cell r="J3140">
            <v>15593409616</v>
          </cell>
        </row>
        <row r="3141">
          <cell r="B3141" t="str">
            <v>8.1.01.01.07</v>
          </cell>
          <cell r="C3141" t="str">
            <v>Beban Tunjangan PPh/Tunjangan Khusus ASN</v>
          </cell>
          <cell r="D3141">
            <v>1615274247</v>
          </cell>
          <cell r="E3141">
            <v>1787551501</v>
          </cell>
          <cell r="F3141">
            <v>0</v>
          </cell>
          <cell r="G3141">
            <v>0</v>
          </cell>
          <cell r="H3141">
            <v>0</v>
          </cell>
          <cell r="I3141">
            <v>0</v>
          </cell>
          <cell r="J3141">
            <v>1787551501</v>
          </cell>
        </row>
        <row r="3142">
          <cell r="B3142" t="str">
            <v>8.1.01.01.08</v>
          </cell>
          <cell r="C3142" t="str">
            <v>Beban Pembulatan Gaji ASN</v>
          </cell>
          <cell r="D3142">
            <v>3313331</v>
          </cell>
          <cell r="E3142">
            <v>3902628</v>
          </cell>
          <cell r="F3142">
            <v>0</v>
          </cell>
          <cell r="G3142">
            <v>0</v>
          </cell>
          <cell r="H3142">
            <v>0</v>
          </cell>
          <cell r="I3142">
            <v>0</v>
          </cell>
          <cell r="J3142">
            <v>3902628</v>
          </cell>
        </row>
        <row r="3143">
          <cell r="B3143" t="str">
            <v>8.1.01.01.09</v>
          </cell>
          <cell r="C3143" t="str">
            <v>Beban Iuran Jaminan Kesehatan ASN</v>
          </cell>
          <cell r="D3143">
            <v>15290682200</v>
          </cell>
          <cell r="E3143">
            <v>22361852229</v>
          </cell>
          <cell r="F3143">
            <v>0</v>
          </cell>
          <cell r="G3143">
            <v>0</v>
          </cell>
          <cell r="H3143">
            <v>0</v>
          </cell>
          <cell r="I3143">
            <v>0</v>
          </cell>
          <cell r="J3143">
            <v>22361852229</v>
          </cell>
        </row>
        <row r="3144">
          <cell r="B3144" t="str">
            <v>8.1.01.01.10</v>
          </cell>
          <cell r="C3144" t="str">
            <v>Beban Iuran Jaminan Kecelakaan Kerja ASN</v>
          </cell>
          <cell r="D3144">
            <v>476574131</v>
          </cell>
          <cell r="E3144">
            <v>568870650</v>
          </cell>
          <cell r="F3144">
            <v>0</v>
          </cell>
          <cell r="G3144">
            <v>0</v>
          </cell>
          <cell r="H3144">
            <v>0</v>
          </cell>
          <cell r="I3144">
            <v>0</v>
          </cell>
          <cell r="J3144">
            <v>568870650</v>
          </cell>
        </row>
        <row r="3145">
          <cell r="B3145" t="str">
            <v>8.1.01.01.11</v>
          </cell>
          <cell r="C3145" t="str">
            <v>Beban Iuran Jaminan Kematian ASN</v>
          </cell>
          <cell r="D3145">
            <v>1418673691</v>
          </cell>
          <cell r="E3145">
            <v>1704611887</v>
          </cell>
          <cell r="F3145">
            <v>0</v>
          </cell>
          <cell r="G3145">
            <v>0</v>
          </cell>
          <cell r="H3145">
            <v>0</v>
          </cell>
          <cell r="I3145">
            <v>0</v>
          </cell>
          <cell r="J3145">
            <v>1704611887</v>
          </cell>
        </row>
        <row r="3146">
          <cell r="B3146" t="str">
            <v>8.1.01.01.12</v>
          </cell>
          <cell r="C3146" t="str">
            <v>Beban Iuran Simpanan Peserta Tabungan Perumahan Rakyat ASN</v>
          </cell>
          <cell r="D3146">
            <v>0</v>
          </cell>
          <cell r="E3146">
            <v>0</v>
          </cell>
          <cell r="F3146">
            <v>0</v>
          </cell>
          <cell r="G3146">
            <v>0</v>
          </cell>
          <cell r="H3146">
            <v>0</v>
          </cell>
          <cell r="I3146">
            <v>0</v>
          </cell>
          <cell r="J3146">
            <v>0</v>
          </cell>
        </row>
        <row r="3147">
          <cell r="B3147" t="str">
            <v>8.1.01.01.13</v>
          </cell>
          <cell r="C3147" t="str">
            <v>Beban Jaminan Hari Tua ASN</v>
          </cell>
          <cell r="D3147">
            <v>0</v>
          </cell>
          <cell r="E3147">
            <v>0</v>
          </cell>
          <cell r="F3147">
            <v>0</v>
          </cell>
          <cell r="G3147">
            <v>0</v>
          </cell>
          <cell r="H3147">
            <v>0</v>
          </cell>
          <cell r="I3147">
            <v>0</v>
          </cell>
          <cell r="J3147">
            <v>0</v>
          </cell>
        </row>
        <row r="3148">
          <cell r="B3148" t="str">
            <v>8.1.01.01.14</v>
          </cell>
          <cell r="C3148" t="str">
            <v>Beban Tunjangan Khusus*)</v>
          </cell>
          <cell r="D3148">
            <v>0</v>
          </cell>
          <cell r="E3148">
            <v>0</v>
          </cell>
          <cell r="F3148">
            <v>0</v>
          </cell>
          <cell r="G3148">
            <v>0</v>
          </cell>
          <cell r="H3148">
            <v>0</v>
          </cell>
          <cell r="I3148">
            <v>0</v>
          </cell>
          <cell r="J3148">
            <v>0</v>
          </cell>
        </row>
        <row r="3149">
          <cell r="B3149" t="str">
            <v>8.1.01.01.15</v>
          </cell>
          <cell r="C3149" t="str">
            <v>Beban Zakat ASN</v>
          </cell>
          <cell r="D3149">
            <v>0</v>
          </cell>
          <cell r="E3149">
            <v>0</v>
          </cell>
          <cell r="F3149">
            <v>0</v>
          </cell>
          <cell r="G3149">
            <v>0</v>
          </cell>
          <cell r="H3149">
            <v>0</v>
          </cell>
          <cell r="I3149">
            <v>0</v>
          </cell>
          <cell r="J3149">
            <v>0</v>
          </cell>
        </row>
        <row r="3150">
          <cell r="B3150" t="str">
            <v>8.1.01.02</v>
          </cell>
          <cell r="C3150" t="str">
            <v>Beban Tambahan Penghasilan ASN</v>
          </cell>
          <cell r="D3150">
            <v>114611668306.98</v>
          </cell>
          <cell r="E3150">
            <v>198204300713</v>
          </cell>
          <cell r="F3150"/>
          <cell r="G3150"/>
          <cell r="H3150"/>
          <cell r="I3150"/>
          <cell r="J3150">
            <v>198194050713</v>
          </cell>
        </row>
        <row r="3151">
          <cell r="B3151" t="str">
            <v>8.1.01.02.01</v>
          </cell>
          <cell r="C3151" t="str">
            <v>Beban Tambahan Penghasilan berdasarkan Beban Kerja ASN</v>
          </cell>
          <cell r="D3151">
            <v>26746265834.310001</v>
          </cell>
          <cell r="E3151">
            <v>26000720797</v>
          </cell>
          <cell r="F3151">
            <v>0</v>
          </cell>
          <cell r="G3151">
            <v>0</v>
          </cell>
          <cell r="H3151">
            <v>0</v>
          </cell>
          <cell r="I3151">
            <v>0</v>
          </cell>
          <cell r="J3151">
            <v>26000720797</v>
          </cell>
        </row>
        <row r="3152">
          <cell r="B3152" t="str">
            <v>8.1.01.02.02</v>
          </cell>
          <cell r="C3152" t="str">
            <v>Beban Tambahan Penghasilan berdasarkan Tempat Bertugas ASN</v>
          </cell>
          <cell r="D3152">
            <v>0</v>
          </cell>
          <cell r="E3152">
            <v>0</v>
          </cell>
          <cell r="F3152">
            <v>0</v>
          </cell>
          <cell r="G3152">
            <v>0</v>
          </cell>
          <cell r="H3152">
            <v>0</v>
          </cell>
          <cell r="I3152">
            <v>0</v>
          </cell>
          <cell r="J3152">
            <v>0</v>
          </cell>
        </row>
        <row r="3153">
          <cell r="B3153" t="str">
            <v>8.1.01.02.03</v>
          </cell>
          <cell r="C3153" t="str">
            <v>Beban Tambahan Penghasilan berdasarkan Kondisi Kerja ASN</v>
          </cell>
          <cell r="D3153">
            <v>47738769738</v>
          </cell>
          <cell r="E3153">
            <v>65599322984</v>
          </cell>
          <cell r="F3153">
            <v>0</v>
          </cell>
          <cell r="G3153">
            <v>0</v>
          </cell>
          <cell r="H3153">
            <v>0</v>
          </cell>
          <cell r="I3153">
            <v>0</v>
          </cell>
          <cell r="J3153">
            <v>65599322984</v>
          </cell>
        </row>
        <row r="3154">
          <cell r="B3154" t="str">
            <v>8.1.01.02.04</v>
          </cell>
          <cell r="C3154" t="str">
            <v>Beban Tambahan Penghasilan berdasarkan Kelangkaan Profesi ASN</v>
          </cell>
          <cell r="D3154">
            <v>147621068</v>
          </cell>
          <cell r="E3154">
            <v>149126639</v>
          </cell>
          <cell r="F3154">
            <v>0</v>
          </cell>
          <cell r="G3154">
            <v>0</v>
          </cell>
          <cell r="H3154">
            <v>0</v>
          </cell>
          <cell r="I3154">
            <v>0</v>
          </cell>
          <cell r="J3154">
            <v>149126639</v>
          </cell>
        </row>
        <row r="3155">
          <cell r="B3155" t="str">
            <v>8.1.01.02.05</v>
          </cell>
          <cell r="C3155" t="str">
            <v>Beban Tambahan Penghasilan berdasarkan Prestasi Kerja ASN</v>
          </cell>
          <cell r="D3155">
            <v>39979011666.669998</v>
          </cell>
          <cell r="E3155">
            <v>38905692903</v>
          </cell>
          <cell r="F3155">
            <v>0</v>
          </cell>
          <cell r="G3155">
            <v>0</v>
          </cell>
          <cell r="H3155">
            <v>0</v>
          </cell>
          <cell r="I3155">
            <v>0</v>
          </cell>
          <cell r="J3155">
            <v>38905692903</v>
          </cell>
        </row>
        <row r="3156">
          <cell r="B3156" t="str">
            <v>8.1.01.02.06</v>
          </cell>
          <cell r="C3156" t="str">
            <v>Beban Tambahan Penghasilan berdasarkan Pertimbangan Objektif Lainnya ASN</v>
          </cell>
          <cell r="D3156">
            <v>0</v>
          </cell>
          <cell r="E3156">
            <v>67549437390</v>
          </cell>
          <cell r="F3156">
            <v>0</v>
          </cell>
          <cell r="G3156">
            <v>10250000</v>
          </cell>
          <cell r="H3156">
            <v>0</v>
          </cell>
          <cell r="I3156">
            <v>0</v>
          </cell>
          <cell r="J3156">
            <v>67539187390</v>
          </cell>
        </row>
        <row r="3157">
          <cell r="B3157" t="str">
            <v>8.1.01.03</v>
          </cell>
          <cell r="C3157" t="str">
            <v>Beban Tambahan Penghasilan berdasarkan Pertimbangan Objektif Lainnya ASN</v>
          </cell>
          <cell r="D3157">
            <v>58371706502</v>
          </cell>
          <cell r="E3157">
            <v>0</v>
          </cell>
          <cell r="F3157"/>
          <cell r="G3157"/>
          <cell r="H3157"/>
          <cell r="I3157"/>
          <cell r="J3157">
            <v>0</v>
          </cell>
        </row>
        <row r="3158">
          <cell r="B3158" t="str">
            <v>8.1.01.03.01</v>
          </cell>
          <cell r="C3158" t="str">
            <v>Beban Insentif bagi ASN atas Pemungutan Pajak Daerah</v>
          </cell>
          <cell r="D3158">
            <v>4123000000</v>
          </cell>
          <cell r="E3158">
            <v>0</v>
          </cell>
          <cell r="F3158">
            <v>0</v>
          </cell>
          <cell r="G3158">
            <v>0</v>
          </cell>
          <cell r="H3158">
            <v>0</v>
          </cell>
          <cell r="I3158">
            <v>0</v>
          </cell>
          <cell r="J3158">
            <v>0</v>
          </cell>
        </row>
        <row r="3159">
          <cell r="B3159" t="str">
            <v>8.1.01.03.02</v>
          </cell>
          <cell r="C3159" t="str">
            <v>Beban Insentif bagi ASN atas Pemungutan Retribusi Daerah</v>
          </cell>
          <cell r="D3159">
            <v>102500000</v>
          </cell>
          <cell r="E3159">
            <v>0</v>
          </cell>
          <cell r="F3159">
            <v>0</v>
          </cell>
          <cell r="G3159">
            <v>0</v>
          </cell>
          <cell r="H3159">
            <v>0</v>
          </cell>
          <cell r="I3159">
            <v>0</v>
          </cell>
          <cell r="J3159">
            <v>0</v>
          </cell>
        </row>
        <row r="3160">
          <cell r="B3160" t="str">
            <v>8.1.01.03.03</v>
          </cell>
          <cell r="C3160" t="str">
            <v>Beban Tunjangan Profesi Guru (TPG) PNSD</v>
          </cell>
          <cell r="D3160">
            <v>47651095300</v>
          </cell>
          <cell r="E3160">
            <v>0</v>
          </cell>
          <cell r="F3160">
            <v>0</v>
          </cell>
          <cell r="G3160">
            <v>0</v>
          </cell>
          <cell r="H3160">
            <v>0</v>
          </cell>
          <cell r="I3160">
            <v>0</v>
          </cell>
          <cell r="J3160">
            <v>0</v>
          </cell>
        </row>
        <row r="3161">
          <cell r="B3161" t="str">
            <v>8.1.01.03.04</v>
          </cell>
          <cell r="C3161" t="str">
            <v>Beban Tunjangan Khusus Guru (TKG) PNSD</v>
          </cell>
          <cell r="D3161">
            <v>0</v>
          </cell>
          <cell r="E3161">
            <v>0</v>
          </cell>
          <cell r="F3161">
            <v>0</v>
          </cell>
          <cell r="G3161">
            <v>0</v>
          </cell>
          <cell r="H3161">
            <v>0</v>
          </cell>
          <cell r="I3161">
            <v>0</v>
          </cell>
          <cell r="J3161">
            <v>0</v>
          </cell>
        </row>
        <row r="3162">
          <cell r="B3162" t="str">
            <v>8.1.01.03.05</v>
          </cell>
          <cell r="C3162" t="str">
            <v>Beban Tambahan Penghasilan (Tamsil) Guru PNSD</v>
          </cell>
          <cell r="D3162">
            <v>1029750000</v>
          </cell>
          <cell r="E3162">
            <v>0</v>
          </cell>
          <cell r="F3162">
            <v>0</v>
          </cell>
          <cell r="G3162">
            <v>0</v>
          </cell>
          <cell r="H3162">
            <v>0</v>
          </cell>
          <cell r="I3162">
            <v>0</v>
          </cell>
          <cell r="J3162">
            <v>0</v>
          </cell>
        </row>
        <row r="3163">
          <cell r="B3163" t="str">
            <v>8.1.01.03.06</v>
          </cell>
          <cell r="C3163" t="str">
            <v>Beban Jasa Pelayanan Kesehatan bagi ASN</v>
          </cell>
          <cell r="D3163">
            <v>627811202</v>
          </cell>
          <cell r="E3163">
            <v>0</v>
          </cell>
          <cell r="F3163">
            <v>0</v>
          </cell>
          <cell r="G3163">
            <v>0</v>
          </cell>
          <cell r="H3163">
            <v>0</v>
          </cell>
          <cell r="I3163">
            <v>0</v>
          </cell>
          <cell r="J3163">
            <v>0</v>
          </cell>
        </row>
        <row r="3164">
          <cell r="B3164" t="str">
            <v>8.1.01.03.07</v>
          </cell>
          <cell r="C3164" t="str">
            <v>Beban Honorarium</v>
          </cell>
          <cell r="D3164">
            <v>4332150000</v>
          </cell>
          <cell r="E3164">
            <v>0</v>
          </cell>
          <cell r="F3164">
            <v>0</v>
          </cell>
          <cell r="G3164">
            <v>0</v>
          </cell>
          <cell r="H3164">
            <v>0</v>
          </cell>
          <cell r="I3164">
            <v>0</v>
          </cell>
          <cell r="J3164">
            <v>0</v>
          </cell>
        </row>
        <row r="3165">
          <cell r="B3165" t="str">
            <v>8.1.01.03.08</v>
          </cell>
          <cell r="C3165" t="str">
            <v>Beban Jasa Pengelolaan BMD</v>
          </cell>
          <cell r="D3165">
            <v>505400000</v>
          </cell>
          <cell r="E3165">
            <v>0</v>
          </cell>
          <cell r="F3165">
            <v>0</v>
          </cell>
          <cell r="G3165">
            <v>0</v>
          </cell>
          <cell r="H3165">
            <v>0</v>
          </cell>
          <cell r="I3165">
            <v>0</v>
          </cell>
          <cell r="J3165">
            <v>0</v>
          </cell>
        </row>
        <row r="3166">
          <cell r="B3166" t="str">
            <v>8.1.01.03.09</v>
          </cell>
          <cell r="C3166" t="str">
            <v>Beban Tunjangan Profesi Guru (TPG) PPPK</v>
          </cell>
          <cell r="D3166">
            <v>0</v>
          </cell>
          <cell r="E3166">
            <v>0</v>
          </cell>
          <cell r="F3166">
            <v>0</v>
          </cell>
          <cell r="G3166">
            <v>0</v>
          </cell>
          <cell r="H3166">
            <v>0</v>
          </cell>
          <cell r="I3166">
            <v>0</v>
          </cell>
          <cell r="J3166">
            <v>0</v>
          </cell>
        </row>
        <row r="3167">
          <cell r="B3167" t="str">
            <v>8.1.01.03.10</v>
          </cell>
          <cell r="C3167" t="str">
            <v>Beban Tunjangan Khusus Guru (TKG) PPPK</v>
          </cell>
          <cell r="D3167">
            <v>0</v>
          </cell>
          <cell r="E3167">
            <v>0</v>
          </cell>
          <cell r="F3167">
            <v>0</v>
          </cell>
          <cell r="G3167">
            <v>0</v>
          </cell>
          <cell r="H3167">
            <v>0</v>
          </cell>
          <cell r="I3167">
            <v>0</v>
          </cell>
          <cell r="J3167">
            <v>0</v>
          </cell>
        </row>
        <row r="3168">
          <cell r="B3168" t="str">
            <v>8.1.01.03.11</v>
          </cell>
          <cell r="C3168" t="str">
            <v>Beban Tambahan Penghasilan (Tamsil) Guru PPPK</v>
          </cell>
          <cell r="D3168">
            <v>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D3169">
            <v>0</v>
          </cell>
          <cell r="E3169">
            <v>0</v>
          </cell>
          <cell r="F3169">
            <v>0</v>
          </cell>
          <cell r="G3169">
            <v>0</v>
          </cell>
          <cell r="H3169">
            <v>0</v>
          </cell>
          <cell r="I3169">
            <v>0</v>
          </cell>
          <cell r="J3169">
            <v>0</v>
          </cell>
        </row>
        <row r="3170">
          <cell r="B3170" t="str">
            <v>8.1.01.04</v>
          </cell>
          <cell r="C3170" t="str">
            <v>Beban Gaji dan Tunjangan DPRD</v>
          </cell>
          <cell r="D3170">
            <v>13403367102</v>
          </cell>
          <cell r="E3170">
            <v>13672755832</v>
          </cell>
          <cell r="F3170"/>
          <cell r="G3170"/>
          <cell r="H3170"/>
          <cell r="I3170"/>
          <cell r="J3170">
            <v>13672755832</v>
          </cell>
        </row>
        <row r="3171">
          <cell r="B3171" t="str">
            <v>8.1.01.04.01</v>
          </cell>
          <cell r="C3171" t="str">
            <v>Beban Uang Representasi DPRD</v>
          </cell>
          <cell r="D3171">
            <v>553770000</v>
          </cell>
          <cell r="E3171">
            <v>561540000</v>
          </cell>
          <cell r="F3171">
            <v>0</v>
          </cell>
          <cell r="G3171">
            <v>0</v>
          </cell>
          <cell r="H3171">
            <v>0</v>
          </cell>
          <cell r="I3171">
            <v>0</v>
          </cell>
          <cell r="J3171">
            <v>561540000</v>
          </cell>
        </row>
        <row r="3172">
          <cell r="B3172" t="str">
            <v>8.1.01.04.02</v>
          </cell>
          <cell r="C3172" t="str">
            <v>Beban Tunjangan Keluarga DPRD</v>
          </cell>
          <cell r="D3172">
            <v>52573500</v>
          </cell>
          <cell r="E3172">
            <v>54096000</v>
          </cell>
          <cell r="F3172">
            <v>0</v>
          </cell>
          <cell r="G3172">
            <v>0</v>
          </cell>
          <cell r="H3172">
            <v>0</v>
          </cell>
          <cell r="I3172">
            <v>0</v>
          </cell>
          <cell r="J3172">
            <v>54096000</v>
          </cell>
        </row>
        <row r="3173">
          <cell r="B3173" t="str">
            <v>8.1.01.04.03</v>
          </cell>
          <cell r="C3173" t="str">
            <v>Beban Tunjangan Beras DPRD</v>
          </cell>
          <cell r="D3173">
            <v>60905220</v>
          </cell>
          <cell r="E3173">
            <v>61701840</v>
          </cell>
          <cell r="F3173">
            <v>0</v>
          </cell>
          <cell r="G3173">
            <v>0</v>
          </cell>
          <cell r="H3173">
            <v>0</v>
          </cell>
          <cell r="I3173">
            <v>0</v>
          </cell>
          <cell r="J3173">
            <v>61701840</v>
          </cell>
        </row>
        <row r="3174">
          <cell r="B3174" t="str">
            <v>8.1.01.04.04</v>
          </cell>
          <cell r="C3174" t="str">
            <v>Beban Uang Paket DPRD</v>
          </cell>
          <cell r="D3174">
            <v>47355000</v>
          </cell>
          <cell r="E3174">
            <v>48132000</v>
          </cell>
          <cell r="F3174">
            <v>0</v>
          </cell>
          <cell r="G3174">
            <v>0</v>
          </cell>
          <cell r="H3174">
            <v>0</v>
          </cell>
          <cell r="I3174">
            <v>0</v>
          </cell>
          <cell r="J3174">
            <v>48132000</v>
          </cell>
        </row>
        <row r="3175">
          <cell r="B3175" t="str">
            <v>8.1.01.04.05</v>
          </cell>
          <cell r="C3175" t="str">
            <v>Beban Tunjangan Jabatan DPRD</v>
          </cell>
          <cell r="D3175">
            <v>803374293</v>
          </cell>
          <cell r="E3175">
            <v>814233000</v>
          </cell>
          <cell r="F3175">
            <v>0</v>
          </cell>
          <cell r="G3175">
            <v>0</v>
          </cell>
          <cell r="H3175">
            <v>0</v>
          </cell>
          <cell r="I3175">
            <v>0</v>
          </cell>
          <cell r="J3175">
            <v>814233000</v>
          </cell>
        </row>
        <row r="3176">
          <cell r="B3176" t="str">
            <v>8.1.01.04.06</v>
          </cell>
          <cell r="C3176" t="str">
            <v>Beban Tunjangan Alat Kelengkapan DPRD</v>
          </cell>
          <cell r="D3176">
            <v>63031500</v>
          </cell>
          <cell r="E3176">
            <v>74907000</v>
          </cell>
          <cell r="F3176">
            <v>0</v>
          </cell>
          <cell r="G3176">
            <v>0</v>
          </cell>
          <cell r="H3176">
            <v>0</v>
          </cell>
          <cell r="I3176">
            <v>0</v>
          </cell>
          <cell r="J3176">
            <v>74907000</v>
          </cell>
        </row>
        <row r="3177">
          <cell r="B3177" t="str">
            <v>8.1.01.04.07</v>
          </cell>
          <cell r="C3177" t="str">
            <v>Beban Tunjangan Alat Kelengkapan Lainnya DPRD</v>
          </cell>
          <cell r="D3177">
            <v>0</v>
          </cell>
          <cell r="E3177">
            <v>11144700</v>
          </cell>
          <cell r="F3177">
            <v>0</v>
          </cell>
          <cell r="G3177">
            <v>0</v>
          </cell>
          <cell r="H3177">
            <v>0</v>
          </cell>
          <cell r="I3177">
            <v>0</v>
          </cell>
          <cell r="J3177">
            <v>11144700</v>
          </cell>
        </row>
        <row r="3178">
          <cell r="B3178" t="str">
            <v>8.1.01.04.08</v>
          </cell>
          <cell r="C3178" t="str">
            <v>Beban Tunjangan Komunikasi Intensif Pimpinan dan Anggota DPRD</v>
          </cell>
          <cell r="D3178">
            <v>4353405000</v>
          </cell>
          <cell r="E3178">
            <v>4410000000</v>
          </cell>
          <cell r="F3178">
            <v>0</v>
          </cell>
          <cell r="G3178">
            <v>0</v>
          </cell>
          <cell r="H3178">
            <v>0</v>
          </cell>
          <cell r="I3178">
            <v>0</v>
          </cell>
          <cell r="J3178">
            <v>4410000000</v>
          </cell>
        </row>
        <row r="3179">
          <cell r="B3179" t="str">
            <v>8.1.01.04.09</v>
          </cell>
          <cell r="C3179" t="str">
            <v>Beban Tunjangan Reses DPRD</v>
          </cell>
          <cell r="D3179">
            <v>735000000</v>
          </cell>
          <cell r="E3179">
            <v>1102500000</v>
          </cell>
          <cell r="F3179">
            <v>0</v>
          </cell>
          <cell r="G3179">
            <v>0</v>
          </cell>
          <cell r="H3179">
            <v>0</v>
          </cell>
          <cell r="I3179">
            <v>0</v>
          </cell>
          <cell r="J3179">
            <v>1102500000</v>
          </cell>
        </row>
        <row r="3180">
          <cell r="B3180" t="str">
            <v>8.1.01.04.10</v>
          </cell>
          <cell r="C3180" t="str">
            <v>Beban Pembebanan PPh kepada Pimpinan dan Anggota DPRD</v>
          </cell>
          <cell r="D3180">
            <v>244862474</v>
          </cell>
          <cell r="E3180">
            <v>258685300</v>
          </cell>
          <cell r="F3180">
            <v>0</v>
          </cell>
          <cell r="G3180">
            <v>0</v>
          </cell>
          <cell r="H3180">
            <v>0</v>
          </cell>
          <cell r="I3180">
            <v>0</v>
          </cell>
          <cell r="J3180">
            <v>258685300</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3323930115</v>
          </cell>
          <cell r="E3182">
            <v>3371815992</v>
          </cell>
          <cell r="F3182">
            <v>0</v>
          </cell>
          <cell r="G3182">
            <v>0</v>
          </cell>
          <cell r="H3182">
            <v>0</v>
          </cell>
          <cell r="I3182">
            <v>0</v>
          </cell>
          <cell r="J3182">
            <v>3371815992</v>
          </cell>
        </row>
        <row r="3183">
          <cell r="B3183" t="str">
            <v>8.1.01.04.13</v>
          </cell>
          <cell r="C3183" t="str">
            <v>Beban Tunjangan Transportasi DPRD</v>
          </cell>
          <cell r="D3183">
            <v>2927650000</v>
          </cell>
          <cell r="E3183">
            <v>2904000000</v>
          </cell>
          <cell r="F3183">
            <v>0</v>
          </cell>
          <cell r="G3183">
            <v>0</v>
          </cell>
          <cell r="H3183">
            <v>0</v>
          </cell>
          <cell r="I3183">
            <v>0</v>
          </cell>
          <cell r="J3183">
            <v>2904000000</v>
          </cell>
        </row>
        <row r="3184">
          <cell r="B3184" t="str">
            <v>8.1.01.04.14</v>
          </cell>
          <cell r="C3184" t="str">
            <v>Beban Uang Jasa Pengabdian DPRD</v>
          </cell>
          <cell r="D3184">
            <v>237510000</v>
          </cell>
          <cell r="E3184">
            <v>0</v>
          </cell>
          <cell r="F3184">
            <v>0</v>
          </cell>
          <cell r="G3184">
            <v>0</v>
          </cell>
          <cell r="H3184">
            <v>0</v>
          </cell>
          <cell r="I3184">
            <v>0</v>
          </cell>
          <cell r="J3184">
            <v>0</v>
          </cell>
        </row>
        <row r="3185">
          <cell r="B3185" t="str">
            <v>8.1.01.05</v>
          </cell>
          <cell r="C3185" t="str">
            <v>Beban Gaji dan Tunjangan KDH/WKDH</v>
          </cell>
          <cell r="D3185">
            <v>174690859</v>
          </cell>
          <cell r="E3185">
            <v>221364043</v>
          </cell>
          <cell r="F3185"/>
          <cell r="G3185"/>
          <cell r="H3185"/>
          <cell r="I3185"/>
          <cell r="J3185">
            <v>221364043</v>
          </cell>
        </row>
        <row r="3186">
          <cell r="B3186" t="str">
            <v>8.1.01.05.01</v>
          </cell>
          <cell r="C3186" t="str">
            <v>Beban Gaji Pokok KDH/WKDH</v>
          </cell>
          <cell r="D3186">
            <v>54600000</v>
          </cell>
          <cell r="E3186">
            <v>109200000</v>
          </cell>
          <cell r="F3186">
            <v>0</v>
          </cell>
          <cell r="G3186">
            <v>0</v>
          </cell>
          <cell r="H3186">
            <v>0</v>
          </cell>
          <cell r="I3186">
            <v>0</v>
          </cell>
          <cell r="J3186">
            <v>109200000</v>
          </cell>
        </row>
        <row r="3187">
          <cell r="B3187" t="str">
            <v>8.1.01.05.02</v>
          </cell>
          <cell r="C3187" t="str">
            <v>Beban Tunjangan Keluarga KDH/WKDH</v>
          </cell>
          <cell r="D3187">
            <v>7098000</v>
          </cell>
          <cell r="E3187">
            <v>2436000</v>
          </cell>
          <cell r="F3187">
            <v>0</v>
          </cell>
          <cell r="G3187">
            <v>0</v>
          </cell>
          <cell r="H3187">
            <v>0</v>
          </cell>
          <cell r="I3187">
            <v>0</v>
          </cell>
          <cell r="J3187">
            <v>2436000</v>
          </cell>
        </row>
        <row r="3188">
          <cell r="B3188" t="str">
            <v>8.1.01.05.03</v>
          </cell>
          <cell r="C3188" t="str">
            <v>Beban Tunjangan Jabatan KDH/WKDH</v>
          </cell>
          <cell r="D3188">
            <v>98280000</v>
          </cell>
          <cell r="E3188">
            <v>98280000</v>
          </cell>
          <cell r="F3188">
            <v>0</v>
          </cell>
          <cell r="G3188">
            <v>0</v>
          </cell>
          <cell r="H3188">
            <v>0</v>
          </cell>
          <cell r="I3188">
            <v>0</v>
          </cell>
          <cell r="J3188">
            <v>98280000</v>
          </cell>
        </row>
        <row r="3189">
          <cell r="B3189" t="str">
            <v>8.1.01.05.04</v>
          </cell>
          <cell r="C3189" t="str">
            <v>Beban Tunjangan Beras KDH/WKDH</v>
          </cell>
          <cell r="D3189">
            <v>7169580</v>
          </cell>
          <cell r="E3189">
            <v>4707300</v>
          </cell>
          <cell r="F3189">
            <v>0</v>
          </cell>
          <cell r="G3189">
            <v>0</v>
          </cell>
          <cell r="H3189">
            <v>0</v>
          </cell>
          <cell r="I3189">
            <v>0</v>
          </cell>
          <cell r="J3189">
            <v>4707300</v>
          </cell>
        </row>
        <row r="3190">
          <cell r="B3190" t="str">
            <v>8.1.01.05.05</v>
          </cell>
          <cell r="C3190" t="str">
            <v>Beban Tunjangan PPh/Tunjangan Khusus KDH/WKDH</v>
          </cell>
          <cell r="D3190">
            <v>1608379</v>
          </cell>
          <cell r="E3190">
            <v>974923</v>
          </cell>
          <cell r="F3190">
            <v>0</v>
          </cell>
          <cell r="G3190">
            <v>0</v>
          </cell>
          <cell r="H3190">
            <v>0</v>
          </cell>
          <cell r="I3190">
            <v>0</v>
          </cell>
          <cell r="J3190">
            <v>974923</v>
          </cell>
        </row>
        <row r="3191">
          <cell r="B3191" t="str">
            <v>8.1.01.05.06</v>
          </cell>
          <cell r="C3191" t="str">
            <v>Beban Pembulatan Gaji KDH/WKDH</v>
          </cell>
          <cell r="D3191">
            <v>420</v>
          </cell>
          <cell r="E3191">
            <v>1020</v>
          </cell>
          <cell r="F3191">
            <v>0</v>
          </cell>
          <cell r="G3191">
            <v>0</v>
          </cell>
          <cell r="H3191">
            <v>0</v>
          </cell>
          <cell r="I3191">
            <v>0</v>
          </cell>
          <cell r="J3191">
            <v>1020</v>
          </cell>
        </row>
        <row r="3192">
          <cell r="B3192" t="str">
            <v>8.1.01.05.07</v>
          </cell>
          <cell r="C3192" t="str">
            <v>Beban Iuran Jaminan Kesehatan KDH/WKDH</v>
          </cell>
          <cell r="D3192">
            <v>5485200</v>
          </cell>
          <cell r="E3192">
            <v>5315520</v>
          </cell>
          <cell r="F3192">
            <v>0</v>
          </cell>
          <cell r="G3192">
            <v>0</v>
          </cell>
          <cell r="H3192">
            <v>0</v>
          </cell>
          <cell r="I3192">
            <v>0</v>
          </cell>
          <cell r="J3192">
            <v>5315520</v>
          </cell>
        </row>
        <row r="3193">
          <cell r="B3193" t="str">
            <v>8.1.01.05.08</v>
          </cell>
          <cell r="C3193" t="str">
            <v>Beban Iuran Jaminan Kecelakaan Kerja KDH/WKDH</v>
          </cell>
          <cell r="D3193">
            <v>112320</v>
          </cell>
          <cell r="E3193">
            <v>112320</v>
          </cell>
          <cell r="F3193">
            <v>0</v>
          </cell>
          <cell r="G3193">
            <v>0</v>
          </cell>
          <cell r="H3193">
            <v>0</v>
          </cell>
          <cell r="I3193">
            <v>0</v>
          </cell>
          <cell r="J3193">
            <v>112320</v>
          </cell>
        </row>
        <row r="3194">
          <cell r="B3194" t="str">
            <v>8.1.01.05.09</v>
          </cell>
          <cell r="C3194" t="str">
            <v>Beban Iuran Jaminan Kematian KDH/WKDH</v>
          </cell>
          <cell r="D3194">
            <v>336960</v>
          </cell>
          <cell r="E3194">
            <v>336960</v>
          </cell>
          <cell r="F3194">
            <v>0</v>
          </cell>
          <cell r="G3194">
            <v>0</v>
          </cell>
          <cell r="H3194">
            <v>0</v>
          </cell>
          <cell r="I3194">
            <v>0</v>
          </cell>
          <cell r="J3194">
            <v>336960</v>
          </cell>
        </row>
        <row r="3195">
          <cell r="B3195" t="str">
            <v>8.1.01.05.10</v>
          </cell>
          <cell r="C3195" t="str">
            <v>Beban Insentif bagi KDH/WKDH atas Pemungutan Pajak Daerah</v>
          </cell>
          <cell r="D3195">
            <v>0</v>
          </cell>
          <cell r="E3195">
            <v>0</v>
          </cell>
          <cell r="F3195">
            <v>0</v>
          </cell>
          <cell r="G3195">
            <v>0</v>
          </cell>
          <cell r="H3195">
            <v>0</v>
          </cell>
          <cell r="I3195">
            <v>0</v>
          </cell>
          <cell r="J3195">
            <v>0</v>
          </cell>
        </row>
        <row r="3196">
          <cell r="B3196" t="str">
            <v>8.1.01.05.11</v>
          </cell>
          <cell r="C3196" t="str">
            <v>Beban Insentif bagi KDH/WKDH atas Pemungutan Retribusi Daerah</v>
          </cell>
          <cell r="D3196">
            <v>0</v>
          </cell>
          <cell r="E3196">
            <v>0</v>
          </cell>
          <cell r="F3196">
            <v>0</v>
          </cell>
          <cell r="G3196">
            <v>0</v>
          </cell>
          <cell r="H3196">
            <v>0</v>
          </cell>
          <cell r="I3196">
            <v>0</v>
          </cell>
          <cell r="J3196">
            <v>0</v>
          </cell>
        </row>
        <row r="3197">
          <cell r="B3197" t="str">
            <v>8.1.01.05.12</v>
          </cell>
          <cell r="C3197" t="str">
            <v>Beban Jasa Pengelolaan BMD bagi KDH</v>
          </cell>
          <cell r="D3197">
            <v>0</v>
          </cell>
          <cell r="E3197">
            <v>0</v>
          </cell>
          <cell r="F3197">
            <v>0</v>
          </cell>
          <cell r="G3197">
            <v>0</v>
          </cell>
          <cell r="H3197">
            <v>0</v>
          </cell>
          <cell r="I3197">
            <v>0</v>
          </cell>
          <cell r="J3197">
            <v>0</v>
          </cell>
        </row>
        <row r="3198">
          <cell r="B3198" t="str">
            <v>8.1.01.06</v>
          </cell>
          <cell r="C3198" t="str">
            <v>Beban Penerimaan Lainnya Pimpinan DPRD serta KDH/WKDH</v>
          </cell>
          <cell r="D3198">
            <v>663220000</v>
          </cell>
          <cell r="E3198">
            <v>912480000</v>
          </cell>
          <cell r="F3198"/>
          <cell r="G3198"/>
          <cell r="H3198"/>
          <cell r="I3198"/>
          <cell r="J3198">
            <v>912480000</v>
          </cell>
        </row>
        <row r="3199">
          <cell r="B3199" t="str">
            <v>8.1.01.06.01</v>
          </cell>
          <cell r="C3199" t="str">
            <v>Beban Dana Operasional Pimpinan DPRD</v>
          </cell>
          <cell r="D3199">
            <v>260400000</v>
          </cell>
          <cell r="E3199">
            <v>312480000</v>
          </cell>
          <cell r="F3199">
            <v>0</v>
          </cell>
          <cell r="G3199">
            <v>0</v>
          </cell>
          <cell r="H3199">
            <v>0</v>
          </cell>
          <cell r="I3199">
            <v>0</v>
          </cell>
          <cell r="J3199">
            <v>312480000</v>
          </cell>
        </row>
        <row r="3200">
          <cell r="B3200" t="str">
            <v>8.1.01.06.02</v>
          </cell>
          <cell r="C3200" t="str">
            <v>Beban Dana Operasional KDH/WKDH</v>
          </cell>
          <cell r="D3200">
            <v>402820000</v>
          </cell>
          <cell r="E3200">
            <v>600000000</v>
          </cell>
          <cell r="F3200">
            <v>0</v>
          </cell>
          <cell r="G3200">
            <v>0</v>
          </cell>
          <cell r="H3200">
            <v>0</v>
          </cell>
          <cell r="I3200">
            <v>0</v>
          </cell>
          <cell r="J3200">
            <v>600000000</v>
          </cell>
        </row>
        <row r="3201">
          <cell r="B3201" t="str">
            <v>8.1.01.07</v>
          </cell>
          <cell r="C3201" t="str">
            <v>Beban Gaji dan Tunjangan MRP</v>
          </cell>
          <cell r="D3201">
            <v>0</v>
          </cell>
          <cell r="E3201">
            <v>0</v>
          </cell>
          <cell r="F3201"/>
          <cell r="G3201"/>
          <cell r="H3201"/>
          <cell r="I3201"/>
          <cell r="J3201">
            <v>0</v>
          </cell>
        </row>
        <row r="3202">
          <cell r="B3202" t="str">
            <v>8.1.01.07.01</v>
          </cell>
          <cell r="C3202" t="str">
            <v>Beban Uang Representasi MRP</v>
          </cell>
          <cell r="D3202">
            <v>0</v>
          </cell>
          <cell r="E3202">
            <v>0</v>
          </cell>
          <cell r="F3202">
            <v>0</v>
          </cell>
          <cell r="G3202">
            <v>0</v>
          </cell>
          <cell r="H3202">
            <v>0</v>
          </cell>
          <cell r="I3202">
            <v>0</v>
          </cell>
          <cell r="J3202">
            <v>0</v>
          </cell>
        </row>
        <row r="3203">
          <cell r="B3203" t="str">
            <v>8.1.01.07.02</v>
          </cell>
          <cell r="C3203" t="str">
            <v>Beban Tunjangan Keluarga MRP</v>
          </cell>
          <cell r="D3203">
            <v>0</v>
          </cell>
          <cell r="E3203">
            <v>0</v>
          </cell>
          <cell r="F3203">
            <v>0</v>
          </cell>
          <cell r="G3203">
            <v>0</v>
          </cell>
          <cell r="H3203">
            <v>0</v>
          </cell>
          <cell r="I3203">
            <v>0</v>
          </cell>
          <cell r="J3203">
            <v>0</v>
          </cell>
        </row>
        <row r="3204">
          <cell r="B3204" t="str">
            <v>8.1.01.07.03</v>
          </cell>
          <cell r="C3204" t="str">
            <v>Beban Tunjangan Beras MRP</v>
          </cell>
          <cell r="D3204">
            <v>0</v>
          </cell>
          <cell r="E3204">
            <v>0</v>
          </cell>
          <cell r="F3204">
            <v>0</v>
          </cell>
          <cell r="G3204">
            <v>0</v>
          </cell>
          <cell r="H3204">
            <v>0</v>
          </cell>
          <cell r="I3204">
            <v>0</v>
          </cell>
          <cell r="J3204">
            <v>0</v>
          </cell>
        </row>
        <row r="3205">
          <cell r="B3205" t="str">
            <v>8.1.01.07.04</v>
          </cell>
          <cell r="C3205" t="str">
            <v>Beban Uang Paket MRP</v>
          </cell>
          <cell r="D3205">
            <v>0</v>
          </cell>
          <cell r="E3205">
            <v>0</v>
          </cell>
          <cell r="F3205">
            <v>0</v>
          </cell>
          <cell r="G3205">
            <v>0</v>
          </cell>
          <cell r="H3205">
            <v>0</v>
          </cell>
          <cell r="I3205">
            <v>0</v>
          </cell>
          <cell r="J3205">
            <v>0</v>
          </cell>
        </row>
        <row r="3206">
          <cell r="B3206" t="str">
            <v>8.1.01.07.05</v>
          </cell>
          <cell r="C3206" t="str">
            <v>Beban Tunjangan Jabatan MRP</v>
          </cell>
          <cell r="D3206">
            <v>0</v>
          </cell>
          <cell r="E3206">
            <v>0</v>
          </cell>
          <cell r="F3206">
            <v>0</v>
          </cell>
          <cell r="G3206">
            <v>0</v>
          </cell>
          <cell r="H3206">
            <v>0</v>
          </cell>
          <cell r="I3206">
            <v>0</v>
          </cell>
          <cell r="J3206">
            <v>0</v>
          </cell>
        </row>
        <row r="3207">
          <cell r="B3207" t="str">
            <v>8.1.01.07.06</v>
          </cell>
          <cell r="C3207" t="str">
            <v>Beban Tunjangan Kelompok Kerja MRP</v>
          </cell>
          <cell r="D3207">
            <v>0</v>
          </cell>
          <cell r="E3207">
            <v>0</v>
          </cell>
          <cell r="F3207">
            <v>0</v>
          </cell>
          <cell r="G3207">
            <v>0</v>
          </cell>
          <cell r="H3207">
            <v>0</v>
          </cell>
          <cell r="I3207">
            <v>0</v>
          </cell>
          <cell r="J3207">
            <v>0</v>
          </cell>
        </row>
        <row r="3208">
          <cell r="B3208" t="str">
            <v>8.1.01.07.07</v>
          </cell>
          <cell r="C3208" t="str">
            <v>Beban Uang Penghargaan MRP</v>
          </cell>
          <cell r="D3208">
            <v>0</v>
          </cell>
          <cell r="E3208">
            <v>0</v>
          </cell>
          <cell r="F3208">
            <v>0</v>
          </cell>
          <cell r="G3208">
            <v>0</v>
          </cell>
          <cell r="H3208">
            <v>0</v>
          </cell>
          <cell r="I3208">
            <v>0</v>
          </cell>
          <cell r="J3208">
            <v>0</v>
          </cell>
        </row>
        <row r="3209">
          <cell r="B3209" t="str">
            <v>8.1.01.07.08</v>
          </cell>
          <cell r="C3209" t="str">
            <v>Beban Tunjangan Komunikasi Intensif MRP</v>
          </cell>
          <cell r="D3209">
            <v>0</v>
          </cell>
          <cell r="E3209">
            <v>0</v>
          </cell>
          <cell r="F3209">
            <v>0</v>
          </cell>
          <cell r="G3209">
            <v>0</v>
          </cell>
          <cell r="H3209">
            <v>0</v>
          </cell>
          <cell r="I3209">
            <v>0</v>
          </cell>
          <cell r="J3209">
            <v>0</v>
          </cell>
        </row>
        <row r="3210">
          <cell r="B3210" t="str">
            <v>8.1.01.07.09</v>
          </cell>
          <cell r="C3210" t="str">
            <v>Beban Tunjangan Transportasi MRP</v>
          </cell>
          <cell r="D3210">
            <v>0</v>
          </cell>
          <cell r="E3210">
            <v>0</v>
          </cell>
          <cell r="F3210">
            <v>0</v>
          </cell>
          <cell r="G3210">
            <v>0</v>
          </cell>
          <cell r="H3210">
            <v>0</v>
          </cell>
          <cell r="I3210">
            <v>0</v>
          </cell>
          <cell r="J3210">
            <v>0</v>
          </cell>
        </row>
        <row r="3211">
          <cell r="B3211" t="str">
            <v>8.1.01.07.10</v>
          </cell>
          <cell r="C3211" t="str">
            <v>Beban Pembebanan PPh kepada Pimpinan dan Anggota MRP</v>
          </cell>
          <cell r="D3211">
            <v>0</v>
          </cell>
          <cell r="E3211">
            <v>0</v>
          </cell>
          <cell r="F3211">
            <v>0</v>
          </cell>
          <cell r="G3211">
            <v>0</v>
          </cell>
          <cell r="H3211">
            <v>0</v>
          </cell>
          <cell r="I3211">
            <v>0</v>
          </cell>
          <cell r="J3211">
            <v>0</v>
          </cell>
        </row>
        <row r="3212">
          <cell r="B3212" t="str">
            <v>8.1.01.07.11</v>
          </cell>
          <cell r="C3212" t="str">
            <v>Beban Pembulatan Gaji MRP</v>
          </cell>
          <cell r="D3212">
            <v>0</v>
          </cell>
          <cell r="E3212">
            <v>0</v>
          </cell>
          <cell r="F3212">
            <v>0</v>
          </cell>
          <cell r="G3212">
            <v>0</v>
          </cell>
          <cell r="H3212">
            <v>0</v>
          </cell>
          <cell r="I3212">
            <v>0</v>
          </cell>
          <cell r="J3212">
            <v>0</v>
          </cell>
        </row>
        <row r="3213">
          <cell r="B3213" t="str">
            <v>8.1.01.07.12</v>
          </cell>
          <cell r="C3213" t="str">
            <v>Beban Tunjangan Kesejahteraan Pimpinan dan Anggota MRP</v>
          </cell>
          <cell r="D3213">
            <v>0</v>
          </cell>
          <cell r="E3213">
            <v>0</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F3214"/>
          <cell r="G3214"/>
          <cell r="H3214"/>
          <cell r="I3214"/>
          <cell r="J3214">
            <v>0</v>
          </cell>
        </row>
        <row r="3215">
          <cell r="B3215" t="str">
            <v>8.1.01.08.01</v>
          </cell>
          <cell r="C3215" t="str">
            <v>Beban Gaji dan Tunjangan Wali Nanggroe</v>
          </cell>
          <cell r="D3215">
            <v>0</v>
          </cell>
          <cell r="E3215">
            <v>0</v>
          </cell>
          <cell r="F3215">
            <v>0</v>
          </cell>
          <cell r="G3215">
            <v>0</v>
          </cell>
          <cell r="H3215">
            <v>0</v>
          </cell>
          <cell r="I3215">
            <v>0</v>
          </cell>
          <cell r="J3215">
            <v>0</v>
          </cell>
        </row>
        <row r="3216">
          <cell r="B3216" t="str">
            <v>8.1.01.08.02</v>
          </cell>
          <cell r="C3216" t="str">
            <v>Beban Gaji dan Tunjangan Waliyul Ahdi</v>
          </cell>
          <cell r="D3216">
            <v>0</v>
          </cell>
          <cell r="E3216">
            <v>0</v>
          </cell>
          <cell r="F3216">
            <v>0</v>
          </cell>
          <cell r="G3216">
            <v>0</v>
          </cell>
          <cell r="H3216">
            <v>0</v>
          </cell>
          <cell r="I3216">
            <v>0</v>
          </cell>
          <cell r="J3216">
            <v>0</v>
          </cell>
        </row>
        <row r="3217">
          <cell r="B3217" t="str">
            <v>8.1.01.08.03</v>
          </cell>
          <cell r="C3217" t="str">
            <v>Beban Gaji dan Tunjangan Majelis Tinggi</v>
          </cell>
          <cell r="D3217">
            <v>0</v>
          </cell>
          <cell r="E3217">
            <v>0</v>
          </cell>
          <cell r="F3217">
            <v>0</v>
          </cell>
          <cell r="G3217">
            <v>0</v>
          </cell>
          <cell r="H3217">
            <v>0</v>
          </cell>
          <cell r="I3217">
            <v>0</v>
          </cell>
          <cell r="J3217">
            <v>0</v>
          </cell>
        </row>
        <row r="3218">
          <cell r="B3218" t="str">
            <v>8.1.01.08.04</v>
          </cell>
          <cell r="C3218" t="str">
            <v>Beban Gaji dan Tunjangan Majelis Fungsional</v>
          </cell>
          <cell r="D3218">
            <v>0</v>
          </cell>
          <cell r="E3218">
            <v>0</v>
          </cell>
          <cell r="F3218">
            <v>0</v>
          </cell>
          <cell r="G3218">
            <v>0</v>
          </cell>
          <cell r="H3218">
            <v>0</v>
          </cell>
          <cell r="I3218">
            <v>0</v>
          </cell>
          <cell r="J3218">
            <v>0</v>
          </cell>
        </row>
        <row r="3219">
          <cell r="B3219" t="str">
            <v>8.1.01.88</v>
          </cell>
          <cell r="C3219" t="str">
            <v>Beban Pegawai BOS</v>
          </cell>
          <cell r="D3219">
            <v>0</v>
          </cell>
          <cell r="E3219">
            <v>0</v>
          </cell>
          <cell r="F3219"/>
          <cell r="G3219"/>
          <cell r="H3219"/>
          <cell r="I3219"/>
          <cell r="J3219">
            <v>0</v>
          </cell>
        </row>
        <row r="3220">
          <cell r="B3220" t="str">
            <v>8.1.01.88.88</v>
          </cell>
          <cell r="C3220" t="str">
            <v>Beban Pegawai BOS</v>
          </cell>
          <cell r="D3220">
            <v>0</v>
          </cell>
          <cell r="E3220">
            <v>0</v>
          </cell>
          <cell r="F3220">
            <v>0</v>
          </cell>
          <cell r="G3220">
            <v>0</v>
          </cell>
          <cell r="H3220">
            <v>0</v>
          </cell>
          <cell r="I3220">
            <v>0</v>
          </cell>
          <cell r="J3220">
            <v>0</v>
          </cell>
        </row>
        <row r="3221">
          <cell r="B3221" t="str">
            <v>8.1.01.89</v>
          </cell>
          <cell r="C3221" t="str">
            <v>Beban Pegawai BOSP</v>
          </cell>
          <cell r="D3221">
            <v>0</v>
          </cell>
          <cell r="E3221">
            <v>0</v>
          </cell>
          <cell r="F3221"/>
          <cell r="G3221"/>
          <cell r="H3221"/>
          <cell r="I3221"/>
          <cell r="J3221">
            <v>0</v>
          </cell>
        </row>
        <row r="3222">
          <cell r="B3222" t="str">
            <v>8.1.01.89.01</v>
          </cell>
          <cell r="C3222" t="str">
            <v>Beban Pegawai BOSP-BOS</v>
          </cell>
          <cell r="D3222">
            <v>0</v>
          </cell>
          <cell r="E3222">
            <v>0</v>
          </cell>
          <cell r="F3222">
            <v>0</v>
          </cell>
          <cell r="G3222">
            <v>0</v>
          </cell>
          <cell r="H3222">
            <v>0</v>
          </cell>
          <cell r="I3222">
            <v>0</v>
          </cell>
          <cell r="J3222">
            <v>0</v>
          </cell>
        </row>
        <row r="3223">
          <cell r="B3223" t="str">
            <v>8.1.01.89.02</v>
          </cell>
          <cell r="C3223" t="str">
            <v>Beban Pegawai BOSP-BOP PAUD</v>
          </cell>
          <cell r="D3223">
            <v>0</v>
          </cell>
          <cell r="E3223">
            <v>0</v>
          </cell>
          <cell r="F3223">
            <v>0</v>
          </cell>
          <cell r="G3223">
            <v>0</v>
          </cell>
          <cell r="H3223">
            <v>0</v>
          </cell>
          <cell r="I3223">
            <v>0</v>
          </cell>
          <cell r="J3223">
            <v>0</v>
          </cell>
        </row>
        <row r="3224">
          <cell r="B3224" t="str">
            <v>8.1.01.89.03</v>
          </cell>
          <cell r="C3224" t="str">
            <v>Beban Pegawai BOSP-BOP Kesetaraan</v>
          </cell>
          <cell r="D3224">
            <v>0</v>
          </cell>
          <cell r="E3224">
            <v>0</v>
          </cell>
          <cell r="F3224">
            <v>0</v>
          </cell>
          <cell r="G3224">
            <v>0</v>
          </cell>
          <cell r="H3224">
            <v>0</v>
          </cell>
          <cell r="I3224">
            <v>0</v>
          </cell>
          <cell r="J3224">
            <v>0</v>
          </cell>
        </row>
        <row r="3225">
          <cell r="B3225" t="str">
            <v>8.1.01.99</v>
          </cell>
          <cell r="C3225" t="str">
            <v>Beban Pegawai BLUD</v>
          </cell>
          <cell r="D3225">
            <v>7898578580</v>
          </cell>
          <cell r="E3225">
            <v>8862925282</v>
          </cell>
          <cell r="F3225"/>
          <cell r="G3225"/>
          <cell r="H3225"/>
          <cell r="I3225"/>
          <cell r="J3225">
            <v>8862925282</v>
          </cell>
        </row>
        <row r="3226">
          <cell r="B3226" t="str">
            <v>8.1.01.99.99</v>
          </cell>
          <cell r="C3226" t="str">
            <v>Beban Pegawai BLUD</v>
          </cell>
          <cell r="D3226">
            <v>7898578580</v>
          </cell>
          <cell r="E3226">
            <v>8862925282</v>
          </cell>
          <cell r="F3226">
            <v>0</v>
          </cell>
          <cell r="G3226">
            <v>0</v>
          </cell>
          <cell r="H3226">
            <v>0</v>
          </cell>
          <cell r="I3226">
            <v>0</v>
          </cell>
          <cell r="J3226">
            <v>8862925282</v>
          </cell>
        </row>
        <row r="3227">
          <cell r="B3227"/>
          <cell r="C3227"/>
          <cell r="D3227"/>
          <cell r="E3227"/>
          <cell r="F3227"/>
          <cell r="G3227"/>
          <cell r="H3227"/>
          <cell r="I3227"/>
          <cell r="J3227"/>
        </row>
        <row r="3228">
          <cell r="B3228" t="str">
            <v>8.1.02</v>
          </cell>
          <cell r="C3228" t="str">
            <v>Beban Barang dan Jasa</v>
          </cell>
          <cell r="D3228">
            <v>603633129105.3999</v>
          </cell>
          <cell r="E3228">
            <v>663335653886.97998</v>
          </cell>
          <cell r="F3228"/>
          <cell r="G3228"/>
          <cell r="H3228"/>
          <cell r="I3228"/>
          <cell r="J3228">
            <v>663534206738.97998</v>
          </cell>
        </row>
        <row r="3229">
          <cell r="B3229" t="str">
            <v>8.1.02.01</v>
          </cell>
          <cell r="C3229" t="str">
            <v>Beban Barang</v>
          </cell>
          <cell r="D3229">
            <v>261178635512.67999</v>
          </cell>
          <cell r="E3229">
            <v>329497350237.5</v>
          </cell>
          <cell r="F3229"/>
          <cell r="G3229"/>
          <cell r="H3229"/>
          <cell r="I3229"/>
          <cell r="J3229">
            <v>329740858955.5</v>
          </cell>
        </row>
        <row r="3230">
          <cell r="B3230" t="str">
            <v>8.1.02.01.01</v>
          </cell>
          <cell r="C3230" t="str">
            <v>Beban Barang Pakai Habis</v>
          </cell>
          <cell r="D3230">
            <v>260679913265.67999</v>
          </cell>
          <cell r="E3230">
            <v>329210332492.5</v>
          </cell>
          <cell r="F3230">
            <v>505922358</v>
          </cell>
          <cell r="G3230">
            <v>311278890</v>
          </cell>
          <cell r="H3230">
            <v>0</v>
          </cell>
          <cell r="I3230">
            <v>0</v>
          </cell>
          <cell r="J3230">
            <v>329404975960.5</v>
          </cell>
        </row>
        <row r="3231">
          <cell r="B3231" t="str">
            <v>8.1.02.01.02</v>
          </cell>
          <cell r="C3231" t="str">
            <v>Beban Barang Tak Habis Pakai</v>
          </cell>
          <cell r="D3231">
            <v>77093030</v>
          </cell>
          <cell r="E3231">
            <v>81355000</v>
          </cell>
          <cell r="F3231">
            <v>0</v>
          </cell>
          <cell r="G3231">
            <v>0</v>
          </cell>
          <cell r="H3231">
            <v>0</v>
          </cell>
          <cell r="I3231">
            <v>0</v>
          </cell>
          <cell r="J3231">
            <v>81355000</v>
          </cell>
        </row>
        <row r="3232">
          <cell r="B3232" t="str">
            <v>8.1.02.01.03</v>
          </cell>
          <cell r="C3232" t="str">
            <v>Beban Barang Bekas Dipakai</v>
          </cell>
          <cell r="D3232">
            <v>0</v>
          </cell>
          <cell r="E3232">
            <v>0</v>
          </cell>
          <cell r="F3232">
            <v>0</v>
          </cell>
          <cell r="G3232">
            <v>0</v>
          </cell>
          <cell r="H3232">
            <v>0</v>
          </cell>
          <cell r="I3232">
            <v>0</v>
          </cell>
          <cell r="J3232">
            <v>0</v>
          </cell>
        </row>
        <row r="3233">
          <cell r="B3233" t="str">
            <v>8.1.02.01.04</v>
          </cell>
          <cell r="C3233" t="str">
            <v>Beban Aset Tetap yang Tidak Memenuhi Kriteria Kapitalisasi</v>
          </cell>
          <cell r="D3233">
            <v>421629217</v>
          </cell>
          <cell r="E3233">
            <v>205662745</v>
          </cell>
          <cell r="F3233">
            <v>48865250</v>
          </cell>
          <cell r="G3233">
            <v>0</v>
          </cell>
          <cell r="H3233">
            <v>0</v>
          </cell>
          <cell r="I3233">
            <v>0</v>
          </cell>
          <cell r="J3233">
            <v>254527995</v>
          </cell>
        </row>
        <row r="3234">
          <cell r="B3234" t="str">
            <v>8.1.02.02</v>
          </cell>
          <cell r="C3234" t="str">
            <v>Beban Jasa</v>
          </cell>
          <cell r="D3234">
            <v>149611394865</v>
          </cell>
          <cell r="E3234">
            <v>173815167144.01001</v>
          </cell>
          <cell r="F3234"/>
          <cell r="G3234"/>
          <cell r="H3234"/>
          <cell r="I3234"/>
          <cell r="J3234">
            <v>174114967144.01001</v>
          </cell>
        </row>
        <row r="3235">
          <cell r="B3235" t="str">
            <v>8.1.02.02.01</v>
          </cell>
          <cell r="C3235" t="str">
            <v>Beban Jasa Kantor</v>
          </cell>
          <cell r="D3235">
            <v>99436441170</v>
          </cell>
          <cell r="E3235">
            <v>113161856806.50999</v>
          </cell>
          <cell r="F3235">
            <v>0</v>
          </cell>
          <cell r="G3235">
            <v>0</v>
          </cell>
          <cell r="H3235">
            <v>0</v>
          </cell>
          <cell r="I3235">
            <v>0</v>
          </cell>
          <cell r="J3235">
            <v>113161856806.50999</v>
          </cell>
        </row>
        <row r="3236">
          <cell r="B3236" t="str">
            <v>8.1.02.02.02</v>
          </cell>
          <cell r="C3236" t="str">
            <v>Beban Iuran Jaminan/Asuransi</v>
          </cell>
          <cell r="D3236">
            <v>13959217544</v>
          </cell>
          <cell r="E3236">
            <v>15276016162</v>
          </cell>
          <cell r="F3236">
            <v>0</v>
          </cell>
          <cell r="G3236">
            <v>0</v>
          </cell>
          <cell r="H3236">
            <v>0</v>
          </cell>
          <cell r="I3236">
            <v>0</v>
          </cell>
          <cell r="J3236">
            <v>15276016162</v>
          </cell>
        </row>
        <row r="3237">
          <cell r="B3237" t="str">
            <v>8.1.02.02.03</v>
          </cell>
          <cell r="C3237" t="str">
            <v>Beban Sewa Tanah</v>
          </cell>
          <cell r="D3237">
            <v>0</v>
          </cell>
          <cell r="E3237">
            <v>0</v>
          </cell>
          <cell r="F3237">
            <v>0</v>
          </cell>
          <cell r="G3237">
            <v>0</v>
          </cell>
          <cell r="H3237">
            <v>0</v>
          </cell>
          <cell r="I3237">
            <v>0</v>
          </cell>
          <cell r="J3237">
            <v>0</v>
          </cell>
        </row>
        <row r="3238">
          <cell r="B3238" t="str">
            <v>8.1.02.02.04</v>
          </cell>
          <cell r="C3238" t="str">
            <v>Beban Sewa Peralatan dan Mesin</v>
          </cell>
          <cell r="D3238">
            <v>3682818500</v>
          </cell>
          <cell r="E3238">
            <v>6382579862</v>
          </cell>
          <cell r="F3238">
            <v>0</v>
          </cell>
          <cell r="G3238">
            <v>0</v>
          </cell>
          <cell r="H3238">
            <v>0</v>
          </cell>
          <cell r="I3238">
            <v>0</v>
          </cell>
          <cell r="J3238">
            <v>6382579862</v>
          </cell>
        </row>
        <row r="3239">
          <cell r="B3239" t="str">
            <v>8.1.02.02.05</v>
          </cell>
          <cell r="C3239" t="str">
            <v>Beban Sewa Gedung dan Bangunan</v>
          </cell>
          <cell r="D3239">
            <v>2086128000</v>
          </cell>
          <cell r="E3239">
            <v>920740000</v>
          </cell>
          <cell r="F3239">
            <v>0</v>
          </cell>
          <cell r="G3239">
            <v>0</v>
          </cell>
          <cell r="H3239">
            <v>0</v>
          </cell>
          <cell r="I3239">
            <v>0</v>
          </cell>
          <cell r="J3239">
            <v>920740000</v>
          </cell>
        </row>
        <row r="3240">
          <cell r="B3240" t="str">
            <v>8.1.02.02.06</v>
          </cell>
          <cell r="C3240" t="str">
            <v>Beban Sewa Jalan, Jaringan dan Irigasi</v>
          </cell>
          <cell r="D3240">
            <v>35000000</v>
          </cell>
          <cell r="E3240">
            <v>0</v>
          </cell>
          <cell r="F3240">
            <v>0</v>
          </cell>
          <cell r="G3240">
            <v>0</v>
          </cell>
          <cell r="H3240">
            <v>0</v>
          </cell>
          <cell r="I3240">
            <v>0</v>
          </cell>
          <cell r="J3240">
            <v>0</v>
          </cell>
        </row>
        <row r="3241">
          <cell r="B3241" t="str">
            <v>8.1.02.02.07</v>
          </cell>
          <cell r="C3241" t="str">
            <v>Beban Sewa Aset Tetap Lainnya</v>
          </cell>
          <cell r="D3241">
            <v>150950000</v>
          </cell>
          <cell r="E3241">
            <v>155650000</v>
          </cell>
          <cell r="F3241">
            <v>0</v>
          </cell>
          <cell r="G3241">
            <v>0</v>
          </cell>
          <cell r="H3241">
            <v>0</v>
          </cell>
          <cell r="I3241">
            <v>0</v>
          </cell>
          <cell r="J3241">
            <v>155650000</v>
          </cell>
        </row>
        <row r="3242">
          <cell r="B3242" t="str">
            <v>8.1.02.02.08</v>
          </cell>
          <cell r="C3242" t="str">
            <v>Beban Sewa Aset Tidak Berwujud</v>
          </cell>
          <cell r="D3242">
            <v>40960000</v>
          </cell>
          <cell r="E3242">
            <v>146326000</v>
          </cell>
          <cell r="F3242">
            <v>0</v>
          </cell>
          <cell r="G3242">
            <v>0</v>
          </cell>
          <cell r="H3242">
            <v>0</v>
          </cell>
          <cell r="I3242">
            <v>0</v>
          </cell>
          <cell r="J3242">
            <v>146326000</v>
          </cell>
        </row>
        <row r="3243">
          <cell r="B3243" t="str">
            <v>8.1.02.02.09</v>
          </cell>
          <cell r="C3243" t="str">
            <v>Beban Jasa Konsultansi Konstruksi</v>
          </cell>
          <cell r="D3243">
            <v>12884184036</v>
          </cell>
          <cell r="E3243">
            <v>14702765665.5</v>
          </cell>
          <cell r="F3243">
            <v>0</v>
          </cell>
          <cell r="G3243">
            <v>0</v>
          </cell>
          <cell r="H3243">
            <v>0</v>
          </cell>
          <cell r="I3243">
            <v>0</v>
          </cell>
          <cell r="J3243">
            <v>14702765665.5</v>
          </cell>
        </row>
        <row r="3244">
          <cell r="B3244" t="str">
            <v>8.1.02.02.10</v>
          </cell>
          <cell r="C3244" t="str">
            <v>Beban Jasa Konsultansi Non Konstruksi</v>
          </cell>
          <cell r="D3244">
            <v>5054148970</v>
          </cell>
          <cell r="E3244">
            <v>5529278919</v>
          </cell>
          <cell r="F3244">
            <v>299800000</v>
          </cell>
          <cell r="G3244">
            <v>0</v>
          </cell>
          <cell r="H3244">
            <v>0</v>
          </cell>
          <cell r="I3244">
            <v>0</v>
          </cell>
          <cell r="J3244">
            <v>5829078919</v>
          </cell>
        </row>
        <row r="3245">
          <cell r="B3245" t="str">
            <v>8.1.02.02.11</v>
          </cell>
          <cell r="C3245" t="str">
            <v>Beban Jasa Ketersediaan Layanan (Availibility Payment)</v>
          </cell>
          <cell r="D3245">
            <v>0</v>
          </cell>
          <cell r="E3245">
            <v>0</v>
          </cell>
          <cell r="F3245">
            <v>0</v>
          </cell>
          <cell r="G3245">
            <v>0</v>
          </cell>
          <cell r="H3245">
            <v>0</v>
          </cell>
          <cell r="I3245">
            <v>0</v>
          </cell>
          <cell r="J3245">
            <v>0</v>
          </cell>
        </row>
        <row r="3246">
          <cell r="B3246" t="str">
            <v>8.1.02.02.12</v>
          </cell>
          <cell r="C3246" t="str">
            <v>Beban Beasiswa Pendidikan PNS</v>
          </cell>
          <cell r="D3246">
            <v>0</v>
          </cell>
          <cell r="E3246">
            <v>300000000</v>
          </cell>
          <cell r="F3246">
            <v>0</v>
          </cell>
          <cell r="G3246">
            <v>0</v>
          </cell>
          <cell r="H3246">
            <v>0</v>
          </cell>
          <cell r="I3246">
            <v>0</v>
          </cell>
          <cell r="J3246">
            <v>300000000</v>
          </cell>
        </row>
        <row r="3247">
          <cell r="B3247" t="str">
            <v>8.1.02.02.13</v>
          </cell>
          <cell r="C3247" t="str">
            <v>Beban Kursus/Pelatihan, Sosialisasi, Bimbingan Teknis serta Pendidikan dan Pelatihan</v>
          </cell>
          <cell r="D3247">
            <v>12258546645</v>
          </cell>
          <cell r="E3247">
            <v>17215953729</v>
          </cell>
          <cell r="F3247">
            <v>0</v>
          </cell>
          <cell r="G3247">
            <v>0</v>
          </cell>
          <cell r="H3247">
            <v>0</v>
          </cell>
          <cell r="I3247">
            <v>0</v>
          </cell>
          <cell r="J3247">
            <v>17215953729</v>
          </cell>
        </row>
        <row r="3248">
          <cell r="B3248" t="str">
            <v>8.1.02.02.14</v>
          </cell>
          <cell r="C3248" t="str">
            <v>Beban Jasa Insentif Pemungutan Pajak Daerah bagi Pegawai Non ASN</v>
          </cell>
          <cell r="D3248">
            <v>23000000</v>
          </cell>
          <cell r="E3248">
            <v>0</v>
          </cell>
          <cell r="F3248">
            <v>0</v>
          </cell>
          <cell r="G3248">
            <v>0</v>
          </cell>
          <cell r="H3248">
            <v>0</v>
          </cell>
          <cell r="I3248">
            <v>0</v>
          </cell>
          <cell r="J3248">
            <v>0</v>
          </cell>
        </row>
        <row r="3249">
          <cell r="B3249" t="str">
            <v>8.1.02.02.15</v>
          </cell>
          <cell r="C3249" t="str">
            <v>Beban Jasa Insentif bagi Pegawai Non ASN atas Pemungutan Retribusi</v>
          </cell>
          <cell r="D3249">
            <v>0</v>
          </cell>
          <cell r="E3249">
            <v>24000000</v>
          </cell>
          <cell r="F3249">
            <v>0</v>
          </cell>
          <cell r="G3249">
            <v>0</v>
          </cell>
          <cell r="H3249">
            <v>0</v>
          </cell>
          <cell r="I3249">
            <v>0</v>
          </cell>
          <cell r="J3249">
            <v>24000000</v>
          </cell>
        </row>
        <row r="3250">
          <cell r="B3250" t="str">
            <v>8.1.02.02.16</v>
          </cell>
          <cell r="C3250" t="str">
            <v>Beban Gaji dan Tunjangan Perangkat Lembaga Wali Nanggroe</v>
          </cell>
          <cell r="D3250">
            <v>0</v>
          </cell>
          <cell r="E3250">
            <v>0</v>
          </cell>
          <cell r="F3250">
            <v>0</v>
          </cell>
          <cell r="G3250">
            <v>0</v>
          </cell>
          <cell r="H3250">
            <v>0</v>
          </cell>
          <cell r="I3250">
            <v>0</v>
          </cell>
          <cell r="J3250">
            <v>0</v>
          </cell>
        </row>
        <row r="3251">
          <cell r="B3251" t="str">
            <v>8.1.02.02.17</v>
          </cell>
          <cell r="C3251" t="str">
            <v>Beban Jasa Kerja Sama Pemungutan Pajak Daerah</v>
          </cell>
          <cell r="D3251">
            <v>0</v>
          </cell>
          <cell r="E3251">
            <v>0</v>
          </cell>
          <cell r="F3251">
            <v>0</v>
          </cell>
          <cell r="G3251">
            <v>0</v>
          </cell>
          <cell r="H3251">
            <v>0</v>
          </cell>
          <cell r="I3251">
            <v>0</v>
          </cell>
          <cell r="J3251">
            <v>0</v>
          </cell>
        </row>
        <row r="3252">
          <cell r="B3252" t="str">
            <v>8.1.02.02.18</v>
          </cell>
          <cell r="C3252" t="str">
            <v>Beban Jasa Kerja Sama Pemungutan Retribusi Daerah</v>
          </cell>
          <cell r="D3252">
            <v>0</v>
          </cell>
          <cell r="E3252">
            <v>0</v>
          </cell>
          <cell r="F3252">
            <v>0</v>
          </cell>
          <cell r="G3252">
            <v>0</v>
          </cell>
          <cell r="H3252">
            <v>0</v>
          </cell>
          <cell r="I3252">
            <v>0</v>
          </cell>
          <cell r="J3252">
            <v>0</v>
          </cell>
        </row>
        <row r="3253">
          <cell r="B3253" t="str">
            <v>8.1.02.02.19</v>
          </cell>
          <cell r="C3253" t="str">
            <v>Beban Jasa Pelayanan Kesehatan bagi ASN</v>
          </cell>
          <cell r="D3253">
            <v>0</v>
          </cell>
          <cell r="E3253">
            <v>0</v>
          </cell>
          <cell r="F3253">
            <v>0</v>
          </cell>
          <cell r="G3253">
            <v>0</v>
          </cell>
          <cell r="H3253">
            <v>0</v>
          </cell>
          <cell r="I3253">
            <v>0</v>
          </cell>
          <cell r="J3253">
            <v>0</v>
          </cell>
        </row>
        <row r="3254">
          <cell r="B3254" t="str">
            <v>8.1.02.03</v>
          </cell>
          <cell r="C3254" t="str">
            <v>Beban Pemeliharaan</v>
          </cell>
          <cell r="D3254">
            <v>77513236841</v>
          </cell>
          <cell r="E3254">
            <v>62013243122.470001</v>
          </cell>
          <cell r="F3254"/>
          <cell r="G3254"/>
          <cell r="H3254"/>
          <cell r="I3254"/>
          <cell r="J3254">
            <v>61757936772.470001</v>
          </cell>
        </row>
        <row r="3255">
          <cell r="B3255" t="str">
            <v>8.1.02.03.01</v>
          </cell>
          <cell r="C3255" t="str">
            <v>Beban Pemeliharaan Tanah</v>
          </cell>
          <cell r="D3255">
            <v>199444500</v>
          </cell>
          <cell r="E3255">
            <v>629056500</v>
          </cell>
          <cell r="F3255">
            <v>0</v>
          </cell>
          <cell r="G3255">
            <v>0</v>
          </cell>
          <cell r="H3255">
            <v>0</v>
          </cell>
          <cell r="I3255">
            <v>0</v>
          </cell>
          <cell r="J3255">
            <v>629056500</v>
          </cell>
        </row>
        <row r="3256">
          <cell r="B3256" t="str">
            <v>8.1.02.03.02</v>
          </cell>
          <cell r="C3256" t="str">
            <v>Beban Pemeliharaan Peralatan dan Mesin</v>
          </cell>
          <cell r="D3256">
            <v>5163946553</v>
          </cell>
          <cell r="E3256">
            <v>5766335404</v>
          </cell>
          <cell r="F3256">
            <v>0</v>
          </cell>
          <cell r="G3256">
            <v>0</v>
          </cell>
          <cell r="H3256">
            <v>0</v>
          </cell>
          <cell r="I3256">
            <v>0</v>
          </cell>
          <cell r="J3256">
            <v>5766335404</v>
          </cell>
        </row>
        <row r="3257">
          <cell r="B3257" t="str">
            <v>8.1.02.03.03</v>
          </cell>
          <cell r="C3257" t="str">
            <v>Beban Pemeliharaan Gedung dan Bangunan</v>
          </cell>
          <cell r="D3257">
            <v>18065748288</v>
          </cell>
          <cell r="E3257">
            <v>14140898971.469999</v>
          </cell>
          <cell r="F3257">
            <v>0</v>
          </cell>
          <cell r="G3257">
            <v>0</v>
          </cell>
          <cell r="H3257">
            <v>0</v>
          </cell>
          <cell r="I3257">
            <v>0</v>
          </cell>
          <cell r="J3257">
            <v>14140898971.469999</v>
          </cell>
        </row>
        <row r="3258">
          <cell r="B3258" t="str">
            <v>8.1.02.03.04</v>
          </cell>
          <cell r="C3258" t="str">
            <v>Beban Pemeliharaan Jalan, Jaringan, dan Irigasi</v>
          </cell>
          <cell r="D3258">
            <v>53990227500</v>
          </cell>
          <cell r="E3258">
            <v>41246899347</v>
          </cell>
          <cell r="F3258">
            <v>0</v>
          </cell>
          <cell r="G3258">
            <v>255306350</v>
          </cell>
          <cell r="H3258">
            <v>0</v>
          </cell>
          <cell r="I3258">
            <v>0</v>
          </cell>
          <cell r="J3258">
            <v>40991592997</v>
          </cell>
        </row>
        <row r="3259">
          <cell r="B3259" t="str">
            <v>8.1.02.03.05</v>
          </cell>
          <cell r="C3259" t="str">
            <v>Beban Pemeliharaan Aset Tetap Lainnya</v>
          </cell>
          <cell r="D3259">
            <v>0</v>
          </cell>
          <cell r="E3259">
            <v>30363900</v>
          </cell>
          <cell r="F3259">
            <v>0</v>
          </cell>
          <cell r="G3259">
            <v>0</v>
          </cell>
          <cell r="H3259">
            <v>0</v>
          </cell>
          <cell r="I3259">
            <v>0</v>
          </cell>
          <cell r="J3259">
            <v>30363900</v>
          </cell>
        </row>
        <row r="3260">
          <cell r="B3260" t="str">
            <v>8.1.02.03.06</v>
          </cell>
          <cell r="C3260" t="str">
            <v>Beban Pemeliharaan Aset Tidak Berwujud</v>
          </cell>
          <cell r="D3260">
            <v>93870000</v>
          </cell>
          <cell r="E3260">
            <v>199689000</v>
          </cell>
          <cell r="F3260">
            <v>0</v>
          </cell>
          <cell r="G3260">
            <v>0</v>
          </cell>
          <cell r="H3260">
            <v>0</v>
          </cell>
          <cell r="I3260">
            <v>0</v>
          </cell>
          <cell r="J3260">
            <v>199689000</v>
          </cell>
        </row>
        <row r="3261">
          <cell r="B3261" t="str">
            <v>8.1.02.04</v>
          </cell>
          <cell r="C3261" t="str">
            <v>Beban Perjalanan Dinas</v>
          </cell>
          <cell r="D3261">
            <v>52114986380</v>
          </cell>
          <cell r="E3261">
            <v>46381762922</v>
          </cell>
          <cell r="F3261"/>
          <cell r="G3261"/>
          <cell r="H3261"/>
          <cell r="I3261"/>
          <cell r="J3261">
            <v>46292313406</v>
          </cell>
        </row>
        <row r="3262">
          <cell r="B3262" t="str">
            <v>8.1.02.04.01</v>
          </cell>
          <cell r="C3262" t="str">
            <v>Beban Perjalanan Dinas Dalam Daerah</v>
          </cell>
          <cell r="D3262">
            <v>52114986380</v>
          </cell>
          <cell r="E3262">
            <v>46075209733</v>
          </cell>
          <cell r="F3262">
            <v>0</v>
          </cell>
          <cell r="G3262">
            <v>89449516</v>
          </cell>
          <cell r="H3262">
            <v>0</v>
          </cell>
          <cell r="I3262">
            <v>0</v>
          </cell>
          <cell r="J3262">
            <v>45985760217</v>
          </cell>
        </row>
        <row r="3263">
          <cell r="B3263" t="str">
            <v>8.1.02.04.02</v>
          </cell>
          <cell r="C3263" t="str">
            <v>Beban Perjalanan Dinas Luar Negeri</v>
          </cell>
          <cell r="D3263">
            <v>0</v>
          </cell>
          <cell r="E3263">
            <v>306553189</v>
          </cell>
          <cell r="F3263">
            <v>0</v>
          </cell>
          <cell r="G3263">
            <v>0</v>
          </cell>
          <cell r="H3263">
            <v>0</v>
          </cell>
          <cell r="I3263">
            <v>0</v>
          </cell>
          <cell r="J3263">
            <v>306553189</v>
          </cell>
        </row>
        <row r="3264">
          <cell r="B3264" t="str">
            <v>8.1.02.05</v>
          </cell>
          <cell r="C3264" t="str">
            <v>Beban Uang dan/atau Jasa untuk Diberikan kepada Pihak Ketiga/Pihak Lain/Masyarakat</v>
          </cell>
          <cell r="D3264">
            <v>7535152839</v>
          </cell>
          <cell r="E3264">
            <v>47121957710</v>
          </cell>
          <cell r="F3264"/>
          <cell r="G3264"/>
          <cell r="H3264"/>
          <cell r="I3264"/>
          <cell r="J3264">
            <v>47121957710</v>
          </cell>
        </row>
        <row r="3265">
          <cell r="B3265" t="str">
            <v>8.1.02.05.01</v>
          </cell>
          <cell r="C3265" t="str">
            <v>Beban Uang yang Diberikan kepada Pihak Ketiga/Pihak Lain/Masyarakat</v>
          </cell>
          <cell r="D3265">
            <v>5198069000</v>
          </cell>
          <cell r="E3265">
            <v>42429515750</v>
          </cell>
          <cell r="F3265">
            <v>0</v>
          </cell>
          <cell r="G3265">
            <v>0</v>
          </cell>
          <cell r="H3265">
            <v>0</v>
          </cell>
          <cell r="I3265">
            <v>0</v>
          </cell>
          <cell r="J3265">
            <v>42429515750</v>
          </cell>
        </row>
        <row r="3266">
          <cell r="B3266" t="str">
            <v>8.1.02.05.02</v>
          </cell>
          <cell r="C3266" t="str">
            <v>Beban Jasa yang Diberikan kepada Pihak Ketiga/Pihak Lain/Masyarakat</v>
          </cell>
          <cell r="D3266">
            <v>2337083839</v>
          </cell>
          <cell r="E3266">
            <v>4692441960</v>
          </cell>
          <cell r="F3266">
            <v>0</v>
          </cell>
          <cell r="G3266">
            <v>0</v>
          </cell>
          <cell r="H3266">
            <v>0</v>
          </cell>
          <cell r="I3266">
            <v>0</v>
          </cell>
          <cell r="J3266">
            <v>4692441960</v>
          </cell>
        </row>
        <row r="3267">
          <cell r="B3267" t="str">
            <v>8.1.02.06</v>
          </cell>
          <cell r="C3267" t="str">
            <v>Beban Penunjang Otonomi Khusus*)</v>
          </cell>
          <cell r="D3267">
            <v>0</v>
          </cell>
          <cell r="E3267">
            <v>0</v>
          </cell>
          <cell r="F3267"/>
          <cell r="G3267"/>
          <cell r="H3267"/>
          <cell r="I3267"/>
          <cell r="J3267">
            <v>0</v>
          </cell>
        </row>
        <row r="3268">
          <cell r="B3268" t="str">
            <v>8.1.02.06.01</v>
          </cell>
          <cell r="C3268" t="str">
            <v>Beban Penunjang Otonomi Khusus*)</v>
          </cell>
          <cell r="D3268">
            <v>0</v>
          </cell>
          <cell r="E3268">
            <v>0</v>
          </cell>
          <cell r="F3268">
            <v>0</v>
          </cell>
          <cell r="G3268">
            <v>0</v>
          </cell>
          <cell r="H3268">
            <v>0</v>
          </cell>
          <cell r="I3268">
            <v>0</v>
          </cell>
          <cell r="J3268">
            <v>0</v>
          </cell>
        </row>
        <row r="3269">
          <cell r="B3269" t="str">
            <v>8.1.02.88</v>
          </cell>
          <cell r="C3269" t="str">
            <v>Beban Barang dan Jasa BOS</v>
          </cell>
          <cell r="D3269">
            <v>14932048444</v>
          </cell>
          <cell r="E3269">
            <v>0</v>
          </cell>
          <cell r="F3269"/>
          <cell r="G3269"/>
          <cell r="H3269"/>
          <cell r="I3269"/>
          <cell r="J3269">
            <v>0</v>
          </cell>
        </row>
        <row r="3270">
          <cell r="B3270" t="str">
            <v>8.1.02.88.88</v>
          </cell>
          <cell r="C3270" t="str">
            <v>Beban Barang dan Jasa BOS</v>
          </cell>
          <cell r="D3270">
            <v>14932048444</v>
          </cell>
          <cell r="E3270">
            <v>0</v>
          </cell>
          <cell r="F3270">
            <v>0</v>
          </cell>
          <cell r="G3270">
            <v>0</v>
          </cell>
          <cell r="H3270">
            <v>0</v>
          </cell>
          <cell r="I3270">
            <v>0</v>
          </cell>
          <cell r="J3270">
            <v>0</v>
          </cell>
        </row>
        <row r="3271">
          <cell r="B3271" t="str">
            <v>8.1.02.89</v>
          </cell>
          <cell r="C3271" t="str">
            <v>Beban Barang dan Jasa BOSP</v>
          </cell>
          <cell r="D3271">
            <v>0</v>
          </cell>
          <cell r="E3271">
            <v>0</v>
          </cell>
          <cell r="F3271"/>
          <cell r="G3271"/>
          <cell r="H3271"/>
          <cell r="I3271"/>
          <cell r="J3271">
            <v>0</v>
          </cell>
        </row>
        <row r="3272">
          <cell r="B3272" t="str">
            <v>8.1.02.89.01</v>
          </cell>
          <cell r="C3272" t="str">
            <v>Beban Barang dan Jasa BOSP-BOS</v>
          </cell>
          <cell r="D3272">
            <v>0</v>
          </cell>
          <cell r="E3272">
            <v>0</v>
          </cell>
          <cell r="F3272">
            <v>0</v>
          </cell>
          <cell r="G3272">
            <v>0</v>
          </cell>
          <cell r="H3272">
            <v>0</v>
          </cell>
          <cell r="I3272">
            <v>0</v>
          </cell>
          <cell r="J3272">
            <v>0</v>
          </cell>
        </row>
        <row r="3273">
          <cell r="B3273" t="str">
            <v>8.1.02.89.02</v>
          </cell>
          <cell r="C3273" t="str">
            <v>Beban Barang dan Jasa BOSP-BOP PAUD</v>
          </cell>
          <cell r="D3273">
            <v>0</v>
          </cell>
          <cell r="E3273">
            <v>0</v>
          </cell>
          <cell r="F3273">
            <v>0</v>
          </cell>
          <cell r="G3273">
            <v>0</v>
          </cell>
          <cell r="H3273">
            <v>0</v>
          </cell>
          <cell r="I3273">
            <v>0</v>
          </cell>
          <cell r="J3273">
            <v>0</v>
          </cell>
        </row>
        <row r="3274">
          <cell r="B3274" t="str">
            <v>8.1.02.89.03</v>
          </cell>
          <cell r="C3274" t="str">
            <v>Beban Barang dan Jasa BOSP-BOP Kesetaraan</v>
          </cell>
          <cell r="D3274">
            <v>0</v>
          </cell>
          <cell r="E3274">
            <v>0</v>
          </cell>
          <cell r="F3274">
            <v>0</v>
          </cell>
          <cell r="G3274">
            <v>0</v>
          </cell>
          <cell r="H3274">
            <v>0</v>
          </cell>
          <cell r="I3274">
            <v>0</v>
          </cell>
          <cell r="J3274">
            <v>0</v>
          </cell>
        </row>
        <row r="3275">
          <cell r="B3275" t="str">
            <v>8.1.02.90</v>
          </cell>
          <cell r="C3275" t="str">
            <v>Beban Barang dan Jasa BOK Puskesmas</v>
          </cell>
          <cell r="D3275">
            <v>4773325615</v>
          </cell>
          <cell r="E3275">
            <v>4506172751</v>
          </cell>
          <cell r="F3275"/>
          <cell r="G3275"/>
          <cell r="H3275"/>
          <cell r="I3275"/>
          <cell r="J3275">
            <v>4506172751</v>
          </cell>
        </row>
        <row r="3276">
          <cell r="B3276" t="str">
            <v>8.1.02.90.01</v>
          </cell>
          <cell r="C3276" t="str">
            <v>Beban Barang dan Jasa BOK Puskesmas</v>
          </cell>
          <cell r="D3276">
            <v>4773325615</v>
          </cell>
          <cell r="E3276">
            <v>4506172751</v>
          </cell>
          <cell r="F3276">
            <v>0</v>
          </cell>
          <cell r="G3276">
            <v>0</v>
          </cell>
          <cell r="H3276">
            <v>0</v>
          </cell>
          <cell r="I3276">
            <v>0</v>
          </cell>
          <cell r="J3276">
            <v>4506172751</v>
          </cell>
        </row>
        <row r="3277">
          <cell r="B3277" t="str">
            <v>8.1.02.99</v>
          </cell>
          <cell r="C3277" t="str">
            <v>Beban Barang dan Jasa BLUD</v>
          </cell>
          <cell r="D3277">
            <v>35974348608.720001</v>
          </cell>
          <cell r="E3277">
            <v>0</v>
          </cell>
          <cell r="F3277"/>
          <cell r="G3277"/>
          <cell r="H3277"/>
          <cell r="I3277"/>
          <cell r="J3277">
            <v>0</v>
          </cell>
        </row>
        <row r="3278">
          <cell r="B3278" t="str">
            <v>8.1.02.99.99</v>
          </cell>
          <cell r="C3278" t="str">
            <v>Beban Barang dan Jasa BLUD</v>
          </cell>
          <cell r="D3278">
            <v>35974348608.720001</v>
          </cell>
          <cell r="E3278">
            <v>0</v>
          </cell>
          <cell r="F3278">
            <v>0</v>
          </cell>
          <cell r="G3278">
            <v>0</v>
          </cell>
          <cell r="H3278">
            <v>0</v>
          </cell>
          <cell r="I3278">
            <v>0</v>
          </cell>
          <cell r="J3278">
            <v>0</v>
          </cell>
        </row>
        <row r="3279">
          <cell r="B3279"/>
          <cell r="C3279"/>
          <cell r="D3279"/>
          <cell r="E3279"/>
          <cell r="F3279"/>
          <cell r="G3279"/>
          <cell r="H3279"/>
          <cell r="I3279"/>
          <cell r="J3279"/>
        </row>
        <row r="3280">
          <cell r="B3280" t="str">
            <v>8.1.03</v>
          </cell>
          <cell r="C3280" t="str">
            <v>Beban Bunga</v>
          </cell>
          <cell r="D3280">
            <v>0</v>
          </cell>
          <cell r="E3280">
            <v>0</v>
          </cell>
          <cell r="F3280"/>
          <cell r="G3280"/>
          <cell r="H3280"/>
          <cell r="I3280"/>
          <cell r="J3280">
            <v>0</v>
          </cell>
        </row>
        <row r="3281">
          <cell r="B3281" t="str">
            <v>8.1.03.01</v>
          </cell>
          <cell r="C3281" t="str">
            <v>Beban Bunga Utang kepada Pemerintah Pusat</v>
          </cell>
          <cell r="D3281">
            <v>0</v>
          </cell>
          <cell r="E3281">
            <v>0</v>
          </cell>
          <cell r="F3281"/>
          <cell r="G3281"/>
          <cell r="H3281"/>
          <cell r="I3281"/>
          <cell r="J3281">
            <v>0</v>
          </cell>
        </row>
        <row r="3282">
          <cell r="B3282" t="str">
            <v>8.1.03.01.01</v>
          </cell>
          <cell r="C3282" t="str">
            <v>Beban Bunga Utang kepada Pemerintah Pusat atas Penerusan Pinjaman Dalam Negeri-Jangka Menengah</v>
          </cell>
          <cell r="D3282">
            <v>0</v>
          </cell>
          <cell r="E3282">
            <v>0</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0</v>
          </cell>
          <cell r="E3283">
            <v>0</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D3284">
            <v>0</v>
          </cell>
          <cell r="E3284">
            <v>0</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D3285">
            <v>0</v>
          </cell>
          <cell r="E3285">
            <v>0</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D3286">
            <v>0</v>
          </cell>
          <cell r="E3286">
            <v>0</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D3287">
            <v>0</v>
          </cell>
          <cell r="E3287">
            <v>0</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F3288"/>
          <cell r="G3288"/>
          <cell r="H3288"/>
          <cell r="I3288"/>
          <cell r="J3288">
            <v>0</v>
          </cell>
        </row>
        <row r="3289">
          <cell r="B3289" t="str">
            <v>8.1.03.02.01</v>
          </cell>
          <cell r="C3289" t="str">
            <v>Beban Bunga Utang atas Pinjaman kepada Pemerintah Daerah Lain-Jangka Pendek</v>
          </cell>
          <cell r="D3289">
            <v>0</v>
          </cell>
          <cell r="E3289">
            <v>0</v>
          </cell>
          <cell r="F3289">
            <v>0</v>
          </cell>
          <cell r="G3289">
            <v>0</v>
          </cell>
          <cell r="H3289">
            <v>0</v>
          </cell>
          <cell r="I3289">
            <v>0</v>
          </cell>
          <cell r="J3289">
            <v>0</v>
          </cell>
        </row>
        <row r="3290">
          <cell r="B3290" t="str">
            <v>8.1.03.03</v>
          </cell>
          <cell r="C3290" t="str">
            <v>Beban Bunga Utang Pinjaman kepada Lembaga Keuangan Bank (LKB)</v>
          </cell>
          <cell r="D3290">
            <v>0</v>
          </cell>
          <cell r="E3290">
            <v>0</v>
          </cell>
          <cell r="F3290"/>
          <cell r="G3290"/>
          <cell r="H3290"/>
          <cell r="I3290"/>
          <cell r="J3290">
            <v>0</v>
          </cell>
        </row>
        <row r="3291">
          <cell r="B3291" t="str">
            <v>8.1.03.03.01</v>
          </cell>
          <cell r="C3291" t="str">
            <v>Beban Bunga Utang atas Pinjaman kepada Lembaga Keuangan Bank (LKB)-BUMN-Jangka Pendek</v>
          </cell>
          <cell r="D3291">
            <v>0</v>
          </cell>
          <cell r="E3291">
            <v>0</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D3292">
            <v>0</v>
          </cell>
          <cell r="E3292">
            <v>0</v>
          </cell>
          <cell r="F3292">
            <v>0</v>
          </cell>
          <cell r="G3292">
            <v>0</v>
          </cell>
          <cell r="H3292">
            <v>0</v>
          </cell>
          <cell r="I3292">
            <v>0</v>
          </cell>
          <cell r="J3292">
            <v>0</v>
          </cell>
        </row>
        <row r="3293">
          <cell r="B3293" t="str">
            <v>8.1.03.03.03</v>
          </cell>
          <cell r="C3293" t="str">
            <v>Beban Bunga Utang atas Pinjaman kepada Lembaga Keuangan Bank (LKB)-BUMN-Jangka Panjang</v>
          </cell>
          <cell r="D3293">
            <v>0</v>
          </cell>
          <cell r="E3293">
            <v>0</v>
          </cell>
          <cell r="F3293">
            <v>0</v>
          </cell>
          <cell r="G3293">
            <v>0</v>
          </cell>
          <cell r="H3293">
            <v>0</v>
          </cell>
          <cell r="I3293">
            <v>0</v>
          </cell>
          <cell r="J3293">
            <v>0</v>
          </cell>
        </row>
        <row r="3294">
          <cell r="B3294" t="str">
            <v>8.1.03.03.04</v>
          </cell>
          <cell r="C3294" t="str">
            <v>Beban Bunga Utang atas Pinjaman kepada Lembaga Keuangan Bank (LKB)-BUMD-Jangka Pendek</v>
          </cell>
          <cell r="D3294">
            <v>0</v>
          </cell>
          <cell r="E3294">
            <v>0</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0</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D3296">
            <v>0</v>
          </cell>
          <cell r="E3296">
            <v>0</v>
          </cell>
          <cell r="F3296">
            <v>0</v>
          </cell>
          <cell r="G3296">
            <v>0</v>
          </cell>
          <cell r="H3296">
            <v>0</v>
          </cell>
          <cell r="I3296">
            <v>0</v>
          </cell>
          <cell r="J3296">
            <v>0</v>
          </cell>
        </row>
        <row r="3297">
          <cell r="B3297" t="str">
            <v>8.1.03.03.07</v>
          </cell>
          <cell r="C3297" t="str">
            <v>Beban Bunga Utang atas Pinjaman kepada Lembaga Keuangan Bank (LKB)-Swasta-Jangka Pendek</v>
          </cell>
          <cell r="D3297">
            <v>0</v>
          </cell>
          <cell r="E3297">
            <v>0</v>
          </cell>
          <cell r="F3297">
            <v>0</v>
          </cell>
          <cell r="G3297">
            <v>0</v>
          </cell>
          <cell r="H3297">
            <v>0</v>
          </cell>
          <cell r="I3297">
            <v>0</v>
          </cell>
          <cell r="J3297">
            <v>0</v>
          </cell>
        </row>
        <row r="3298">
          <cell r="B3298" t="str">
            <v>8.1.03.03.08</v>
          </cell>
          <cell r="C3298" t="str">
            <v>Beban Bunga Utang atas Pinjaman kepada Lembaga Keuangan Bank (LKB)-Swasta-Jangka Menengah</v>
          </cell>
          <cell r="D3298">
            <v>0</v>
          </cell>
          <cell r="E3298">
            <v>0</v>
          </cell>
          <cell r="F3298">
            <v>0</v>
          </cell>
          <cell r="G3298">
            <v>0</v>
          </cell>
          <cell r="H3298">
            <v>0</v>
          </cell>
          <cell r="I3298">
            <v>0</v>
          </cell>
          <cell r="J3298">
            <v>0</v>
          </cell>
        </row>
        <row r="3299">
          <cell r="B3299" t="str">
            <v>8.1.03.03.09</v>
          </cell>
          <cell r="C3299" t="str">
            <v>Beban Bunga Utang atas Pinjaman kepada Lembaga Keuangan Bank (LKB)-Swasta-Jangka Panjang</v>
          </cell>
          <cell r="D3299">
            <v>0</v>
          </cell>
          <cell r="E3299">
            <v>0</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F3300"/>
          <cell r="G3300"/>
          <cell r="H3300"/>
          <cell r="I3300"/>
          <cell r="J3300">
            <v>0</v>
          </cell>
        </row>
        <row r="3301">
          <cell r="B3301" t="str">
            <v>8.1.03.04.01</v>
          </cell>
          <cell r="C3301" t="str">
            <v>Beban Bunga Utang atas Pinjaman kepada Lembaga Keuangan Bukan Bank (LKBB)-BUMN-Jangka Pendek</v>
          </cell>
          <cell r="D3301">
            <v>0</v>
          </cell>
          <cell r="E3301">
            <v>0</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D3302">
            <v>0</v>
          </cell>
          <cell r="E3302">
            <v>0</v>
          </cell>
          <cell r="F3302">
            <v>0</v>
          </cell>
          <cell r="G3302">
            <v>0</v>
          </cell>
          <cell r="H3302">
            <v>0</v>
          </cell>
          <cell r="I3302">
            <v>0</v>
          </cell>
          <cell r="J3302">
            <v>0</v>
          </cell>
        </row>
        <row r="3303">
          <cell r="B3303" t="str">
            <v>8.1.03.04.03</v>
          </cell>
          <cell r="C3303" t="str">
            <v>Beban Bunga Utang atas Pinjaman kepada Lembaga Keuangan Bukan Bank (LKBB)-BUMN-Jangka Panjang</v>
          </cell>
          <cell r="D3303">
            <v>0</v>
          </cell>
          <cell r="E3303">
            <v>0</v>
          </cell>
          <cell r="F3303">
            <v>0</v>
          </cell>
          <cell r="G3303">
            <v>0</v>
          </cell>
          <cell r="H3303">
            <v>0</v>
          </cell>
          <cell r="I3303">
            <v>0</v>
          </cell>
          <cell r="J3303">
            <v>0</v>
          </cell>
        </row>
        <row r="3304">
          <cell r="B3304" t="str">
            <v>8.1.03.04.04</v>
          </cell>
          <cell r="C3304" t="str">
            <v>Beban Bunga Utang atas Pinjaman kepada Lembaga Keuangan Bukan Bank (LKBB)-BUMD-Jangka Pendek</v>
          </cell>
          <cell r="D3304">
            <v>0</v>
          </cell>
          <cell r="E3304">
            <v>0</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D3305">
            <v>0</v>
          </cell>
          <cell r="E3305">
            <v>0</v>
          </cell>
          <cell r="F3305">
            <v>0</v>
          </cell>
          <cell r="G3305">
            <v>0</v>
          </cell>
          <cell r="H3305">
            <v>0</v>
          </cell>
          <cell r="I3305">
            <v>0</v>
          </cell>
          <cell r="J3305">
            <v>0</v>
          </cell>
        </row>
        <row r="3306">
          <cell r="B3306" t="str">
            <v>8.1.03.04.06</v>
          </cell>
          <cell r="C3306" t="str">
            <v>Beban Bunga Utang atas Pinjaman kepada Lembaga Keuangan Bukan Bank (LKBB)-BUMD-Jangka Panjang</v>
          </cell>
          <cell r="D3306">
            <v>0</v>
          </cell>
          <cell r="E3306">
            <v>0</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D3307">
            <v>0</v>
          </cell>
          <cell r="E3307">
            <v>0</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D3308">
            <v>0</v>
          </cell>
          <cell r="E3308">
            <v>0</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D3309">
            <v>0</v>
          </cell>
          <cell r="E3309">
            <v>0</v>
          </cell>
          <cell r="F3309">
            <v>0</v>
          </cell>
          <cell r="G3309">
            <v>0</v>
          </cell>
          <cell r="H3309">
            <v>0</v>
          </cell>
          <cell r="I3309">
            <v>0</v>
          </cell>
          <cell r="J3309">
            <v>0</v>
          </cell>
        </row>
        <row r="3310">
          <cell r="B3310" t="str">
            <v>8.1.03.05</v>
          </cell>
          <cell r="C3310" t="str">
            <v>Beban Bunga Utang Kepada Masyarakat</v>
          </cell>
          <cell r="D3310">
            <v>0</v>
          </cell>
          <cell r="E3310">
            <v>0</v>
          </cell>
          <cell r="F3310"/>
          <cell r="G3310"/>
          <cell r="H3310"/>
          <cell r="I3310"/>
          <cell r="J3310">
            <v>0</v>
          </cell>
        </row>
        <row r="3311">
          <cell r="B3311" t="str">
            <v>8.1.03.05.01</v>
          </cell>
          <cell r="C3311" t="str">
            <v>Beban Bunga Utang kepada Masyarakat atas Obligasi</v>
          </cell>
          <cell r="D3311">
            <v>0</v>
          </cell>
          <cell r="E3311">
            <v>0</v>
          </cell>
          <cell r="F3311">
            <v>0</v>
          </cell>
          <cell r="G3311">
            <v>0</v>
          </cell>
          <cell r="H3311">
            <v>0</v>
          </cell>
          <cell r="I3311">
            <v>0</v>
          </cell>
          <cell r="J3311">
            <v>0</v>
          </cell>
        </row>
        <row r="3312">
          <cell r="B3312" t="str">
            <v>8.1.03.06</v>
          </cell>
          <cell r="C3312" t="str">
            <v>Beban Bunga Utang Pinjaman melalui BLUD</v>
          </cell>
          <cell r="D3312">
            <v>0</v>
          </cell>
          <cell r="E3312">
            <v>0</v>
          </cell>
          <cell r="F3312"/>
          <cell r="G3312"/>
          <cell r="H3312"/>
          <cell r="I3312"/>
          <cell r="J3312">
            <v>0</v>
          </cell>
        </row>
        <row r="3313">
          <cell r="B3313" t="str">
            <v>8.1.03.06.01</v>
          </cell>
          <cell r="C3313" t="str">
            <v>Beban Bunga Utang Pinjaman melalui BLUD-Jangka Pendek</v>
          </cell>
          <cell r="D3313">
            <v>0</v>
          </cell>
          <cell r="E3313">
            <v>0</v>
          </cell>
          <cell r="F3313">
            <v>0</v>
          </cell>
          <cell r="G3313">
            <v>0</v>
          </cell>
          <cell r="H3313">
            <v>0</v>
          </cell>
          <cell r="I3313">
            <v>0</v>
          </cell>
          <cell r="J3313">
            <v>0</v>
          </cell>
        </row>
        <row r="3314">
          <cell r="B3314" t="str">
            <v>8.1.03.06.02</v>
          </cell>
          <cell r="C3314" t="str">
            <v>Beban Bunga Utang Pinjaman melalui BLUD-Jangka Menengah</v>
          </cell>
          <cell r="D3314">
            <v>0</v>
          </cell>
          <cell r="E3314">
            <v>0</v>
          </cell>
          <cell r="F3314">
            <v>0</v>
          </cell>
          <cell r="G3314">
            <v>0</v>
          </cell>
          <cell r="H3314">
            <v>0</v>
          </cell>
          <cell r="I3314">
            <v>0</v>
          </cell>
          <cell r="J3314">
            <v>0</v>
          </cell>
        </row>
        <row r="3315">
          <cell r="B3315" t="str">
            <v>8.1.03.06.03</v>
          </cell>
          <cell r="C3315" t="str">
            <v>Beban Bunga Utang Pinjaman melalui BLUD-Jangka Panjang</v>
          </cell>
          <cell r="D3315">
            <v>0</v>
          </cell>
          <cell r="E3315">
            <v>0</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F3316"/>
          <cell r="G3316"/>
          <cell r="H3316"/>
          <cell r="I3316"/>
          <cell r="J3316">
            <v>0</v>
          </cell>
        </row>
        <row r="3317">
          <cell r="B3317" t="str">
            <v>8.1.03.07.01</v>
          </cell>
          <cell r="C3317" t="str">
            <v>Beban Bunga Pinjaman Daerah dari Pemerintah</v>
          </cell>
          <cell r="D3317">
            <v>0</v>
          </cell>
          <cell r="E3317">
            <v>0</v>
          </cell>
          <cell r="F3317">
            <v>0</v>
          </cell>
          <cell r="G3317">
            <v>0</v>
          </cell>
          <cell r="H3317">
            <v>0</v>
          </cell>
          <cell r="I3317">
            <v>0</v>
          </cell>
          <cell r="J3317">
            <v>0</v>
          </cell>
        </row>
        <row r="3318">
          <cell r="B3318" t="str">
            <v>8.1.03.07.02</v>
          </cell>
          <cell r="C3318" t="str">
            <v>Beban Bunga Pinjaman Daerah dari Pemerintah Daerah Lain</v>
          </cell>
          <cell r="D3318">
            <v>0</v>
          </cell>
          <cell r="E3318">
            <v>0</v>
          </cell>
          <cell r="F3318">
            <v>0</v>
          </cell>
          <cell r="G3318">
            <v>0</v>
          </cell>
          <cell r="H3318">
            <v>0</v>
          </cell>
          <cell r="I3318">
            <v>0</v>
          </cell>
          <cell r="J3318">
            <v>0</v>
          </cell>
        </row>
        <row r="3319">
          <cell r="B3319" t="str">
            <v>8.1.03.07.03</v>
          </cell>
          <cell r="C3319" t="str">
            <v>Beban Bunga Pinjaman Daerah dari Lembaga Keuangan Bank (LKB)</v>
          </cell>
          <cell r="D3319">
            <v>0</v>
          </cell>
          <cell r="E3319">
            <v>0</v>
          </cell>
          <cell r="F3319">
            <v>0</v>
          </cell>
          <cell r="G3319">
            <v>0</v>
          </cell>
          <cell r="H3319">
            <v>0</v>
          </cell>
          <cell r="I3319">
            <v>0</v>
          </cell>
          <cell r="J3319">
            <v>0</v>
          </cell>
        </row>
        <row r="3320">
          <cell r="B3320" t="str">
            <v>8.1.03.07.04</v>
          </cell>
          <cell r="C3320" t="str">
            <v>Beban Bunga Pinjaman Daerah dari Lembaga Keuangan Bukan Bank (LKBB)</v>
          </cell>
          <cell r="D3320">
            <v>0</v>
          </cell>
          <cell r="E3320">
            <v>0</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F3321"/>
          <cell r="G3321"/>
          <cell r="H3321"/>
          <cell r="I3321"/>
          <cell r="J3321">
            <v>0</v>
          </cell>
        </row>
        <row r="3322">
          <cell r="B3322" t="str">
            <v>8.1.03.08.01</v>
          </cell>
          <cell r="C3322" t="str">
            <v>Beban Bunga Obligasi Daerah</v>
          </cell>
          <cell r="D3322">
            <v>0</v>
          </cell>
          <cell r="E3322">
            <v>0</v>
          </cell>
          <cell r="F3322">
            <v>0</v>
          </cell>
          <cell r="G3322">
            <v>0</v>
          </cell>
          <cell r="H3322">
            <v>0</v>
          </cell>
          <cell r="I3322">
            <v>0</v>
          </cell>
          <cell r="J3322">
            <v>0</v>
          </cell>
        </row>
        <row r="3323">
          <cell r="B3323"/>
          <cell r="C3323"/>
          <cell r="D3323"/>
          <cell r="E3323"/>
          <cell r="F3323"/>
          <cell r="G3323"/>
          <cell r="H3323"/>
          <cell r="I3323"/>
          <cell r="J3323"/>
        </row>
        <row r="3324">
          <cell r="B3324" t="str">
            <v>8.1.04</v>
          </cell>
          <cell r="C3324" t="str">
            <v>Beban Subsidi</v>
          </cell>
          <cell r="D3324">
            <v>0</v>
          </cell>
          <cell r="E3324">
            <v>0</v>
          </cell>
          <cell r="F3324"/>
          <cell r="G3324"/>
          <cell r="H3324"/>
          <cell r="I3324"/>
          <cell r="J3324">
            <v>0</v>
          </cell>
        </row>
        <row r="3325">
          <cell r="B3325" t="str">
            <v>8.1.04.01</v>
          </cell>
          <cell r="C3325" t="str">
            <v>Beban Subsidi kepada BUMN</v>
          </cell>
          <cell r="D3325">
            <v>0</v>
          </cell>
          <cell r="E3325">
            <v>0</v>
          </cell>
          <cell r="F3325"/>
          <cell r="G3325"/>
          <cell r="H3325"/>
          <cell r="I3325"/>
          <cell r="J3325">
            <v>0</v>
          </cell>
        </row>
        <row r="3326">
          <cell r="B3326" t="str">
            <v>8.1.04.01.01</v>
          </cell>
          <cell r="C3326" t="str">
            <v>Beban Subsidi kepada BUMN</v>
          </cell>
          <cell r="D3326">
            <v>0</v>
          </cell>
          <cell r="E3326">
            <v>0</v>
          </cell>
          <cell r="F3326">
            <v>0</v>
          </cell>
          <cell r="G3326">
            <v>0</v>
          </cell>
          <cell r="H3326">
            <v>0</v>
          </cell>
          <cell r="I3326">
            <v>0</v>
          </cell>
          <cell r="J3326">
            <v>0</v>
          </cell>
        </row>
        <row r="3327">
          <cell r="B3327" t="str">
            <v>8.1.04.02</v>
          </cell>
          <cell r="C3327" t="str">
            <v>Beban Subsidi kepada BUMD</v>
          </cell>
          <cell r="D3327">
            <v>0</v>
          </cell>
          <cell r="E3327">
            <v>0</v>
          </cell>
          <cell r="F3327"/>
          <cell r="G3327"/>
          <cell r="H3327"/>
          <cell r="I3327"/>
          <cell r="J3327">
            <v>0</v>
          </cell>
        </row>
        <row r="3328">
          <cell r="B3328" t="str">
            <v>8.1.04.02.01</v>
          </cell>
          <cell r="C3328" t="str">
            <v>Beban Subsidi kepada BUMD</v>
          </cell>
          <cell r="D3328">
            <v>0</v>
          </cell>
          <cell r="E3328">
            <v>0</v>
          </cell>
          <cell r="F3328">
            <v>0</v>
          </cell>
          <cell r="G3328">
            <v>0</v>
          </cell>
          <cell r="H3328">
            <v>0</v>
          </cell>
          <cell r="I3328">
            <v>0</v>
          </cell>
          <cell r="J3328">
            <v>0</v>
          </cell>
        </row>
        <row r="3329">
          <cell r="B3329" t="str">
            <v>8.1.04.03</v>
          </cell>
          <cell r="C3329" t="str">
            <v>Beban Subsidi kepada Badan Usaha Milik Swasta</v>
          </cell>
          <cell r="D3329">
            <v>0</v>
          </cell>
          <cell r="E3329">
            <v>0</v>
          </cell>
          <cell r="F3329"/>
          <cell r="G3329"/>
          <cell r="H3329"/>
          <cell r="I3329"/>
          <cell r="J3329">
            <v>0</v>
          </cell>
        </row>
        <row r="3330">
          <cell r="B3330" t="str">
            <v>8.1.04.03.01</v>
          </cell>
          <cell r="C3330" t="str">
            <v>Beban Subsidi kepada Badan Usaha Milik Swasta</v>
          </cell>
          <cell r="D3330">
            <v>0</v>
          </cell>
          <cell r="E3330">
            <v>0</v>
          </cell>
          <cell r="F3330">
            <v>0</v>
          </cell>
          <cell r="G3330">
            <v>0</v>
          </cell>
          <cell r="H3330">
            <v>0</v>
          </cell>
          <cell r="I3330">
            <v>0</v>
          </cell>
          <cell r="J3330">
            <v>0</v>
          </cell>
        </row>
        <row r="3331">
          <cell r="B3331" t="str">
            <v>8.1.04.04</v>
          </cell>
          <cell r="C3331" t="str">
            <v>Beban Subsidi kepada Koperasi</v>
          </cell>
          <cell r="D3331">
            <v>0</v>
          </cell>
          <cell r="E3331">
            <v>0</v>
          </cell>
          <cell r="F3331"/>
          <cell r="G3331"/>
          <cell r="H3331"/>
          <cell r="I3331"/>
          <cell r="J3331">
            <v>0</v>
          </cell>
        </row>
        <row r="3332">
          <cell r="B3332" t="str">
            <v>8.1.04.04.01</v>
          </cell>
          <cell r="C3332" t="str">
            <v>Beban Subsidi kepada Koperasi</v>
          </cell>
          <cell r="D3332">
            <v>0</v>
          </cell>
          <cell r="E3332">
            <v>0</v>
          </cell>
          <cell r="F3332">
            <v>0</v>
          </cell>
          <cell r="G3332">
            <v>0</v>
          </cell>
          <cell r="H3332">
            <v>0</v>
          </cell>
          <cell r="I3332">
            <v>0</v>
          </cell>
          <cell r="J3332">
            <v>0</v>
          </cell>
        </row>
        <row r="3333">
          <cell r="B3333"/>
          <cell r="C3333"/>
          <cell r="D3333"/>
          <cell r="E3333"/>
          <cell r="F3333"/>
          <cell r="G3333"/>
          <cell r="H3333"/>
          <cell r="I3333"/>
          <cell r="J3333"/>
        </row>
        <row r="3334">
          <cell r="B3334" t="str">
            <v>8.1.05</v>
          </cell>
          <cell r="C3334" t="str">
            <v>Beban Hibah</v>
          </cell>
          <cell r="D3334">
            <v>60421998213</v>
          </cell>
          <cell r="E3334">
            <v>54219580322.040001</v>
          </cell>
          <cell r="F3334"/>
          <cell r="G3334"/>
          <cell r="H3334"/>
          <cell r="I3334"/>
          <cell r="J3334">
            <v>54219580322.040001</v>
          </cell>
        </row>
        <row r="3335">
          <cell r="B3335" t="str">
            <v>8.1.05.01</v>
          </cell>
          <cell r="C3335" t="str">
            <v>Beban Hibah kepada Pemerintah Pusat</v>
          </cell>
          <cell r="D3335">
            <v>17531730760</v>
          </cell>
          <cell r="E3335">
            <v>6960312667</v>
          </cell>
          <cell r="F3335"/>
          <cell r="G3335"/>
          <cell r="H3335"/>
          <cell r="I3335"/>
          <cell r="J3335">
            <v>6960312667</v>
          </cell>
        </row>
        <row r="3336">
          <cell r="B3336" t="str">
            <v>8.1.05.01.01</v>
          </cell>
          <cell r="C3336" t="str">
            <v>Beban Hibah Uang kepada Pemerintah Pusat</v>
          </cell>
          <cell r="D3336">
            <v>17531730760</v>
          </cell>
          <cell r="E3336">
            <v>0</v>
          </cell>
          <cell r="F3336">
            <v>0</v>
          </cell>
          <cell r="G3336">
            <v>0</v>
          </cell>
          <cell r="H3336">
            <v>0</v>
          </cell>
          <cell r="I3336">
            <v>0</v>
          </cell>
          <cell r="J3336">
            <v>0</v>
          </cell>
        </row>
        <row r="3337">
          <cell r="B3337" t="str">
            <v>8.1.05.01.02</v>
          </cell>
          <cell r="C3337" t="str">
            <v>Beban Hibah Barang kepada Pemerintah Pusat</v>
          </cell>
          <cell r="D3337">
            <v>0</v>
          </cell>
          <cell r="E3337">
            <v>6960312667</v>
          </cell>
          <cell r="F3337">
            <v>0</v>
          </cell>
          <cell r="G3337">
            <v>0</v>
          </cell>
          <cell r="H3337">
            <v>0</v>
          </cell>
          <cell r="I3337">
            <v>0</v>
          </cell>
          <cell r="J3337">
            <v>6960312667</v>
          </cell>
        </row>
        <row r="3338">
          <cell r="B3338" t="str">
            <v>8.1.05.01.03</v>
          </cell>
          <cell r="C3338" t="str">
            <v>Beban Hibah Jasa kepada Pemerintah Pusat</v>
          </cell>
          <cell r="D3338">
            <v>0</v>
          </cell>
          <cell r="E3338">
            <v>0</v>
          </cell>
          <cell r="F3338">
            <v>0</v>
          </cell>
          <cell r="G3338">
            <v>0</v>
          </cell>
          <cell r="H3338">
            <v>0</v>
          </cell>
          <cell r="I3338">
            <v>0</v>
          </cell>
          <cell r="J3338">
            <v>0</v>
          </cell>
        </row>
        <row r="3339">
          <cell r="B3339" t="str">
            <v>8.1.05.02</v>
          </cell>
          <cell r="C3339" t="str">
            <v>Beban Hibah kepada Pemerintah Daerah Lainnya</v>
          </cell>
          <cell r="D3339">
            <v>0</v>
          </cell>
          <cell r="E3339">
            <v>0</v>
          </cell>
          <cell r="F3339"/>
          <cell r="G3339"/>
          <cell r="H3339"/>
          <cell r="I3339"/>
          <cell r="J3339">
            <v>0</v>
          </cell>
        </row>
        <row r="3340">
          <cell r="B3340" t="str">
            <v>8.1.05.02.01</v>
          </cell>
          <cell r="C3340" t="str">
            <v>Beban Hibah Uang kepada Pemerintah Daerah Lainnya</v>
          </cell>
          <cell r="D3340">
            <v>0</v>
          </cell>
          <cell r="E3340">
            <v>0</v>
          </cell>
          <cell r="F3340">
            <v>0</v>
          </cell>
          <cell r="G3340">
            <v>0</v>
          </cell>
          <cell r="H3340">
            <v>0</v>
          </cell>
          <cell r="I3340">
            <v>0</v>
          </cell>
          <cell r="J3340">
            <v>0</v>
          </cell>
        </row>
        <row r="3341">
          <cell r="B3341" t="str">
            <v>8.1.05.02.02</v>
          </cell>
          <cell r="C3341" t="str">
            <v>Beban Hibah Barang kepada Pemerintah Daerah Lainnya</v>
          </cell>
          <cell r="D3341">
            <v>0</v>
          </cell>
          <cell r="E3341">
            <v>0</v>
          </cell>
          <cell r="F3341">
            <v>0</v>
          </cell>
          <cell r="G3341">
            <v>0</v>
          </cell>
          <cell r="H3341">
            <v>0</v>
          </cell>
          <cell r="I3341">
            <v>0</v>
          </cell>
          <cell r="J3341">
            <v>0</v>
          </cell>
        </row>
        <row r="3342">
          <cell r="B3342" t="str">
            <v>8.1.05.02.03</v>
          </cell>
          <cell r="C3342" t="str">
            <v>Beban Hibah Jasa kepada Pemerintah Daerah Lainnya</v>
          </cell>
          <cell r="D3342">
            <v>0</v>
          </cell>
          <cell r="E3342">
            <v>0</v>
          </cell>
          <cell r="F3342">
            <v>0</v>
          </cell>
          <cell r="G3342">
            <v>0</v>
          </cell>
          <cell r="H3342">
            <v>0</v>
          </cell>
          <cell r="I3342">
            <v>0</v>
          </cell>
          <cell r="J3342">
            <v>0</v>
          </cell>
        </row>
        <row r="3343">
          <cell r="B3343" t="str">
            <v>8.1.05.03</v>
          </cell>
          <cell r="C3343" t="str">
            <v>Beban Hibah kepada BUMN</v>
          </cell>
          <cell r="D3343">
            <v>0</v>
          </cell>
          <cell r="E3343">
            <v>0</v>
          </cell>
          <cell r="F3343"/>
          <cell r="G3343"/>
          <cell r="H3343"/>
          <cell r="I3343"/>
          <cell r="J3343">
            <v>0</v>
          </cell>
        </row>
        <row r="3344">
          <cell r="B3344" t="str">
            <v>8.1.05.03.01</v>
          </cell>
          <cell r="C3344" t="str">
            <v>Beban Hibah Uang kepada BUMN</v>
          </cell>
          <cell r="D3344">
            <v>0</v>
          </cell>
          <cell r="E3344">
            <v>0</v>
          </cell>
          <cell r="F3344">
            <v>0</v>
          </cell>
          <cell r="G3344">
            <v>0</v>
          </cell>
          <cell r="H3344">
            <v>0</v>
          </cell>
          <cell r="I3344">
            <v>0</v>
          </cell>
          <cell r="J3344">
            <v>0</v>
          </cell>
        </row>
        <row r="3345">
          <cell r="B3345" t="str">
            <v>8.1.05.03.02</v>
          </cell>
          <cell r="C3345" t="str">
            <v>Beban Hibah Barang kepada BUMN</v>
          </cell>
          <cell r="D3345">
            <v>0</v>
          </cell>
          <cell r="E3345">
            <v>0</v>
          </cell>
          <cell r="F3345">
            <v>0</v>
          </cell>
          <cell r="G3345">
            <v>0</v>
          </cell>
          <cell r="H3345">
            <v>0</v>
          </cell>
          <cell r="I3345">
            <v>0</v>
          </cell>
          <cell r="J3345">
            <v>0</v>
          </cell>
        </row>
        <row r="3346">
          <cell r="B3346" t="str">
            <v>8.1.05.03.03</v>
          </cell>
          <cell r="C3346" t="str">
            <v>Beban Hibah Jasa kepada BUMN</v>
          </cell>
          <cell r="D3346">
            <v>0</v>
          </cell>
          <cell r="E3346">
            <v>0</v>
          </cell>
          <cell r="F3346">
            <v>0</v>
          </cell>
          <cell r="G3346">
            <v>0</v>
          </cell>
          <cell r="H3346">
            <v>0</v>
          </cell>
          <cell r="I3346">
            <v>0</v>
          </cell>
          <cell r="J3346">
            <v>0</v>
          </cell>
        </row>
        <row r="3347">
          <cell r="B3347" t="str">
            <v>8.1.05.04</v>
          </cell>
          <cell r="C3347" t="str">
            <v>Beban Hibah Uang kepada BUMD</v>
          </cell>
          <cell r="D3347">
            <v>349728000</v>
          </cell>
          <cell r="E3347">
            <v>0</v>
          </cell>
          <cell r="F3347"/>
          <cell r="G3347"/>
          <cell r="H3347"/>
          <cell r="I3347"/>
          <cell r="J3347">
            <v>0</v>
          </cell>
        </row>
        <row r="3348">
          <cell r="B3348" t="str">
            <v>8.1.05.04.01</v>
          </cell>
          <cell r="C3348" t="str">
            <v>Beban Hibah Uang kepada BUMD</v>
          </cell>
          <cell r="D3348">
            <v>0</v>
          </cell>
          <cell r="E3348">
            <v>0</v>
          </cell>
          <cell r="F3348">
            <v>0</v>
          </cell>
          <cell r="G3348">
            <v>0</v>
          </cell>
          <cell r="H3348">
            <v>0</v>
          </cell>
          <cell r="I3348">
            <v>0</v>
          </cell>
          <cell r="J3348">
            <v>0</v>
          </cell>
        </row>
        <row r="3349">
          <cell r="B3349" t="str">
            <v>8.1.05.04.02</v>
          </cell>
          <cell r="C3349" t="str">
            <v>Beban Hibah Barang kepada BUMD</v>
          </cell>
          <cell r="D3349">
            <v>349728000</v>
          </cell>
          <cell r="E3349">
            <v>0</v>
          </cell>
          <cell r="F3349">
            <v>0</v>
          </cell>
          <cell r="G3349">
            <v>0</v>
          </cell>
          <cell r="H3349">
            <v>0</v>
          </cell>
          <cell r="I3349">
            <v>0</v>
          </cell>
          <cell r="J3349">
            <v>0</v>
          </cell>
        </row>
        <row r="3350">
          <cell r="B3350" t="str">
            <v>8.1.05.04.03</v>
          </cell>
          <cell r="C3350" t="str">
            <v>Beban Hibah Jasa kepada BUMD</v>
          </cell>
          <cell r="D3350">
            <v>0</v>
          </cell>
          <cell r="E3350">
            <v>0</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37322540000</v>
          </cell>
          <cell r="E3351">
            <v>35147599388.040001</v>
          </cell>
          <cell r="F3351"/>
          <cell r="G3351"/>
          <cell r="H3351"/>
          <cell r="I3351"/>
          <cell r="J3351">
            <v>35147599388.040001</v>
          </cell>
        </row>
        <row r="3352">
          <cell r="B3352" t="str">
            <v>8.1.05.05.01</v>
          </cell>
          <cell r="C3352" t="str">
            <v>Beban Hibah kepada Badan dan Lembaga yang Bersifat Nirlaba, Sukarela dan Sosial yang Dibentuk Berdasarkan Peraturan Perundang-Undangan</v>
          </cell>
          <cell r="D3352">
            <v>1289241500</v>
          </cell>
          <cell r="E3352">
            <v>4055000000</v>
          </cell>
          <cell r="F3352">
            <v>0</v>
          </cell>
          <cell r="G3352">
            <v>0</v>
          </cell>
          <cell r="H3352">
            <v>0</v>
          </cell>
          <cell r="I3352">
            <v>0</v>
          </cell>
          <cell r="J3352">
            <v>4055000000</v>
          </cell>
        </row>
        <row r="3353">
          <cell r="B3353" t="str">
            <v>8.1.05.05.02</v>
          </cell>
          <cell r="C3353" t="str">
            <v>Beban Hibah kepada Badan dan Lembaga Nirlaba, Sukarela dan Sosial yang Telah Memiliki Surat Keterangan Terdaftar</v>
          </cell>
          <cell r="D3353">
            <v>32733298500</v>
          </cell>
          <cell r="E3353">
            <v>25856398172.040001</v>
          </cell>
          <cell r="F3353">
            <v>0</v>
          </cell>
          <cell r="G3353">
            <v>0</v>
          </cell>
          <cell r="H3353">
            <v>0</v>
          </cell>
          <cell r="I3353">
            <v>0</v>
          </cell>
          <cell r="J3353">
            <v>25856398172.040001</v>
          </cell>
        </row>
        <row r="3354">
          <cell r="B3354" t="str">
            <v>8.1.05.05.03</v>
          </cell>
          <cell r="C3354" t="str">
            <v>Beban Hibah kepada Badan dan Lembaga Nirlaba, Sukarela Bersifat Sosial Kemasyarakatan</v>
          </cell>
          <cell r="D3354">
            <v>3300000000</v>
          </cell>
          <cell r="E3354">
            <v>298201216</v>
          </cell>
          <cell r="F3354">
            <v>0</v>
          </cell>
          <cell r="G3354">
            <v>0</v>
          </cell>
          <cell r="H3354">
            <v>0</v>
          </cell>
          <cell r="I3354">
            <v>0</v>
          </cell>
          <cell r="J3354">
            <v>298201216</v>
          </cell>
        </row>
        <row r="3355">
          <cell r="B3355" t="str">
            <v>8.1.05.05.04</v>
          </cell>
          <cell r="C3355" t="str">
            <v>Beban Hibah kepada Koperasi</v>
          </cell>
          <cell r="D3355">
            <v>0</v>
          </cell>
          <cell r="E3355">
            <v>4050000000</v>
          </cell>
          <cell r="F3355">
            <v>0</v>
          </cell>
          <cell r="G3355">
            <v>0</v>
          </cell>
          <cell r="H3355">
            <v>0</v>
          </cell>
          <cell r="I3355">
            <v>0</v>
          </cell>
          <cell r="J3355">
            <v>4050000000</v>
          </cell>
        </row>
        <row r="3356">
          <cell r="B3356" t="str">
            <v>8.1.05.05.05</v>
          </cell>
          <cell r="C3356" t="str">
            <v>Beban Hibah kepada Usaha Mikro dan Usaha Kecil</v>
          </cell>
          <cell r="D3356">
            <v>0</v>
          </cell>
          <cell r="E3356">
            <v>838000000</v>
          </cell>
          <cell r="F3356">
            <v>0</v>
          </cell>
          <cell r="G3356">
            <v>0</v>
          </cell>
          <cell r="H3356">
            <v>0</v>
          </cell>
          <cell r="I3356">
            <v>0</v>
          </cell>
          <cell r="J3356">
            <v>838000000</v>
          </cell>
        </row>
        <row r="3357">
          <cell r="B3357" t="str">
            <v>8.1.05.05.06</v>
          </cell>
          <cell r="C3357" t="str">
            <v>Beban Hibah kepada Organisasi Kemasyarakatan yang Berbadan Hukum Indonesia</v>
          </cell>
          <cell r="D3357">
            <v>0</v>
          </cell>
          <cell r="E3357">
            <v>50000000</v>
          </cell>
          <cell r="F3357">
            <v>0</v>
          </cell>
          <cell r="G3357">
            <v>0</v>
          </cell>
          <cell r="H3357">
            <v>0</v>
          </cell>
          <cell r="I3357">
            <v>0</v>
          </cell>
          <cell r="J3357">
            <v>50000000</v>
          </cell>
        </row>
        <row r="3358">
          <cell r="B3358" t="str">
            <v>8.1.05.06</v>
          </cell>
          <cell r="C3358" t="str">
            <v>Beban Hibah Dana BOS</v>
          </cell>
          <cell r="D3358">
            <v>2081201964</v>
          </cell>
          <cell r="E3358">
            <v>8946244962</v>
          </cell>
          <cell r="F3358"/>
          <cell r="G3358"/>
          <cell r="H3358"/>
          <cell r="I3358"/>
          <cell r="J3358">
            <v>8946244962</v>
          </cell>
        </row>
        <row r="3359">
          <cell r="B3359" t="str">
            <v>8.1.05.06.01</v>
          </cell>
          <cell r="C3359" t="str">
            <v>Beban Hibah Uang Dana BOS yang Diterima oleh Satdikdas Negeri</v>
          </cell>
          <cell r="D3359">
            <v>0</v>
          </cell>
          <cell r="E3359">
            <v>5096138582</v>
          </cell>
          <cell r="F3359">
            <v>0</v>
          </cell>
          <cell r="G3359">
            <v>0</v>
          </cell>
          <cell r="H3359">
            <v>0</v>
          </cell>
          <cell r="I3359">
            <v>0</v>
          </cell>
          <cell r="J3359">
            <v>5096138582</v>
          </cell>
        </row>
        <row r="3360">
          <cell r="B3360" t="str">
            <v>8.1.05.06.02</v>
          </cell>
          <cell r="C3360" t="str">
            <v>Beban Hibah Uang Dana BOS yang Diterima oleh Satdikdas Swasta</v>
          </cell>
          <cell r="D3360">
            <v>2081201964</v>
          </cell>
          <cell r="E3360">
            <v>3850106380</v>
          </cell>
          <cell r="F3360">
            <v>0</v>
          </cell>
          <cell r="G3360">
            <v>0</v>
          </cell>
          <cell r="H3360">
            <v>0</v>
          </cell>
          <cell r="I3360">
            <v>0</v>
          </cell>
          <cell r="J3360">
            <v>3850106380</v>
          </cell>
        </row>
        <row r="3361">
          <cell r="B3361" t="str">
            <v>8.1.05.06.03</v>
          </cell>
          <cell r="C3361" t="str">
            <v>Beban Hibah Uang Dana BOS yang Diterima oleh Satdikmen Swasta</v>
          </cell>
          <cell r="D3361">
            <v>0</v>
          </cell>
          <cell r="E3361">
            <v>0</v>
          </cell>
          <cell r="F3361">
            <v>0</v>
          </cell>
          <cell r="G3361">
            <v>0</v>
          </cell>
          <cell r="H3361">
            <v>0</v>
          </cell>
          <cell r="I3361">
            <v>0</v>
          </cell>
          <cell r="J3361">
            <v>0</v>
          </cell>
        </row>
        <row r="3362">
          <cell r="B3362" t="str">
            <v>8.1.05.06.04</v>
          </cell>
          <cell r="C3362" t="str">
            <v>Beban Hibah Uang Dana BOS yang Diterima oleh Satdiksus Swasta</v>
          </cell>
          <cell r="D3362">
            <v>0</v>
          </cell>
          <cell r="E3362">
            <v>0</v>
          </cell>
          <cell r="F3362">
            <v>0</v>
          </cell>
          <cell r="G3362">
            <v>0</v>
          </cell>
          <cell r="H3362">
            <v>0</v>
          </cell>
          <cell r="I3362">
            <v>0</v>
          </cell>
          <cell r="J3362">
            <v>0</v>
          </cell>
        </row>
        <row r="3363">
          <cell r="B3363" t="str">
            <v>8.1.05.07</v>
          </cell>
          <cell r="C3363" t="str">
            <v>Beban Hibah Bantuan Keuangan Kepada Partai Politik</v>
          </cell>
          <cell r="D3363">
            <v>422782289</v>
          </cell>
          <cell r="E3363">
            <v>469713705</v>
          </cell>
          <cell r="F3363"/>
          <cell r="G3363"/>
          <cell r="H3363"/>
          <cell r="I3363"/>
          <cell r="J3363">
            <v>469713705</v>
          </cell>
        </row>
        <row r="3364">
          <cell r="B3364" t="str">
            <v>8.1.05.07.01</v>
          </cell>
          <cell r="C3364" t="str">
            <v>Beban Hibah Bantuan Keuangan Kepada Partai Politik</v>
          </cell>
          <cell r="D3364">
            <v>422782289</v>
          </cell>
          <cell r="E3364">
            <v>469713705</v>
          </cell>
          <cell r="F3364">
            <v>0</v>
          </cell>
          <cell r="G3364">
            <v>0</v>
          </cell>
          <cell r="H3364">
            <v>0</v>
          </cell>
          <cell r="I3364">
            <v>0</v>
          </cell>
          <cell r="J3364">
            <v>469713705</v>
          </cell>
        </row>
        <row r="3365">
          <cell r="B3365" t="str">
            <v>8.1.05.08</v>
          </cell>
          <cell r="C3365" t="str">
            <v>Beban Hibah Dana BOSP</v>
          </cell>
          <cell r="D3365">
            <v>2714015200</v>
          </cell>
          <cell r="E3365">
            <v>2695709600</v>
          </cell>
          <cell r="F3365"/>
          <cell r="G3365"/>
          <cell r="H3365"/>
          <cell r="I3365"/>
          <cell r="J3365">
            <v>2695709600</v>
          </cell>
        </row>
        <row r="3366">
          <cell r="B3366" t="str">
            <v>8.1.05.08.01</v>
          </cell>
          <cell r="C3366" t="str">
            <v>Beban Hibah Dana BOSP-BOS</v>
          </cell>
          <cell r="D3366">
            <v>0</v>
          </cell>
          <cell r="E3366">
            <v>0</v>
          </cell>
          <cell r="F3366">
            <v>0</v>
          </cell>
          <cell r="G3366">
            <v>0</v>
          </cell>
          <cell r="H3366">
            <v>0</v>
          </cell>
          <cell r="I3366">
            <v>0</v>
          </cell>
          <cell r="J3366">
            <v>0</v>
          </cell>
        </row>
        <row r="3367">
          <cell r="B3367" t="str">
            <v>8.1.05.08.02</v>
          </cell>
          <cell r="C3367" t="str">
            <v>Beban Hibah Dana BOSP-BOP PAUD</v>
          </cell>
          <cell r="D3367">
            <v>2580495200</v>
          </cell>
          <cell r="E3367">
            <v>2477849600</v>
          </cell>
          <cell r="F3367">
            <v>0</v>
          </cell>
          <cell r="G3367">
            <v>0</v>
          </cell>
          <cell r="H3367">
            <v>0</v>
          </cell>
          <cell r="I3367">
            <v>0</v>
          </cell>
          <cell r="J3367">
            <v>2477849600</v>
          </cell>
        </row>
        <row r="3368">
          <cell r="B3368" t="str">
            <v>8.1.05.08.03</v>
          </cell>
          <cell r="C3368" t="str">
            <v>Beban Hibah Dana BOSP-BOP Kesetaraan</v>
          </cell>
          <cell r="D3368">
            <v>133520000</v>
          </cell>
          <cell r="E3368">
            <v>217860000</v>
          </cell>
          <cell r="F3368">
            <v>0</v>
          </cell>
          <cell r="G3368">
            <v>0</v>
          </cell>
          <cell r="H3368">
            <v>0</v>
          </cell>
          <cell r="I3368">
            <v>0</v>
          </cell>
          <cell r="J3368">
            <v>217860000</v>
          </cell>
        </row>
        <row r="3369">
          <cell r="B3369" t="str">
            <v>8.1.05.09</v>
          </cell>
          <cell r="C3369" t="str">
            <v>Beban Hibah kepada BUMDesa</v>
          </cell>
          <cell r="D3369">
            <v>0</v>
          </cell>
          <cell r="E3369">
            <v>0</v>
          </cell>
          <cell r="F3369"/>
          <cell r="G3369"/>
          <cell r="H3369"/>
          <cell r="I3369"/>
          <cell r="J3369">
            <v>0</v>
          </cell>
        </row>
        <row r="3370">
          <cell r="B3370" t="str">
            <v>8.1.05.09.01</v>
          </cell>
          <cell r="C3370" t="str">
            <v>Beban Hibah Uang kepada BUMDesa</v>
          </cell>
          <cell r="D3370">
            <v>0</v>
          </cell>
          <cell r="E3370">
            <v>0</v>
          </cell>
          <cell r="F3370">
            <v>0</v>
          </cell>
          <cell r="G3370">
            <v>0</v>
          </cell>
          <cell r="H3370">
            <v>0</v>
          </cell>
          <cell r="I3370">
            <v>0</v>
          </cell>
          <cell r="J3370">
            <v>0</v>
          </cell>
        </row>
        <row r="3371">
          <cell r="B3371" t="str">
            <v>8.1.05.09.02</v>
          </cell>
          <cell r="C3371" t="str">
            <v>Beban Hibah Barang kepada BUMDesa</v>
          </cell>
          <cell r="D3371">
            <v>0</v>
          </cell>
          <cell r="E3371">
            <v>0</v>
          </cell>
          <cell r="F3371">
            <v>0</v>
          </cell>
          <cell r="G3371">
            <v>0</v>
          </cell>
          <cell r="H3371">
            <v>0</v>
          </cell>
          <cell r="I3371">
            <v>0</v>
          </cell>
          <cell r="J3371">
            <v>0</v>
          </cell>
        </row>
        <row r="3372">
          <cell r="B3372" t="str">
            <v>8.1.05.09.03</v>
          </cell>
          <cell r="C3372" t="str">
            <v>Beban Hibah Jasa kepada BUMDesa</v>
          </cell>
          <cell r="D3372">
            <v>0</v>
          </cell>
          <cell r="E3372">
            <v>0</v>
          </cell>
          <cell r="F3372">
            <v>0</v>
          </cell>
          <cell r="G3372">
            <v>0</v>
          </cell>
          <cell r="H3372">
            <v>0</v>
          </cell>
          <cell r="I3372">
            <v>0</v>
          </cell>
          <cell r="J3372">
            <v>0</v>
          </cell>
        </row>
        <row r="3373">
          <cell r="B3373" t="str">
            <v>8.1.05.10</v>
          </cell>
          <cell r="C3373" t="str">
            <v>Beban Hibah kepada Koperasi</v>
          </cell>
          <cell r="D3373">
            <v>0</v>
          </cell>
          <cell r="E3373">
            <v>0</v>
          </cell>
          <cell r="F3373"/>
          <cell r="G3373"/>
          <cell r="H3373"/>
          <cell r="I3373"/>
          <cell r="J3373">
            <v>0</v>
          </cell>
        </row>
        <row r="3374">
          <cell r="B3374" t="str">
            <v>8.1.05.10.01</v>
          </cell>
          <cell r="C3374" t="str">
            <v>Beban Hibah Uang kepada Koperasi</v>
          </cell>
          <cell r="D3374">
            <v>0</v>
          </cell>
          <cell r="E3374">
            <v>0</v>
          </cell>
          <cell r="F3374">
            <v>0</v>
          </cell>
          <cell r="G3374">
            <v>0</v>
          </cell>
          <cell r="H3374">
            <v>0</v>
          </cell>
          <cell r="I3374">
            <v>0</v>
          </cell>
          <cell r="J3374">
            <v>0</v>
          </cell>
        </row>
        <row r="3375">
          <cell r="B3375" t="str">
            <v>8.1.05.10.02</v>
          </cell>
          <cell r="C3375" t="str">
            <v>Beban Hibah Barang kepada Koperasi</v>
          </cell>
          <cell r="D3375">
            <v>0</v>
          </cell>
          <cell r="E3375">
            <v>0</v>
          </cell>
          <cell r="F3375">
            <v>0</v>
          </cell>
          <cell r="G3375">
            <v>0</v>
          </cell>
          <cell r="H3375">
            <v>0</v>
          </cell>
          <cell r="I3375">
            <v>0</v>
          </cell>
          <cell r="J3375">
            <v>0</v>
          </cell>
        </row>
        <row r="3376">
          <cell r="B3376" t="str">
            <v>8.1.05.10.03</v>
          </cell>
          <cell r="C3376" t="str">
            <v>Beban Hibah Jasa kepada Koperasi</v>
          </cell>
          <cell r="D3376">
            <v>0</v>
          </cell>
          <cell r="E3376">
            <v>0</v>
          </cell>
          <cell r="F3376">
            <v>0</v>
          </cell>
          <cell r="G3376">
            <v>0</v>
          </cell>
          <cell r="H3376">
            <v>0</v>
          </cell>
          <cell r="I3376">
            <v>0</v>
          </cell>
          <cell r="J3376">
            <v>0</v>
          </cell>
        </row>
        <row r="3377">
          <cell r="B3377"/>
          <cell r="C3377"/>
          <cell r="D3377">
            <v>0</v>
          </cell>
          <cell r="E3377">
            <v>0</v>
          </cell>
          <cell r="F3377"/>
          <cell r="G3377"/>
          <cell r="H3377"/>
          <cell r="I3377"/>
          <cell r="J3377"/>
        </row>
        <row r="3378">
          <cell r="B3378" t="str">
            <v>8.1.06</v>
          </cell>
          <cell r="C3378" t="str">
            <v>Beban Bantuan Sosial</v>
          </cell>
          <cell r="D3378">
            <v>21845800000</v>
          </cell>
          <cell r="E3378">
            <v>14314100000</v>
          </cell>
          <cell r="F3378"/>
          <cell r="G3378"/>
          <cell r="H3378"/>
          <cell r="I3378"/>
          <cell r="J3378">
            <v>14314100000</v>
          </cell>
        </row>
        <row r="3379">
          <cell r="B3379" t="str">
            <v>8.1.06.01</v>
          </cell>
          <cell r="C3379" t="str">
            <v>Beban Bantuan Sosial Uang kepada Individu</v>
          </cell>
          <cell r="D3379">
            <v>9766000000</v>
          </cell>
          <cell r="E3379">
            <v>8573000000</v>
          </cell>
          <cell r="F3379"/>
          <cell r="G3379"/>
          <cell r="H3379"/>
          <cell r="I3379"/>
          <cell r="J3379">
            <v>8573000000</v>
          </cell>
        </row>
        <row r="3380">
          <cell r="B3380" t="str">
            <v>8.1.06.01.01</v>
          </cell>
          <cell r="C3380" t="str">
            <v>Beban Bantuan Sosial Uang yang Direncanakan kepada Individu</v>
          </cell>
          <cell r="D3380">
            <v>9766000000</v>
          </cell>
          <cell r="E3380">
            <v>8573000000</v>
          </cell>
          <cell r="F3380">
            <v>0</v>
          </cell>
          <cell r="G3380">
            <v>0</v>
          </cell>
          <cell r="H3380">
            <v>0</v>
          </cell>
          <cell r="I3380">
            <v>0</v>
          </cell>
          <cell r="J3380">
            <v>8573000000</v>
          </cell>
        </row>
        <row r="3381">
          <cell r="B3381" t="str">
            <v>8.1.06.01.02</v>
          </cell>
          <cell r="C3381" t="str">
            <v>Beban Bantuan Sosial Barang yang Direncanakan kepada Individu</v>
          </cell>
          <cell r="D3381">
            <v>0</v>
          </cell>
          <cell r="E3381">
            <v>0</v>
          </cell>
          <cell r="F3381">
            <v>0</v>
          </cell>
          <cell r="G3381">
            <v>0</v>
          </cell>
          <cell r="H3381">
            <v>0</v>
          </cell>
          <cell r="I3381">
            <v>0</v>
          </cell>
          <cell r="J3381">
            <v>0</v>
          </cell>
        </row>
        <row r="3382">
          <cell r="B3382" t="str">
            <v>8.1.06.02</v>
          </cell>
          <cell r="C3382" t="str">
            <v>Beban Bantuan Sosial Uang kepada Keluarga</v>
          </cell>
          <cell r="D3382">
            <v>12079800000</v>
          </cell>
          <cell r="E3382">
            <v>5741100000</v>
          </cell>
          <cell r="F3382"/>
          <cell r="G3382"/>
          <cell r="H3382"/>
          <cell r="I3382"/>
          <cell r="J3382">
            <v>5741100000</v>
          </cell>
        </row>
        <row r="3383">
          <cell r="B3383" t="str">
            <v>8.1.06.02.01</v>
          </cell>
          <cell r="C3383" t="str">
            <v>Beban Bantuan Sosial Uang yang Direncanakan kepada Keluarga</v>
          </cell>
          <cell r="D3383">
            <v>12079800000</v>
          </cell>
          <cell r="E3383">
            <v>5741100000</v>
          </cell>
          <cell r="F3383">
            <v>0</v>
          </cell>
          <cell r="G3383">
            <v>0</v>
          </cell>
          <cell r="H3383">
            <v>0</v>
          </cell>
          <cell r="I3383">
            <v>0</v>
          </cell>
          <cell r="J3383">
            <v>5741100000</v>
          </cell>
        </row>
        <row r="3384">
          <cell r="B3384" t="str">
            <v>8.1.06.02.02</v>
          </cell>
          <cell r="C3384" t="str">
            <v>Beban Bantuan Sosial Barang yang Direncanakan kepada Keluarga</v>
          </cell>
          <cell r="D3384">
            <v>0</v>
          </cell>
          <cell r="E3384">
            <v>0</v>
          </cell>
          <cell r="F3384">
            <v>0</v>
          </cell>
          <cell r="G3384">
            <v>0</v>
          </cell>
          <cell r="H3384">
            <v>0</v>
          </cell>
          <cell r="I3384">
            <v>0</v>
          </cell>
          <cell r="J3384">
            <v>0</v>
          </cell>
        </row>
        <row r="3385">
          <cell r="B3385" t="str">
            <v>8.1.06.03</v>
          </cell>
          <cell r="C3385" t="str">
            <v>Beban Bantuan Sosial Uang kepada Kelompok Masyarakat</v>
          </cell>
          <cell r="D3385">
            <v>0</v>
          </cell>
          <cell r="E3385">
            <v>0</v>
          </cell>
          <cell r="F3385"/>
          <cell r="G3385"/>
          <cell r="H3385"/>
          <cell r="I3385"/>
          <cell r="J3385">
            <v>0</v>
          </cell>
        </row>
        <row r="3386">
          <cell r="B3386" t="str">
            <v>8.1.06.03.01</v>
          </cell>
          <cell r="C3386" t="str">
            <v>Beban Bantuan Sosial Uang yang Direncanakan kepada Kelompok Masyarakat</v>
          </cell>
          <cell r="D3386">
            <v>0</v>
          </cell>
          <cell r="E3386">
            <v>0</v>
          </cell>
          <cell r="F3386">
            <v>0</v>
          </cell>
          <cell r="G3386">
            <v>0</v>
          </cell>
          <cell r="H3386">
            <v>0</v>
          </cell>
          <cell r="I3386">
            <v>0</v>
          </cell>
          <cell r="J3386">
            <v>0</v>
          </cell>
        </row>
        <row r="3387">
          <cell r="B3387" t="str">
            <v>8.1.06.03.02</v>
          </cell>
          <cell r="C3387" t="str">
            <v>Beban Bantuan Sosial Barang kepada Kelompok Masyarakat</v>
          </cell>
          <cell r="D3387">
            <v>0</v>
          </cell>
          <cell r="E3387">
            <v>0</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F3388"/>
          <cell r="G3388"/>
          <cell r="H3388"/>
          <cell r="I3388"/>
          <cell r="J3388">
            <v>0</v>
          </cell>
        </row>
        <row r="3389">
          <cell r="B3389" t="str">
            <v>8.1.06.04.01</v>
          </cell>
          <cell r="C3389" t="str">
            <v>Beban Bantuan Sosial Uang yang Direncanakan kepada Lembaga Non Pemerintahan (Bidang Pendidikan, Keagamaan dan Bidang Lainnya)</v>
          </cell>
          <cell r="D3389">
            <v>0</v>
          </cell>
          <cell r="E3389">
            <v>0</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D3390">
            <v>0</v>
          </cell>
          <cell r="E3390">
            <v>0</v>
          </cell>
          <cell r="F3390">
            <v>0</v>
          </cell>
          <cell r="G3390">
            <v>0</v>
          </cell>
          <cell r="H3390">
            <v>0</v>
          </cell>
          <cell r="I3390">
            <v>0</v>
          </cell>
          <cell r="J3390">
            <v>0</v>
          </cell>
        </row>
        <row r="3391">
          <cell r="B3391"/>
          <cell r="C3391"/>
          <cell r="D3391"/>
          <cell r="E3391"/>
          <cell r="F3391"/>
          <cell r="G3391"/>
          <cell r="H3391"/>
          <cell r="I3391"/>
          <cell r="J3391"/>
        </row>
        <row r="3392">
          <cell r="B3392" t="str">
            <v>8.1.07</v>
          </cell>
          <cell r="C3392" t="str">
            <v>Beban Penyisihan Piutang</v>
          </cell>
          <cell r="D3392">
            <v>253937072.59</v>
          </cell>
          <cell r="E3392">
            <v>620867985.70000005</v>
          </cell>
          <cell r="F3392"/>
          <cell r="G3392"/>
          <cell r="H3392"/>
          <cell r="I3392"/>
          <cell r="J3392">
            <v>650128570.12999988</v>
          </cell>
        </row>
        <row r="3393">
          <cell r="B3393" t="str">
            <v>8.1.07.01</v>
          </cell>
          <cell r="C3393" t="str">
            <v>Beban Penyisihan Piutang Pajak Daerah</v>
          </cell>
          <cell r="D3393">
            <v>181847572.59</v>
          </cell>
          <cell r="E3393">
            <v>565509935.70000005</v>
          </cell>
          <cell r="F3393"/>
          <cell r="G3393"/>
          <cell r="H3393"/>
          <cell r="I3393"/>
          <cell r="J3393">
            <v>625759070.12999988</v>
          </cell>
        </row>
        <row r="3394">
          <cell r="B3394" t="str">
            <v>8.1.07.01.01</v>
          </cell>
          <cell r="C3394" t="str">
            <v>Beban Penyisihan Piutang Pajak Kendaraan Bermotor (PKB)</v>
          </cell>
          <cell r="D3394">
            <v>0</v>
          </cell>
          <cell r="E3394">
            <v>0</v>
          </cell>
          <cell r="F3394">
            <v>0</v>
          </cell>
          <cell r="G3394">
            <v>0</v>
          </cell>
          <cell r="H3394">
            <v>0</v>
          </cell>
          <cell r="I3394">
            <v>0</v>
          </cell>
          <cell r="J3394">
            <v>0</v>
          </cell>
        </row>
        <row r="3395">
          <cell r="B3395" t="str">
            <v>8.1.07.01.02</v>
          </cell>
          <cell r="C3395" t="str">
            <v>Beban Penyisihan Piutang Bea Balik Nama Kendaraan Bermotor</v>
          </cell>
          <cell r="D3395">
            <v>0</v>
          </cell>
          <cell r="E3395">
            <v>0</v>
          </cell>
          <cell r="F3395">
            <v>0</v>
          </cell>
          <cell r="G3395">
            <v>0</v>
          </cell>
          <cell r="H3395">
            <v>0</v>
          </cell>
          <cell r="I3395">
            <v>0</v>
          </cell>
          <cell r="J3395">
            <v>0</v>
          </cell>
        </row>
        <row r="3396">
          <cell r="B3396" t="str">
            <v>8.1.07.01.03</v>
          </cell>
          <cell r="C3396" t="str">
            <v>Beban Penyisihan Piutang Pajak Bahan Bakar Kendaraan Bermotor (PBBKB)</v>
          </cell>
          <cell r="D3396">
            <v>0</v>
          </cell>
          <cell r="E3396">
            <v>0</v>
          </cell>
          <cell r="F3396">
            <v>0</v>
          </cell>
          <cell r="G3396">
            <v>0</v>
          </cell>
          <cell r="H3396">
            <v>0</v>
          </cell>
          <cell r="I3396">
            <v>0</v>
          </cell>
          <cell r="J3396">
            <v>0</v>
          </cell>
        </row>
        <row r="3397">
          <cell r="B3397" t="str">
            <v>8.1.07.01.04</v>
          </cell>
          <cell r="C3397" t="str">
            <v>Beban Penyisihan Piutang Pajak Air Permukaan</v>
          </cell>
          <cell r="D3397">
            <v>0</v>
          </cell>
          <cell r="E3397">
            <v>0</v>
          </cell>
          <cell r="F3397">
            <v>0</v>
          </cell>
          <cell r="G3397">
            <v>0</v>
          </cell>
          <cell r="H3397">
            <v>0</v>
          </cell>
          <cell r="I3397">
            <v>0</v>
          </cell>
          <cell r="J3397">
            <v>0</v>
          </cell>
        </row>
        <row r="3398">
          <cell r="B3398" t="str">
            <v>8.1.07.01.05</v>
          </cell>
          <cell r="C3398" t="str">
            <v>Beban Penyisihan Piutang Pajak Rokok</v>
          </cell>
          <cell r="D3398">
            <v>0</v>
          </cell>
          <cell r="E3398">
            <v>0</v>
          </cell>
          <cell r="F3398">
            <v>0</v>
          </cell>
          <cell r="G3398">
            <v>0</v>
          </cell>
          <cell r="H3398">
            <v>0</v>
          </cell>
          <cell r="I3398">
            <v>0</v>
          </cell>
          <cell r="J3398">
            <v>0</v>
          </cell>
        </row>
        <row r="3399">
          <cell r="B3399" t="str">
            <v>8.1.07.01.06</v>
          </cell>
          <cell r="C3399" t="str">
            <v>Beban Penyisihan Piutang Pajak Hotel</v>
          </cell>
          <cell r="D3399">
            <v>0</v>
          </cell>
          <cell r="E3399">
            <v>0</v>
          </cell>
          <cell r="F3399">
            <v>0</v>
          </cell>
          <cell r="G3399">
            <v>0</v>
          </cell>
          <cell r="H3399">
            <v>0</v>
          </cell>
          <cell r="I3399">
            <v>0</v>
          </cell>
          <cell r="J3399">
            <v>0</v>
          </cell>
        </row>
        <row r="3400">
          <cell r="B3400" t="str">
            <v>8.1.07.01.07</v>
          </cell>
          <cell r="C3400" t="str">
            <v>Beban Penyisihan Pajak Restoran</v>
          </cell>
          <cell r="D3400">
            <v>121183.82</v>
          </cell>
          <cell r="E3400">
            <v>3816761.5</v>
          </cell>
          <cell r="F3400">
            <v>0</v>
          </cell>
          <cell r="G3400">
            <v>0</v>
          </cell>
          <cell r="H3400">
            <v>0</v>
          </cell>
          <cell r="I3400">
            <v>0</v>
          </cell>
          <cell r="J3400">
            <v>3816761.5</v>
          </cell>
        </row>
        <row r="3401">
          <cell r="B3401" t="str">
            <v>8.1.07.01.08</v>
          </cell>
          <cell r="C3401" t="str">
            <v>Beban Penyisihan Pajak Hiburan</v>
          </cell>
          <cell r="D3401">
            <v>0</v>
          </cell>
          <cell r="E3401">
            <v>0</v>
          </cell>
          <cell r="F3401">
            <v>0</v>
          </cell>
          <cell r="G3401">
            <v>0</v>
          </cell>
          <cell r="H3401">
            <v>0</v>
          </cell>
          <cell r="I3401">
            <v>0</v>
          </cell>
          <cell r="J3401">
            <v>0</v>
          </cell>
        </row>
        <row r="3402">
          <cell r="B3402" t="str">
            <v>8.1.07.01.09</v>
          </cell>
          <cell r="C3402" t="str">
            <v>Beban Penyisihan Pajak Reklame</v>
          </cell>
          <cell r="D3402">
            <v>0</v>
          </cell>
          <cell r="E3402">
            <v>0</v>
          </cell>
          <cell r="F3402">
            <v>0</v>
          </cell>
          <cell r="G3402">
            <v>0</v>
          </cell>
          <cell r="H3402">
            <v>0</v>
          </cell>
          <cell r="I3402">
            <v>0</v>
          </cell>
          <cell r="J3402">
            <v>0</v>
          </cell>
        </row>
        <row r="3403">
          <cell r="B3403" t="str">
            <v>8.1.07.01.10</v>
          </cell>
          <cell r="C3403" t="str">
            <v>Beban Penyisihan Pajak Penerangan Jalan</v>
          </cell>
          <cell r="D3403">
            <v>0</v>
          </cell>
          <cell r="E3403">
            <v>0</v>
          </cell>
          <cell r="F3403">
            <v>0</v>
          </cell>
          <cell r="G3403">
            <v>0</v>
          </cell>
          <cell r="H3403">
            <v>0</v>
          </cell>
          <cell r="I3403">
            <v>0</v>
          </cell>
          <cell r="J3403">
            <v>0</v>
          </cell>
        </row>
        <row r="3404">
          <cell r="B3404" t="str">
            <v>8.1.07.01.11</v>
          </cell>
          <cell r="C3404" t="str">
            <v>Beban Penyisihan Piutang Pajak Parkir</v>
          </cell>
          <cell r="D3404">
            <v>0</v>
          </cell>
          <cell r="E3404">
            <v>0</v>
          </cell>
          <cell r="F3404">
            <v>0</v>
          </cell>
          <cell r="G3404">
            <v>0</v>
          </cell>
          <cell r="H3404">
            <v>0</v>
          </cell>
          <cell r="I3404">
            <v>0</v>
          </cell>
          <cell r="J3404">
            <v>0</v>
          </cell>
        </row>
        <row r="3405">
          <cell r="B3405" t="str">
            <v>8.1.07.01.12</v>
          </cell>
          <cell r="C3405" t="str">
            <v>Beban Penyisihan Piutang Pajak Air Tanah</v>
          </cell>
          <cell r="D3405">
            <v>0</v>
          </cell>
          <cell r="E3405">
            <v>0</v>
          </cell>
          <cell r="F3405">
            <v>0</v>
          </cell>
          <cell r="G3405">
            <v>0</v>
          </cell>
          <cell r="H3405">
            <v>0</v>
          </cell>
          <cell r="I3405">
            <v>0</v>
          </cell>
          <cell r="J3405">
            <v>0</v>
          </cell>
        </row>
        <row r="3406">
          <cell r="B3406" t="str">
            <v>8.1.07.01.13</v>
          </cell>
          <cell r="C3406" t="str">
            <v>Beban Penyisihan Piutang Pajak Sarang Burung Walet</v>
          </cell>
          <cell r="D3406">
            <v>0</v>
          </cell>
          <cell r="E3406">
            <v>0</v>
          </cell>
          <cell r="F3406">
            <v>0</v>
          </cell>
          <cell r="G3406">
            <v>0</v>
          </cell>
          <cell r="H3406">
            <v>0</v>
          </cell>
          <cell r="I3406">
            <v>0</v>
          </cell>
          <cell r="J3406">
            <v>0</v>
          </cell>
        </row>
        <row r="3407">
          <cell r="B3407" t="str">
            <v>8.1.07.01.14</v>
          </cell>
          <cell r="C3407" t="str">
            <v>Beban Penyisihan Piutang Pajak Mineral Bukan Logam dan Batuan</v>
          </cell>
          <cell r="D3407">
            <v>0</v>
          </cell>
          <cell r="E3407">
            <v>0</v>
          </cell>
          <cell r="F3407">
            <v>0</v>
          </cell>
          <cell r="G3407">
            <v>0</v>
          </cell>
          <cell r="H3407">
            <v>0</v>
          </cell>
          <cell r="I3407">
            <v>0</v>
          </cell>
          <cell r="J3407">
            <v>0</v>
          </cell>
        </row>
        <row r="3408">
          <cell r="B3408" t="str">
            <v>8.1.07.01.15</v>
          </cell>
          <cell r="C3408" t="str">
            <v>Beban Penyisihan Piutang Pajak Bumi dan Bangunan Pedesaan dan Perkotaan (PBBP2)</v>
          </cell>
          <cell r="D3408">
            <v>181726388.77000001</v>
          </cell>
          <cell r="E3408">
            <v>561693174.20000005</v>
          </cell>
          <cell r="F3408">
            <v>60249134.429999828</v>
          </cell>
          <cell r="G3408">
            <v>0</v>
          </cell>
          <cell r="H3408">
            <v>0</v>
          </cell>
          <cell r="I3408">
            <v>0</v>
          </cell>
          <cell r="J3408">
            <v>621942308.62999988</v>
          </cell>
        </row>
        <row r="3409">
          <cell r="B3409" t="str">
            <v>8.1.07.01.16</v>
          </cell>
          <cell r="C3409" t="str">
            <v>Beban Penyisihan Piutang Bea Perolehan Hak Atas Tanah dan Bangunan (BPHTB)</v>
          </cell>
          <cell r="D3409">
            <v>0</v>
          </cell>
          <cell r="E3409">
            <v>0</v>
          </cell>
          <cell r="F3409">
            <v>0</v>
          </cell>
          <cell r="G3409">
            <v>0</v>
          </cell>
          <cell r="H3409">
            <v>0</v>
          </cell>
          <cell r="I3409">
            <v>0</v>
          </cell>
          <cell r="J3409">
            <v>0</v>
          </cell>
        </row>
        <row r="3410">
          <cell r="B3410" t="str">
            <v>8.1.07.01.17</v>
          </cell>
          <cell r="C3410" t="str">
            <v>Beban Penyisihan Piutang Pajak Alat Berat</v>
          </cell>
          <cell r="D3410">
            <v>0</v>
          </cell>
          <cell r="E3410">
            <v>0</v>
          </cell>
          <cell r="F3410">
            <v>0</v>
          </cell>
          <cell r="G3410">
            <v>0</v>
          </cell>
          <cell r="H3410">
            <v>0</v>
          </cell>
          <cell r="I3410">
            <v>0</v>
          </cell>
          <cell r="J3410">
            <v>0</v>
          </cell>
        </row>
        <row r="3411">
          <cell r="B3411" t="str">
            <v>8.1.07.01.18</v>
          </cell>
          <cell r="C3411" t="str">
            <v>Beban Penyisihan Piutang Opsen Pajak Mineral Bukan Logam dan Batuan (MBLB)</v>
          </cell>
          <cell r="D3411">
            <v>0</v>
          </cell>
          <cell r="E3411">
            <v>0</v>
          </cell>
          <cell r="F3411">
            <v>0</v>
          </cell>
          <cell r="G3411">
            <v>0</v>
          </cell>
          <cell r="H3411">
            <v>0</v>
          </cell>
          <cell r="I3411">
            <v>0</v>
          </cell>
          <cell r="J3411">
            <v>0</v>
          </cell>
        </row>
        <row r="3412">
          <cell r="B3412" t="str">
            <v>8.1.07.01.19</v>
          </cell>
          <cell r="C3412" t="str">
            <v>Beban Penyisihan Piutang Pajak Barang dan Jasa Tertentu (PBJT)</v>
          </cell>
          <cell r="D3412">
            <v>0</v>
          </cell>
          <cell r="E3412">
            <v>0</v>
          </cell>
          <cell r="F3412">
            <v>0</v>
          </cell>
          <cell r="G3412">
            <v>0</v>
          </cell>
          <cell r="H3412">
            <v>0</v>
          </cell>
          <cell r="I3412">
            <v>0</v>
          </cell>
          <cell r="J3412">
            <v>0</v>
          </cell>
        </row>
        <row r="3413">
          <cell r="B3413" t="str">
            <v>8.1.07.01.20</v>
          </cell>
          <cell r="C3413" t="str">
            <v>Beban Penyisihan Piutang Opsen Pajak Kendaraan Bermotor (PKB)</v>
          </cell>
          <cell r="D3413">
            <v>0</v>
          </cell>
          <cell r="E3413">
            <v>0</v>
          </cell>
          <cell r="F3413">
            <v>0</v>
          </cell>
          <cell r="G3413">
            <v>0</v>
          </cell>
          <cell r="H3413">
            <v>0</v>
          </cell>
          <cell r="I3413">
            <v>0</v>
          </cell>
          <cell r="J3413">
            <v>0</v>
          </cell>
        </row>
        <row r="3414">
          <cell r="B3414" t="str">
            <v>8.1.07.01.21</v>
          </cell>
          <cell r="C3414" t="str">
            <v>Beban Penyisihan Piutang Opsen Bea Balik Nama Kendaraan Bermotor (BBNKB)</v>
          </cell>
          <cell r="D3414">
            <v>0</v>
          </cell>
          <cell r="E3414">
            <v>0</v>
          </cell>
          <cell r="F3414">
            <v>0</v>
          </cell>
          <cell r="G3414">
            <v>0</v>
          </cell>
          <cell r="H3414">
            <v>0</v>
          </cell>
          <cell r="I3414">
            <v>0</v>
          </cell>
          <cell r="J3414">
            <v>0</v>
          </cell>
        </row>
        <row r="3415">
          <cell r="B3415" t="str">
            <v>8.1.07.02</v>
          </cell>
          <cell r="C3415" t="str">
            <v>Beban Penyisihan Piutang Retribusi Daerah</v>
          </cell>
          <cell r="D3415">
            <v>72089500</v>
          </cell>
          <cell r="E3415">
            <v>55358050</v>
          </cell>
          <cell r="F3415"/>
          <cell r="G3415"/>
          <cell r="H3415"/>
          <cell r="I3415"/>
          <cell r="J3415">
            <v>24369500</v>
          </cell>
        </row>
        <row r="3416">
          <cell r="B3416" t="str">
            <v>8.1.07.02.01</v>
          </cell>
          <cell r="C3416" t="str">
            <v>Beban Penyisihan Piutang Retribusi Jasa Umum</v>
          </cell>
          <cell r="D3416">
            <v>0</v>
          </cell>
          <cell r="E3416">
            <v>0</v>
          </cell>
          <cell r="F3416">
            <v>0</v>
          </cell>
          <cell r="G3416">
            <v>0</v>
          </cell>
          <cell r="H3416">
            <v>0</v>
          </cell>
          <cell r="I3416">
            <v>0</v>
          </cell>
          <cell r="J3416">
            <v>0</v>
          </cell>
        </row>
        <row r="3417">
          <cell r="B3417" t="str">
            <v>8.1.07.02.02</v>
          </cell>
          <cell r="C3417" t="str">
            <v>Beban Penyisihan Piutang Retribusi Jasa Usaha</v>
          </cell>
          <cell r="D3417">
            <v>72089500</v>
          </cell>
          <cell r="E3417">
            <v>55358050</v>
          </cell>
          <cell r="F3417">
            <v>0</v>
          </cell>
          <cell r="G3417">
            <v>30988550</v>
          </cell>
          <cell r="H3417">
            <v>0</v>
          </cell>
          <cell r="I3417">
            <v>0</v>
          </cell>
          <cell r="J3417">
            <v>24369500</v>
          </cell>
        </row>
        <row r="3418">
          <cell r="B3418" t="str">
            <v>8.1.07.02.03</v>
          </cell>
          <cell r="C3418" t="str">
            <v>Beban Penyisihan Piutang Retribusi Perizinan Tertentu</v>
          </cell>
          <cell r="D3418">
            <v>0</v>
          </cell>
          <cell r="E3418">
            <v>0</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F3419"/>
          <cell r="G3419"/>
          <cell r="H3419"/>
          <cell r="I3419"/>
          <cell r="J3419">
            <v>0</v>
          </cell>
        </row>
        <row r="3420">
          <cell r="B3420" t="str">
            <v>8.1.07.03.01</v>
          </cell>
          <cell r="C3420" t="str">
            <v>Beban Penyisihan Piutang Bagian Laba yang Dibagikan kepada Pemerintah Daerah (Dividen) atas Penyertaan Modal pada BUMN</v>
          </cell>
          <cell r="D3420">
            <v>0</v>
          </cell>
          <cell r="E3420">
            <v>0</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D3421">
            <v>0</v>
          </cell>
          <cell r="E3421">
            <v>0</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D3422">
            <v>0</v>
          </cell>
          <cell r="E3422">
            <v>0</v>
          </cell>
          <cell r="F3422">
            <v>0</v>
          </cell>
          <cell r="G3422">
            <v>0</v>
          </cell>
          <cell r="H3422">
            <v>0</v>
          </cell>
          <cell r="I3422">
            <v>0</v>
          </cell>
          <cell r="J3422">
            <v>0</v>
          </cell>
        </row>
        <row r="3423">
          <cell r="B3423" t="str">
            <v>8.1.07.04</v>
          </cell>
          <cell r="C3423" t="str">
            <v>Beban Penyisihan Piutang Lain-Lain PAD yang Sah</v>
          </cell>
          <cell r="D3423">
            <v>0</v>
          </cell>
          <cell r="E3423">
            <v>0</v>
          </cell>
          <cell r="F3423"/>
          <cell r="G3423"/>
          <cell r="H3423"/>
          <cell r="I3423"/>
          <cell r="J3423">
            <v>0</v>
          </cell>
        </row>
        <row r="3424">
          <cell r="B3424" t="str">
            <v>8.1.07.04.01</v>
          </cell>
          <cell r="C3424" t="str">
            <v>Beban Penyisihan Piutang Hasil Penjualan BMD yang Tidak Dipisahkan,</v>
          </cell>
          <cell r="D3424">
            <v>0</v>
          </cell>
          <cell r="E3424">
            <v>0</v>
          </cell>
          <cell r="F3424">
            <v>0</v>
          </cell>
          <cell r="G3424">
            <v>0</v>
          </cell>
          <cell r="H3424">
            <v>0</v>
          </cell>
          <cell r="I3424">
            <v>0</v>
          </cell>
          <cell r="J3424">
            <v>0</v>
          </cell>
        </row>
        <row r="3425">
          <cell r="B3425" t="str">
            <v>8.1.07.04.02</v>
          </cell>
          <cell r="C3425" t="str">
            <v>Beban Penyisihan Piutang Hasil Selisih Lebih Tukar Menukar BMD yang Tidak Dipisahkan</v>
          </cell>
          <cell r="D3425">
            <v>0</v>
          </cell>
          <cell r="E3425">
            <v>0</v>
          </cell>
          <cell r="F3425">
            <v>0</v>
          </cell>
          <cell r="G3425">
            <v>0</v>
          </cell>
          <cell r="H3425">
            <v>0</v>
          </cell>
          <cell r="I3425">
            <v>0</v>
          </cell>
          <cell r="J3425">
            <v>0</v>
          </cell>
        </row>
        <row r="3426">
          <cell r="B3426" t="str">
            <v>8.1.07.04.03</v>
          </cell>
          <cell r="C3426" t="str">
            <v>Beban Penyisihan Piutang Hasil Pemanfaatan BMD yang Tidak Dipisahkan</v>
          </cell>
          <cell r="D3426">
            <v>0</v>
          </cell>
          <cell r="E3426">
            <v>0</v>
          </cell>
          <cell r="F3426">
            <v>0</v>
          </cell>
          <cell r="G3426">
            <v>0</v>
          </cell>
          <cell r="H3426">
            <v>0</v>
          </cell>
          <cell r="I3426">
            <v>0</v>
          </cell>
          <cell r="J3426">
            <v>0</v>
          </cell>
        </row>
        <row r="3427">
          <cell r="B3427" t="str">
            <v>8.1.07.04.04</v>
          </cell>
          <cell r="C3427" t="str">
            <v>Beban Penyisihan Piutang Hasil Kerja Sama Daerah</v>
          </cell>
          <cell r="D3427">
            <v>0</v>
          </cell>
          <cell r="E3427">
            <v>0</v>
          </cell>
          <cell r="F3427">
            <v>0</v>
          </cell>
          <cell r="G3427">
            <v>0</v>
          </cell>
          <cell r="H3427">
            <v>0</v>
          </cell>
          <cell r="I3427">
            <v>0</v>
          </cell>
          <cell r="J3427">
            <v>0</v>
          </cell>
        </row>
        <row r="3428">
          <cell r="B3428" t="str">
            <v>8.1.07.04.05</v>
          </cell>
          <cell r="C3428" t="str">
            <v>Beban Penyisihan Piutang Jasa Giro</v>
          </cell>
          <cell r="D3428">
            <v>0</v>
          </cell>
          <cell r="E3428">
            <v>0</v>
          </cell>
          <cell r="F3428">
            <v>0</v>
          </cell>
          <cell r="G3428">
            <v>0</v>
          </cell>
          <cell r="H3428">
            <v>0</v>
          </cell>
          <cell r="I3428">
            <v>0</v>
          </cell>
          <cell r="J3428">
            <v>0</v>
          </cell>
        </row>
        <row r="3429">
          <cell r="B3429" t="str">
            <v>8.1.07.04.06</v>
          </cell>
          <cell r="C3429" t="str">
            <v>Beban Penyisihan Piutang Hasil Pengelolaan Dana Bergulir</v>
          </cell>
          <cell r="D3429">
            <v>0</v>
          </cell>
          <cell r="E3429">
            <v>0</v>
          </cell>
          <cell r="F3429">
            <v>0</v>
          </cell>
          <cell r="G3429">
            <v>0</v>
          </cell>
          <cell r="H3429">
            <v>0</v>
          </cell>
          <cell r="I3429">
            <v>0</v>
          </cell>
          <cell r="J3429">
            <v>0</v>
          </cell>
        </row>
        <row r="3430">
          <cell r="B3430" t="str">
            <v>8.1.07.04.07</v>
          </cell>
          <cell r="C3430" t="str">
            <v>Beban Penyisihan Piutang Pendapatan Bunga</v>
          </cell>
          <cell r="D3430">
            <v>0</v>
          </cell>
          <cell r="E3430">
            <v>0</v>
          </cell>
          <cell r="F3430">
            <v>0</v>
          </cell>
          <cell r="G3430">
            <v>0</v>
          </cell>
          <cell r="H3430">
            <v>0</v>
          </cell>
          <cell r="I3430">
            <v>0</v>
          </cell>
          <cell r="J3430">
            <v>0</v>
          </cell>
        </row>
        <row r="3431">
          <cell r="B3431" t="str">
            <v>8.1.07.04.08</v>
          </cell>
          <cell r="C3431" t="str">
            <v>Beban Penyisihan Piutang Penerimaan atas Tuntutan Ganti Kerugian Keuangan Daerah</v>
          </cell>
          <cell r="D3431">
            <v>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D3432">
            <v>0</v>
          </cell>
          <cell r="E3432">
            <v>0</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D3433">
            <v>0</v>
          </cell>
          <cell r="E3433">
            <v>0</v>
          </cell>
          <cell r="F3433">
            <v>0</v>
          </cell>
          <cell r="G3433">
            <v>0</v>
          </cell>
          <cell r="H3433">
            <v>0</v>
          </cell>
          <cell r="I3433">
            <v>0</v>
          </cell>
          <cell r="J3433">
            <v>0</v>
          </cell>
        </row>
        <row r="3434">
          <cell r="B3434" t="str">
            <v>8.1.07.04.11</v>
          </cell>
          <cell r="C3434" t="str">
            <v>Beban Penyisihan Piutang Pendapatan Denda atas Keterlambatan Pelaksanaan Pekerjaan</v>
          </cell>
          <cell r="D3434">
            <v>0</v>
          </cell>
          <cell r="E3434">
            <v>0</v>
          </cell>
          <cell r="F3434">
            <v>0</v>
          </cell>
          <cell r="G3434">
            <v>0</v>
          </cell>
          <cell r="H3434">
            <v>0</v>
          </cell>
          <cell r="I3434">
            <v>0</v>
          </cell>
          <cell r="J3434">
            <v>0</v>
          </cell>
        </row>
        <row r="3435">
          <cell r="B3435" t="str">
            <v>8.1.07.04.12</v>
          </cell>
          <cell r="C3435" t="str">
            <v>Beban Penyisihan Piutang Pendapatan Denda Pajak Daerah</v>
          </cell>
          <cell r="D3435">
            <v>0</v>
          </cell>
          <cell r="E3435">
            <v>0</v>
          </cell>
          <cell r="F3435">
            <v>0</v>
          </cell>
          <cell r="G3435">
            <v>0</v>
          </cell>
          <cell r="H3435">
            <v>0</v>
          </cell>
          <cell r="I3435">
            <v>0</v>
          </cell>
          <cell r="J3435">
            <v>0</v>
          </cell>
        </row>
        <row r="3436">
          <cell r="B3436" t="str">
            <v>8.1.07.04.13</v>
          </cell>
          <cell r="C3436" t="str">
            <v>Beban Penyisihan Piutang Pendapatan Denda Retribusi Daerah</v>
          </cell>
          <cell r="D3436">
            <v>0</v>
          </cell>
          <cell r="E3436">
            <v>0</v>
          </cell>
          <cell r="F3436">
            <v>0</v>
          </cell>
          <cell r="G3436">
            <v>0</v>
          </cell>
          <cell r="H3436">
            <v>0</v>
          </cell>
          <cell r="I3436">
            <v>0</v>
          </cell>
          <cell r="J3436">
            <v>0</v>
          </cell>
        </row>
        <row r="3437">
          <cell r="B3437" t="str">
            <v>8.1.07.04.14</v>
          </cell>
          <cell r="C3437" t="str">
            <v>Beban Penyisihan Piutang Pendapatan Hasil Eksekusi atas Jaminan</v>
          </cell>
          <cell r="D3437">
            <v>0</v>
          </cell>
          <cell r="E3437">
            <v>0</v>
          </cell>
          <cell r="F3437">
            <v>0</v>
          </cell>
          <cell r="G3437">
            <v>0</v>
          </cell>
          <cell r="H3437">
            <v>0</v>
          </cell>
          <cell r="I3437">
            <v>0</v>
          </cell>
          <cell r="J3437">
            <v>0</v>
          </cell>
        </row>
        <row r="3438">
          <cell r="B3438" t="str">
            <v>8.1.07.04.15</v>
          </cell>
          <cell r="C3438" t="str">
            <v>Beban Penyisihan Piutang Pendapatan dari Pengembalian</v>
          </cell>
          <cell r="D3438">
            <v>0</v>
          </cell>
          <cell r="E3438">
            <v>0</v>
          </cell>
          <cell r="F3438">
            <v>0</v>
          </cell>
          <cell r="G3438">
            <v>0</v>
          </cell>
          <cell r="H3438">
            <v>0</v>
          </cell>
          <cell r="I3438">
            <v>0</v>
          </cell>
          <cell r="J3438">
            <v>0</v>
          </cell>
        </row>
        <row r="3439">
          <cell r="B3439" t="str">
            <v>8.1.07.04.16</v>
          </cell>
          <cell r="C3439" t="str">
            <v>Beban Penyisihan Piutang Pendapatan BLUD</v>
          </cell>
          <cell r="D3439">
            <v>0</v>
          </cell>
          <cell r="E3439">
            <v>0</v>
          </cell>
          <cell r="F3439">
            <v>0</v>
          </cell>
          <cell r="G3439">
            <v>0</v>
          </cell>
          <cell r="H3439">
            <v>0</v>
          </cell>
          <cell r="I3439">
            <v>0</v>
          </cell>
          <cell r="J3439">
            <v>0</v>
          </cell>
        </row>
        <row r="3440">
          <cell r="B3440" t="str">
            <v>8.1.07.04.17</v>
          </cell>
          <cell r="C3440" t="str">
            <v>Beban Penyisihan Piutang Pendapatan Denda Pemanfaatan BMD yang Tidak Dipisahkan</v>
          </cell>
          <cell r="D3440">
            <v>0</v>
          </cell>
          <cell r="E3440">
            <v>0</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D3441">
            <v>0</v>
          </cell>
          <cell r="E3441">
            <v>0</v>
          </cell>
          <cell r="F3441">
            <v>0</v>
          </cell>
          <cell r="G3441">
            <v>0</v>
          </cell>
          <cell r="H3441">
            <v>0</v>
          </cell>
          <cell r="I3441">
            <v>0</v>
          </cell>
          <cell r="J3441">
            <v>0</v>
          </cell>
        </row>
        <row r="3442">
          <cell r="B3442" t="str">
            <v>8.1.07.04.19</v>
          </cell>
          <cell r="C3442" t="str">
            <v>Beban Penyisihan Piutang Pendapatan Hasil Pengelolaan Dana Bergulir</v>
          </cell>
          <cell r="D3442">
            <v>0</v>
          </cell>
          <cell r="E3442">
            <v>0</v>
          </cell>
          <cell r="F3442">
            <v>0</v>
          </cell>
          <cell r="G3442">
            <v>0</v>
          </cell>
          <cell r="H3442">
            <v>0</v>
          </cell>
          <cell r="I3442">
            <v>0</v>
          </cell>
          <cell r="J3442">
            <v>0</v>
          </cell>
        </row>
        <row r="3443">
          <cell r="B3443" t="str">
            <v>8.1.07.04.20</v>
          </cell>
          <cell r="C3443" t="str">
            <v>Beban Penyisihan Piutang Pendapatan Berdasarkan Putusan Pengadilan (Inkracht)</v>
          </cell>
          <cell r="D3443">
            <v>0</v>
          </cell>
          <cell r="E3443">
            <v>0</v>
          </cell>
          <cell r="F3443">
            <v>0</v>
          </cell>
          <cell r="G3443">
            <v>0</v>
          </cell>
          <cell r="H3443">
            <v>0</v>
          </cell>
          <cell r="I3443">
            <v>0</v>
          </cell>
          <cell r="J3443">
            <v>0</v>
          </cell>
        </row>
        <row r="3444">
          <cell r="B3444" t="str">
            <v>8.1.07.04.21</v>
          </cell>
          <cell r="C3444" t="str">
            <v>Beban Penyisihan Piutang Pendapatan Denda atas Pelanggaran Peraturan Daerah</v>
          </cell>
          <cell r="D3444">
            <v>0</v>
          </cell>
          <cell r="E3444">
            <v>0</v>
          </cell>
          <cell r="F3444">
            <v>0</v>
          </cell>
          <cell r="G3444">
            <v>0</v>
          </cell>
          <cell r="H3444">
            <v>0</v>
          </cell>
          <cell r="I3444">
            <v>0</v>
          </cell>
          <cell r="J3444">
            <v>0</v>
          </cell>
        </row>
        <row r="3445">
          <cell r="B3445" t="str">
            <v>8.1.07.04.22</v>
          </cell>
          <cell r="C3445" t="str">
            <v>Beban Penyisihan Piutang Pendapatan Zakat, Infaq, Shadaqah, dan Wakaf</v>
          </cell>
          <cell r="D3445">
            <v>0</v>
          </cell>
          <cell r="E3445">
            <v>0</v>
          </cell>
          <cell r="F3445">
            <v>0</v>
          </cell>
          <cell r="G3445">
            <v>0</v>
          </cell>
          <cell r="H3445">
            <v>0</v>
          </cell>
          <cell r="I3445">
            <v>0</v>
          </cell>
          <cell r="J3445">
            <v>0</v>
          </cell>
        </row>
        <row r="3446">
          <cell r="B3446" t="str">
            <v>8.1.07.04.23</v>
          </cell>
          <cell r="C3446" t="str">
            <v>Beban Penyisihan Piutang Pendapatan Hasil Pelaksanaan Perjanjian/Kontrak</v>
          </cell>
          <cell r="D3446">
            <v>0</v>
          </cell>
          <cell r="E3446">
            <v>0</v>
          </cell>
          <cell r="F3446">
            <v>0</v>
          </cell>
          <cell r="G3446">
            <v>0</v>
          </cell>
          <cell r="H3446">
            <v>0</v>
          </cell>
          <cell r="I3446">
            <v>0</v>
          </cell>
          <cell r="J3446">
            <v>0</v>
          </cell>
        </row>
        <row r="3447">
          <cell r="B3447" t="str">
            <v>8.1.07.04.24</v>
          </cell>
          <cell r="C3447" t="str">
            <v>Beban Penyisihan Piutang Pungutan bagi Wisatawan Asing</v>
          </cell>
          <cell r="D3447">
            <v>0</v>
          </cell>
          <cell r="E3447">
            <v>0</v>
          </cell>
          <cell r="F3447">
            <v>0</v>
          </cell>
          <cell r="G3447">
            <v>0</v>
          </cell>
          <cell r="H3447">
            <v>0</v>
          </cell>
          <cell r="I3447">
            <v>0</v>
          </cell>
          <cell r="J3447">
            <v>0</v>
          </cell>
        </row>
        <row r="3448">
          <cell r="B3448" t="str">
            <v>8.1.07.04.25</v>
          </cell>
          <cell r="C3448" t="str">
            <v>Beban Penyisihan Piutang Hasil Pengelolaan Dana Abadi Daerah</v>
          </cell>
          <cell r="D3448">
            <v>0</v>
          </cell>
          <cell r="E3448">
            <v>0</v>
          </cell>
          <cell r="F3448">
            <v>0</v>
          </cell>
          <cell r="G3448">
            <v>0</v>
          </cell>
          <cell r="H3448">
            <v>0</v>
          </cell>
          <cell r="I3448">
            <v>0</v>
          </cell>
          <cell r="J3448">
            <v>0</v>
          </cell>
        </row>
        <row r="3449">
          <cell r="B3449" t="str">
            <v>8.1.07.04.26</v>
          </cell>
          <cell r="C3449" t="str">
            <v>Beban Penyisihan Piutang Hasil Pengelolaan Dana Cadangan</v>
          </cell>
          <cell r="D3449">
            <v>0</v>
          </cell>
          <cell r="E3449">
            <v>0</v>
          </cell>
          <cell r="F3449">
            <v>0</v>
          </cell>
          <cell r="G3449">
            <v>0</v>
          </cell>
          <cell r="H3449">
            <v>0</v>
          </cell>
          <cell r="I3449">
            <v>0</v>
          </cell>
          <cell r="J3449">
            <v>0</v>
          </cell>
        </row>
        <row r="3450">
          <cell r="B3450" t="str">
            <v>8.1.07.04.27</v>
          </cell>
          <cell r="C3450" t="str">
            <v>Beban Penyisihan Piutang Pendapatan atas Sanksi Administrasi Pajak Daerah</v>
          </cell>
          <cell r="D3450">
            <v>0</v>
          </cell>
          <cell r="E3450">
            <v>0</v>
          </cell>
          <cell r="F3450">
            <v>0</v>
          </cell>
          <cell r="G3450">
            <v>0</v>
          </cell>
          <cell r="H3450">
            <v>0</v>
          </cell>
          <cell r="I3450">
            <v>0</v>
          </cell>
          <cell r="J3450">
            <v>0</v>
          </cell>
        </row>
        <row r="3451">
          <cell r="B3451" t="str">
            <v>8.1.07.04.28</v>
          </cell>
          <cell r="C3451" t="str">
            <v>Beban Penyisihan Piutang Pendapatan atas Sanksi Administrasi Retribusi Daerah</v>
          </cell>
          <cell r="D3451">
            <v>0</v>
          </cell>
          <cell r="E3451">
            <v>0</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F3452"/>
          <cell r="G3452"/>
          <cell r="H3452"/>
          <cell r="I3452"/>
          <cell r="J3452">
            <v>0</v>
          </cell>
        </row>
        <row r="3453">
          <cell r="B3453" t="str">
            <v>8.1.07.05.01</v>
          </cell>
          <cell r="C3453" t="str">
            <v>Beban Penyisihan Piutang Dana Perimbangan</v>
          </cell>
          <cell r="D3453">
            <v>0</v>
          </cell>
          <cell r="E3453">
            <v>0</v>
          </cell>
          <cell r="F3453">
            <v>0</v>
          </cell>
          <cell r="G3453">
            <v>0</v>
          </cell>
          <cell r="H3453">
            <v>0</v>
          </cell>
          <cell r="I3453">
            <v>0</v>
          </cell>
          <cell r="J3453">
            <v>0</v>
          </cell>
        </row>
        <row r="3454">
          <cell r="B3454" t="str">
            <v>8.1.07.05.02</v>
          </cell>
          <cell r="C3454" t="str">
            <v>Beban Penyisihan Piutang Dana Insentif Daerah</v>
          </cell>
          <cell r="D3454">
            <v>0</v>
          </cell>
          <cell r="E3454">
            <v>0</v>
          </cell>
          <cell r="F3454">
            <v>0</v>
          </cell>
          <cell r="G3454">
            <v>0</v>
          </cell>
          <cell r="H3454">
            <v>0</v>
          </cell>
          <cell r="I3454">
            <v>0</v>
          </cell>
          <cell r="J3454">
            <v>0</v>
          </cell>
        </row>
        <row r="3455">
          <cell r="B3455" t="str">
            <v>8.1.07.05.03</v>
          </cell>
          <cell r="C3455" t="str">
            <v>Beban Penyisihan Piutang Dana Otonomi Khusus dan Dana Tambahan Infrastruktur</v>
          </cell>
          <cell r="D3455">
            <v>0</v>
          </cell>
          <cell r="E3455">
            <v>0</v>
          </cell>
          <cell r="F3455">
            <v>0</v>
          </cell>
          <cell r="G3455">
            <v>0</v>
          </cell>
          <cell r="H3455">
            <v>0</v>
          </cell>
          <cell r="I3455">
            <v>0</v>
          </cell>
          <cell r="J3455">
            <v>0</v>
          </cell>
        </row>
        <row r="3456">
          <cell r="B3456" t="str">
            <v>8.1.07.05.04</v>
          </cell>
          <cell r="C3456" t="str">
            <v>Beban Penyisihan Piutang Dana Keistimewaan</v>
          </cell>
          <cell r="D3456">
            <v>0</v>
          </cell>
          <cell r="E3456">
            <v>0</v>
          </cell>
          <cell r="F3456">
            <v>0</v>
          </cell>
          <cell r="G3456">
            <v>0</v>
          </cell>
          <cell r="H3456">
            <v>0</v>
          </cell>
          <cell r="I3456">
            <v>0</v>
          </cell>
          <cell r="J3456">
            <v>0</v>
          </cell>
        </row>
        <row r="3457">
          <cell r="B3457" t="str">
            <v>8.1.07.05.05</v>
          </cell>
          <cell r="C3457" t="str">
            <v>Beban Penyisihan Piutang Dana Desa</v>
          </cell>
          <cell r="D3457">
            <v>0</v>
          </cell>
          <cell r="E3457">
            <v>0</v>
          </cell>
          <cell r="F3457">
            <v>0</v>
          </cell>
          <cell r="G3457">
            <v>0</v>
          </cell>
          <cell r="H3457">
            <v>0</v>
          </cell>
          <cell r="I3457">
            <v>0</v>
          </cell>
          <cell r="J3457">
            <v>0</v>
          </cell>
        </row>
        <row r="3458">
          <cell r="B3458" t="str">
            <v>8.1.07.05.06</v>
          </cell>
          <cell r="C3458" t="str">
            <v>Beban Penyisihan Piutang Insentif Fiskal</v>
          </cell>
          <cell r="D3458">
            <v>0</v>
          </cell>
          <cell r="E3458">
            <v>0</v>
          </cell>
          <cell r="F3458">
            <v>0</v>
          </cell>
          <cell r="G3458">
            <v>0</v>
          </cell>
          <cell r="H3458">
            <v>0</v>
          </cell>
          <cell r="I3458">
            <v>0</v>
          </cell>
          <cell r="J3458">
            <v>0</v>
          </cell>
        </row>
        <row r="3459">
          <cell r="B3459" t="str">
            <v>8.1.07.05.07</v>
          </cell>
          <cell r="C3459" t="str">
            <v>Beban Penyisihan Piutang Dana Bagi Hasil (DBH)</v>
          </cell>
          <cell r="D3459">
            <v>0</v>
          </cell>
          <cell r="E3459">
            <v>0</v>
          </cell>
          <cell r="F3459">
            <v>0</v>
          </cell>
          <cell r="G3459">
            <v>0</v>
          </cell>
          <cell r="H3459">
            <v>0</v>
          </cell>
          <cell r="I3459">
            <v>0</v>
          </cell>
          <cell r="J3459">
            <v>0</v>
          </cell>
        </row>
        <row r="3460">
          <cell r="B3460" t="str">
            <v>8.1.07.05.08</v>
          </cell>
          <cell r="C3460" t="str">
            <v>Beban Penyisihan Piutang Dana Alokasi Umum (DAU)</v>
          </cell>
          <cell r="D3460">
            <v>0</v>
          </cell>
          <cell r="E3460">
            <v>0</v>
          </cell>
          <cell r="F3460">
            <v>0</v>
          </cell>
          <cell r="G3460">
            <v>0</v>
          </cell>
          <cell r="H3460">
            <v>0</v>
          </cell>
          <cell r="I3460">
            <v>0</v>
          </cell>
          <cell r="J3460">
            <v>0</v>
          </cell>
        </row>
        <row r="3461">
          <cell r="B3461" t="str">
            <v>8.1.07.05.09</v>
          </cell>
          <cell r="C3461" t="str">
            <v>Beban Penyisihan Piutang Dana Alokasi Khusus (DAK)</v>
          </cell>
          <cell r="D3461">
            <v>0</v>
          </cell>
          <cell r="E3461">
            <v>0</v>
          </cell>
          <cell r="F3461">
            <v>0</v>
          </cell>
          <cell r="G3461">
            <v>0</v>
          </cell>
          <cell r="H3461">
            <v>0</v>
          </cell>
          <cell r="I3461">
            <v>0</v>
          </cell>
          <cell r="J3461">
            <v>0</v>
          </cell>
        </row>
        <row r="3462">
          <cell r="B3462" t="str">
            <v>8.1.07.06</v>
          </cell>
          <cell r="C3462" t="str">
            <v>Beban Penyisihan Piutang Transfer Antar Daerah</v>
          </cell>
          <cell r="D3462">
            <v>0</v>
          </cell>
          <cell r="E3462">
            <v>0</v>
          </cell>
          <cell r="F3462"/>
          <cell r="G3462"/>
          <cell r="H3462"/>
          <cell r="I3462"/>
          <cell r="J3462">
            <v>0</v>
          </cell>
        </row>
        <row r="3463">
          <cell r="B3463" t="str">
            <v>8.1.07.06.01</v>
          </cell>
          <cell r="C3463" t="str">
            <v>Beban Penyisihan Piutang Bagi Hasil</v>
          </cell>
          <cell r="D3463">
            <v>0</v>
          </cell>
          <cell r="E3463">
            <v>0</v>
          </cell>
          <cell r="F3463">
            <v>0</v>
          </cell>
          <cell r="G3463">
            <v>0</v>
          </cell>
          <cell r="H3463">
            <v>0</v>
          </cell>
          <cell r="I3463">
            <v>0</v>
          </cell>
          <cell r="J3463">
            <v>0</v>
          </cell>
        </row>
        <row r="3464">
          <cell r="B3464" t="str">
            <v>8.1.07.06.02</v>
          </cell>
          <cell r="C3464" t="str">
            <v>Beban Penyisihan Piutang Bantuan Keuangan</v>
          </cell>
          <cell r="D3464">
            <v>0</v>
          </cell>
          <cell r="E3464">
            <v>0</v>
          </cell>
          <cell r="F3464">
            <v>0</v>
          </cell>
          <cell r="G3464">
            <v>0</v>
          </cell>
          <cell r="H3464">
            <v>0</v>
          </cell>
          <cell r="I3464">
            <v>0</v>
          </cell>
          <cell r="J3464">
            <v>0</v>
          </cell>
        </row>
        <row r="3465">
          <cell r="B3465" t="str">
            <v>8.1.07.07</v>
          </cell>
          <cell r="C3465" t="str">
            <v>Beban Penyisihan Piutang Lainnya</v>
          </cell>
          <cell r="D3465">
            <v>0</v>
          </cell>
          <cell r="E3465">
            <v>0</v>
          </cell>
          <cell r="F3465"/>
          <cell r="G3465"/>
          <cell r="H3465"/>
          <cell r="I3465"/>
          <cell r="J3465">
            <v>0</v>
          </cell>
        </row>
        <row r="3466">
          <cell r="B3466" t="str">
            <v>8.1.07.07.01</v>
          </cell>
          <cell r="C3466" t="str">
            <v>Beban Penyisihan Bagian Lancar Tagihan Jangka Panjang</v>
          </cell>
          <cell r="D3466">
            <v>0</v>
          </cell>
          <cell r="E3466">
            <v>0</v>
          </cell>
          <cell r="F3466">
            <v>0</v>
          </cell>
          <cell r="G3466">
            <v>0</v>
          </cell>
          <cell r="H3466">
            <v>0</v>
          </cell>
          <cell r="I3466">
            <v>0</v>
          </cell>
          <cell r="J3466">
            <v>0</v>
          </cell>
        </row>
        <row r="3467">
          <cell r="B3467" t="str">
            <v>8.1.07.07.02</v>
          </cell>
          <cell r="C3467" t="str">
            <v>Beban Penyisihan Bagian Lancar Tagihan Pinjaman Jangka Panjang</v>
          </cell>
          <cell r="D3467">
            <v>0</v>
          </cell>
          <cell r="E3467">
            <v>0</v>
          </cell>
          <cell r="F3467">
            <v>0</v>
          </cell>
          <cell r="G3467">
            <v>0</v>
          </cell>
          <cell r="H3467">
            <v>0</v>
          </cell>
          <cell r="I3467">
            <v>0</v>
          </cell>
          <cell r="J3467">
            <v>0</v>
          </cell>
        </row>
        <row r="3468">
          <cell r="B3468" t="str">
            <v>8.1.07.07.03</v>
          </cell>
          <cell r="C3468" t="str">
            <v>Beban Penyisihan Bagian Lancar Tagihan Penjualan Angsuran</v>
          </cell>
          <cell r="D3468">
            <v>0</v>
          </cell>
          <cell r="E3468">
            <v>0</v>
          </cell>
          <cell r="F3468">
            <v>0</v>
          </cell>
          <cell r="G3468">
            <v>0</v>
          </cell>
          <cell r="H3468">
            <v>0</v>
          </cell>
          <cell r="I3468">
            <v>0</v>
          </cell>
          <cell r="J3468">
            <v>0</v>
          </cell>
        </row>
        <row r="3469">
          <cell r="B3469" t="str">
            <v>8.1.07.07.04</v>
          </cell>
          <cell r="C3469" t="str">
            <v>Beban Penyisihan Bagian Lancar Tuntutan Ganti Kerugian Daerah</v>
          </cell>
          <cell r="D3469">
            <v>0</v>
          </cell>
          <cell r="E3469">
            <v>0</v>
          </cell>
          <cell r="F3469">
            <v>0</v>
          </cell>
          <cell r="G3469">
            <v>0</v>
          </cell>
          <cell r="H3469">
            <v>0</v>
          </cell>
          <cell r="I3469">
            <v>0</v>
          </cell>
          <cell r="J3469">
            <v>0</v>
          </cell>
        </row>
        <row r="3470">
          <cell r="B3470" t="str">
            <v>8.1.07.07.05</v>
          </cell>
          <cell r="C3470" t="str">
            <v>Beban Penyisihan Uang Muka</v>
          </cell>
          <cell r="D3470">
            <v>0</v>
          </cell>
          <cell r="E3470">
            <v>0</v>
          </cell>
          <cell r="F3470">
            <v>0</v>
          </cell>
          <cell r="G3470">
            <v>0</v>
          </cell>
          <cell r="H3470">
            <v>0</v>
          </cell>
          <cell r="I3470">
            <v>0</v>
          </cell>
          <cell r="J3470">
            <v>0</v>
          </cell>
        </row>
        <row r="3471">
          <cell r="B3471" t="str">
            <v>8.1.07.07.06</v>
          </cell>
          <cell r="C3471" t="str">
            <v>Beban Penyisihan Dana Bergulir</v>
          </cell>
          <cell r="D3471">
            <v>0</v>
          </cell>
          <cell r="E3471">
            <v>0</v>
          </cell>
          <cell r="F3471">
            <v>0</v>
          </cell>
          <cell r="G3471">
            <v>0</v>
          </cell>
          <cell r="H3471">
            <v>0</v>
          </cell>
          <cell r="I3471">
            <v>0</v>
          </cell>
          <cell r="J3471">
            <v>0</v>
          </cell>
        </row>
        <row r="3472">
          <cell r="B3472"/>
          <cell r="C3472"/>
          <cell r="D3472"/>
          <cell r="E3472"/>
          <cell r="F3472"/>
          <cell r="G3472"/>
          <cell r="H3472"/>
          <cell r="I3472"/>
          <cell r="J3472"/>
        </row>
        <row r="3473">
          <cell r="B3473" t="str">
            <v>8.1.08</v>
          </cell>
          <cell r="C3473" t="str">
            <v>Beban Penyusutan dan Amortisasi</v>
          </cell>
          <cell r="D3473">
            <v>228171565107.44</v>
          </cell>
          <cell r="E3473">
            <v>247591074781.60001</v>
          </cell>
          <cell r="F3473"/>
          <cell r="G3473"/>
          <cell r="H3473"/>
          <cell r="I3473"/>
          <cell r="J3473">
            <v>247479645192.60001</v>
          </cell>
        </row>
        <row r="3474">
          <cell r="B3474" t="str">
            <v>8.1.08.01</v>
          </cell>
          <cell r="C3474" t="str">
            <v>Beban Penyusutan Peralatan dan Mesin</v>
          </cell>
          <cell r="D3474">
            <v>48180759426.440002</v>
          </cell>
          <cell r="E3474">
            <v>53417472541.599998</v>
          </cell>
          <cell r="F3474"/>
          <cell r="G3474"/>
          <cell r="H3474"/>
          <cell r="I3474"/>
          <cell r="J3474">
            <v>53417472541.599998</v>
          </cell>
        </row>
        <row r="3475">
          <cell r="B3475" t="str">
            <v>8.1.08.01.01</v>
          </cell>
          <cell r="C3475" t="str">
            <v>Beban Penyusutan Alat Besar</v>
          </cell>
          <cell r="D3475">
            <v>-1142599</v>
          </cell>
          <cell r="E3475">
            <v>0</v>
          </cell>
          <cell r="F3475">
            <v>0</v>
          </cell>
          <cell r="G3475">
            <v>0</v>
          </cell>
          <cell r="H3475">
            <v>0</v>
          </cell>
          <cell r="I3475">
            <v>0</v>
          </cell>
          <cell r="J3475">
            <v>0</v>
          </cell>
        </row>
        <row r="3476">
          <cell r="B3476" t="str">
            <v>8.1.08.01.02</v>
          </cell>
          <cell r="C3476" t="str">
            <v>Beban Penyusutan Alat Angkutan</v>
          </cell>
          <cell r="D3476">
            <v>0</v>
          </cell>
          <cell r="E3476">
            <v>0</v>
          </cell>
          <cell r="F3476">
            <v>0</v>
          </cell>
          <cell r="G3476">
            <v>0</v>
          </cell>
          <cell r="H3476">
            <v>0</v>
          </cell>
          <cell r="I3476">
            <v>0</v>
          </cell>
          <cell r="J3476">
            <v>0</v>
          </cell>
        </row>
        <row r="3477">
          <cell r="B3477" t="str">
            <v>8.1.08.01.03</v>
          </cell>
          <cell r="C3477" t="str">
            <v>Beban Penyusutan Alat Bengkel dan Alat Ukur</v>
          </cell>
          <cell r="D3477">
            <v>0</v>
          </cell>
          <cell r="E3477">
            <v>0</v>
          </cell>
          <cell r="F3477">
            <v>0</v>
          </cell>
          <cell r="G3477">
            <v>0</v>
          </cell>
          <cell r="H3477">
            <v>0</v>
          </cell>
          <cell r="I3477">
            <v>0</v>
          </cell>
          <cell r="J3477">
            <v>0</v>
          </cell>
        </row>
        <row r="3478">
          <cell r="B3478" t="str">
            <v>8.1.08.01.04</v>
          </cell>
          <cell r="C3478" t="str">
            <v>Beban Penyusutan Alat Pertanian</v>
          </cell>
          <cell r="D3478">
            <v>0</v>
          </cell>
          <cell r="E3478">
            <v>0</v>
          </cell>
          <cell r="F3478">
            <v>0</v>
          </cell>
          <cell r="G3478">
            <v>0</v>
          </cell>
          <cell r="H3478">
            <v>0</v>
          </cell>
          <cell r="I3478">
            <v>0</v>
          </cell>
          <cell r="J3478">
            <v>0</v>
          </cell>
        </row>
        <row r="3479">
          <cell r="B3479" t="str">
            <v>8.1.08.01.05</v>
          </cell>
          <cell r="C3479" t="str">
            <v>Beban Penyusutan Alat Kantor dan Rumah Tangga</v>
          </cell>
          <cell r="D3479">
            <v>34778643709</v>
          </cell>
          <cell r="E3479">
            <v>39548417016.099998</v>
          </cell>
          <cell r="F3479">
            <v>0</v>
          </cell>
          <cell r="G3479">
            <v>0</v>
          </cell>
          <cell r="H3479">
            <v>0</v>
          </cell>
          <cell r="I3479">
            <v>0</v>
          </cell>
          <cell r="J3479">
            <v>39548417016.099998</v>
          </cell>
        </row>
        <row r="3480">
          <cell r="B3480" t="str">
            <v>8.1.08.01.06</v>
          </cell>
          <cell r="C3480" t="str">
            <v>Beban Penyusutan Alat Studio, Komunikasi, dan Pemancar</v>
          </cell>
          <cell r="D3480">
            <v>0</v>
          </cell>
          <cell r="E3480">
            <v>0</v>
          </cell>
          <cell r="F3480">
            <v>0</v>
          </cell>
          <cell r="G3480">
            <v>0</v>
          </cell>
          <cell r="H3480">
            <v>0</v>
          </cell>
          <cell r="I3480">
            <v>0</v>
          </cell>
          <cell r="J3480">
            <v>0</v>
          </cell>
        </row>
        <row r="3481">
          <cell r="B3481" t="str">
            <v>8.1.08.01.07</v>
          </cell>
          <cell r="C3481" t="str">
            <v>Beban Penyusutan Alat Kedokteran dan Kesehatan</v>
          </cell>
          <cell r="D3481">
            <v>13402045149.440001</v>
          </cell>
          <cell r="E3481">
            <v>13869055525.5</v>
          </cell>
          <cell r="F3481">
            <v>0</v>
          </cell>
          <cell r="G3481">
            <v>0</v>
          </cell>
          <cell r="H3481">
            <v>0</v>
          </cell>
          <cell r="I3481">
            <v>0</v>
          </cell>
          <cell r="J3481">
            <v>13869055525.5</v>
          </cell>
        </row>
        <row r="3482">
          <cell r="B3482" t="str">
            <v>8.1.08.01.08</v>
          </cell>
          <cell r="C3482" t="str">
            <v>Beban Penyusutan Alat Laboratorium</v>
          </cell>
          <cell r="D3482">
            <v>0</v>
          </cell>
          <cell r="E3482">
            <v>0</v>
          </cell>
          <cell r="F3482">
            <v>0</v>
          </cell>
          <cell r="G3482">
            <v>0</v>
          </cell>
          <cell r="H3482">
            <v>0</v>
          </cell>
          <cell r="I3482">
            <v>0</v>
          </cell>
          <cell r="J3482">
            <v>0</v>
          </cell>
        </row>
        <row r="3483">
          <cell r="B3483" t="str">
            <v>8.1.08.01.09</v>
          </cell>
          <cell r="C3483" t="str">
            <v>Beban Penyusutan Alat Persenjataan</v>
          </cell>
          <cell r="D3483">
            <v>0</v>
          </cell>
          <cell r="E3483">
            <v>0</v>
          </cell>
          <cell r="F3483">
            <v>0</v>
          </cell>
          <cell r="G3483">
            <v>0</v>
          </cell>
          <cell r="H3483">
            <v>0</v>
          </cell>
          <cell r="I3483">
            <v>0</v>
          </cell>
          <cell r="J3483">
            <v>0</v>
          </cell>
        </row>
        <row r="3484">
          <cell r="B3484" t="str">
            <v>8.1.08.01.10</v>
          </cell>
          <cell r="C3484" t="str">
            <v>Beban Penyusutan Komputer</v>
          </cell>
          <cell r="D3484">
            <v>0</v>
          </cell>
          <cell r="E3484">
            <v>0</v>
          </cell>
          <cell r="F3484">
            <v>0</v>
          </cell>
          <cell r="G3484">
            <v>0</v>
          </cell>
          <cell r="H3484">
            <v>0</v>
          </cell>
          <cell r="I3484">
            <v>0</v>
          </cell>
          <cell r="J3484">
            <v>0</v>
          </cell>
        </row>
        <row r="3485">
          <cell r="B3485" t="str">
            <v>8.1.08.01.11</v>
          </cell>
          <cell r="C3485" t="str">
            <v>Beban Penyusutan Alat Eksplorasi</v>
          </cell>
          <cell r="D3485">
            <v>0</v>
          </cell>
          <cell r="E3485">
            <v>0</v>
          </cell>
          <cell r="F3485">
            <v>0</v>
          </cell>
          <cell r="G3485">
            <v>0</v>
          </cell>
          <cell r="H3485">
            <v>0</v>
          </cell>
          <cell r="I3485">
            <v>0</v>
          </cell>
          <cell r="J3485">
            <v>0</v>
          </cell>
        </row>
        <row r="3486">
          <cell r="B3486" t="str">
            <v>8.1.08.01.12</v>
          </cell>
          <cell r="C3486" t="str">
            <v>Beban Penyusutan Alat Pengeboran</v>
          </cell>
          <cell r="D3486">
            <v>0</v>
          </cell>
          <cell r="E3486">
            <v>0</v>
          </cell>
          <cell r="F3486">
            <v>0</v>
          </cell>
          <cell r="G3486">
            <v>0</v>
          </cell>
          <cell r="H3486">
            <v>0</v>
          </cell>
          <cell r="I3486">
            <v>0</v>
          </cell>
          <cell r="J3486">
            <v>0</v>
          </cell>
        </row>
        <row r="3487">
          <cell r="B3487" t="str">
            <v>8.1.08.01.13</v>
          </cell>
          <cell r="C3487" t="str">
            <v>Beban Penyusutan Alat Produksi, Pengolahan dan Pemurnian</v>
          </cell>
          <cell r="D3487">
            <v>0</v>
          </cell>
          <cell r="E3487">
            <v>0</v>
          </cell>
          <cell r="F3487">
            <v>0</v>
          </cell>
          <cell r="G3487">
            <v>0</v>
          </cell>
          <cell r="H3487">
            <v>0</v>
          </cell>
          <cell r="I3487">
            <v>0</v>
          </cell>
          <cell r="J3487">
            <v>0</v>
          </cell>
        </row>
        <row r="3488">
          <cell r="B3488" t="str">
            <v>8.1.08.01.14</v>
          </cell>
          <cell r="C3488" t="str">
            <v>Beban Penyusutan Alat Bantu Eksplorasi</v>
          </cell>
          <cell r="D3488">
            <v>0</v>
          </cell>
          <cell r="E3488">
            <v>0</v>
          </cell>
          <cell r="F3488">
            <v>0</v>
          </cell>
          <cell r="G3488">
            <v>0</v>
          </cell>
          <cell r="H3488">
            <v>0</v>
          </cell>
          <cell r="I3488">
            <v>0</v>
          </cell>
          <cell r="J3488">
            <v>0</v>
          </cell>
        </row>
        <row r="3489">
          <cell r="B3489" t="str">
            <v>8.1.08.01.15</v>
          </cell>
          <cell r="C3489" t="str">
            <v>Beban Penyusutan Alat Keselamatan Kerja</v>
          </cell>
          <cell r="D3489">
            <v>1213167</v>
          </cell>
          <cell r="E3489">
            <v>0</v>
          </cell>
          <cell r="F3489">
            <v>0</v>
          </cell>
          <cell r="G3489">
            <v>0</v>
          </cell>
          <cell r="H3489">
            <v>0</v>
          </cell>
          <cell r="I3489">
            <v>0</v>
          </cell>
          <cell r="J3489">
            <v>0</v>
          </cell>
        </row>
        <row r="3490">
          <cell r="B3490" t="str">
            <v>8.1.08.01.16</v>
          </cell>
          <cell r="C3490" t="str">
            <v>Beban Penyusutan Alat Peraga</v>
          </cell>
          <cell r="D3490">
            <v>0</v>
          </cell>
          <cell r="E3490">
            <v>0</v>
          </cell>
          <cell r="F3490">
            <v>0</v>
          </cell>
          <cell r="G3490">
            <v>0</v>
          </cell>
          <cell r="H3490">
            <v>0</v>
          </cell>
          <cell r="I3490">
            <v>0</v>
          </cell>
          <cell r="J3490">
            <v>0</v>
          </cell>
        </row>
        <row r="3491">
          <cell r="B3491" t="str">
            <v>8.1.08.01.17</v>
          </cell>
          <cell r="C3491" t="str">
            <v>Beban Penyusutan Peralatan Proses/Produksi</v>
          </cell>
          <cell r="D3491">
            <v>0</v>
          </cell>
          <cell r="E3491">
            <v>0</v>
          </cell>
          <cell r="F3491">
            <v>0</v>
          </cell>
          <cell r="G3491">
            <v>0</v>
          </cell>
          <cell r="H3491">
            <v>0</v>
          </cell>
          <cell r="I3491">
            <v>0</v>
          </cell>
          <cell r="J3491">
            <v>0</v>
          </cell>
        </row>
        <row r="3492">
          <cell r="B3492" t="str">
            <v>8.1.08.01.18</v>
          </cell>
          <cell r="C3492" t="str">
            <v>Beban Penyusutan Rambu-Rambu</v>
          </cell>
          <cell r="D3492">
            <v>0</v>
          </cell>
          <cell r="E3492">
            <v>0</v>
          </cell>
          <cell r="F3492">
            <v>0</v>
          </cell>
          <cell r="G3492">
            <v>0</v>
          </cell>
          <cell r="H3492">
            <v>0</v>
          </cell>
          <cell r="I3492">
            <v>0</v>
          </cell>
          <cell r="J3492">
            <v>0</v>
          </cell>
        </row>
        <row r="3493">
          <cell r="B3493" t="str">
            <v>8.1.08.01.19</v>
          </cell>
          <cell r="C3493" t="str">
            <v>Beban Penyusutan Peralatan Olahraga</v>
          </cell>
          <cell r="D3493">
            <v>0</v>
          </cell>
          <cell r="E3493">
            <v>0</v>
          </cell>
          <cell r="F3493">
            <v>0</v>
          </cell>
          <cell r="G3493">
            <v>0</v>
          </cell>
          <cell r="H3493">
            <v>0</v>
          </cell>
          <cell r="I3493">
            <v>0</v>
          </cell>
          <cell r="J3493">
            <v>0</v>
          </cell>
        </row>
        <row r="3494">
          <cell r="B3494" t="str">
            <v>8.1.08.02</v>
          </cell>
          <cell r="C3494" t="str">
            <v>Beban Penyusutan Gedung dan Bangunan</v>
          </cell>
          <cell r="D3494">
            <v>33017832962</v>
          </cell>
          <cell r="E3494">
            <v>35292174857</v>
          </cell>
          <cell r="F3494"/>
          <cell r="G3494"/>
          <cell r="H3494"/>
          <cell r="I3494"/>
          <cell r="J3494">
            <v>35291386691</v>
          </cell>
        </row>
        <row r="3495">
          <cell r="B3495" t="str">
            <v>8.1.08.02.01</v>
          </cell>
          <cell r="C3495" t="str">
            <v>Beban Penyusutan Bangunan Gedung</v>
          </cell>
          <cell r="D3495">
            <v>33017832962</v>
          </cell>
          <cell r="E3495">
            <v>35292174857</v>
          </cell>
          <cell r="F3495">
            <v>0</v>
          </cell>
          <cell r="G3495">
            <v>788166</v>
          </cell>
          <cell r="H3495">
            <v>0</v>
          </cell>
          <cell r="I3495">
            <v>0</v>
          </cell>
          <cell r="J3495">
            <v>35291386691</v>
          </cell>
        </row>
        <row r="3496">
          <cell r="B3496" t="str">
            <v>8.1.08.02.02</v>
          </cell>
          <cell r="C3496" t="str">
            <v>Beban Penyusutan Monumen</v>
          </cell>
          <cell r="D3496">
            <v>0</v>
          </cell>
          <cell r="E3496">
            <v>0</v>
          </cell>
          <cell r="F3496">
            <v>0</v>
          </cell>
          <cell r="G3496">
            <v>0</v>
          </cell>
          <cell r="H3496">
            <v>0</v>
          </cell>
          <cell r="I3496">
            <v>0</v>
          </cell>
          <cell r="J3496">
            <v>0</v>
          </cell>
        </row>
        <row r="3497">
          <cell r="B3497" t="str">
            <v>8.1.08.02.03</v>
          </cell>
          <cell r="C3497" t="str">
            <v>Beban Penyusutan Bangunan Menara</v>
          </cell>
          <cell r="D3497">
            <v>0</v>
          </cell>
          <cell r="E3497">
            <v>0</v>
          </cell>
          <cell r="F3497">
            <v>0</v>
          </cell>
          <cell r="G3497">
            <v>0</v>
          </cell>
          <cell r="H3497">
            <v>0</v>
          </cell>
          <cell r="I3497">
            <v>0</v>
          </cell>
          <cell r="J3497">
            <v>0</v>
          </cell>
        </row>
        <row r="3498">
          <cell r="B3498" t="str">
            <v>8.1.08.02.04</v>
          </cell>
          <cell r="C3498" t="str">
            <v>Beban Penyusutan Tugu Titik Kontrol/Pasti</v>
          </cell>
          <cell r="D3498">
            <v>0</v>
          </cell>
          <cell r="E3498">
            <v>0</v>
          </cell>
          <cell r="F3498">
            <v>0</v>
          </cell>
          <cell r="G3498">
            <v>0</v>
          </cell>
          <cell r="H3498">
            <v>0</v>
          </cell>
          <cell r="I3498">
            <v>0</v>
          </cell>
          <cell r="J3498">
            <v>0</v>
          </cell>
        </row>
        <row r="3499">
          <cell r="B3499" t="str">
            <v>8.1.08.03</v>
          </cell>
          <cell r="C3499" t="str">
            <v>Beban Penyusutan Jalan, Jaringan dan Irigasi</v>
          </cell>
          <cell r="D3499">
            <v>145521488134</v>
          </cell>
          <cell r="E3499">
            <v>157967149610</v>
          </cell>
          <cell r="F3499"/>
          <cell r="G3499"/>
          <cell r="H3499"/>
          <cell r="I3499"/>
          <cell r="J3499">
            <v>157856508187</v>
          </cell>
        </row>
        <row r="3500">
          <cell r="B3500" t="str">
            <v>8.1.08.03.01</v>
          </cell>
          <cell r="C3500" t="str">
            <v>Beban Penyusutan Jalan dan Jembatan</v>
          </cell>
          <cell r="D3500">
            <v>137045554997</v>
          </cell>
          <cell r="E3500">
            <v>148675278709</v>
          </cell>
          <cell r="F3500">
            <v>0</v>
          </cell>
          <cell r="G3500">
            <v>110641423</v>
          </cell>
          <cell r="H3500">
            <v>0</v>
          </cell>
          <cell r="I3500">
            <v>0</v>
          </cell>
          <cell r="J3500">
            <v>148564637286</v>
          </cell>
        </row>
        <row r="3501">
          <cell r="B3501" t="str">
            <v>8.1.08.03.02</v>
          </cell>
          <cell r="C3501" t="str">
            <v>Beban Penyusutan Bangunan Air</v>
          </cell>
          <cell r="D3501">
            <v>1251024</v>
          </cell>
          <cell r="E3501">
            <v>6655666</v>
          </cell>
          <cell r="F3501">
            <v>0</v>
          </cell>
          <cell r="G3501">
            <v>0</v>
          </cell>
          <cell r="H3501">
            <v>0</v>
          </cell>
          <cell r="I3501">
            <v>0</v>
          </cell>
          <cell r="J3501">
            <v>6655666</v>
          </cell>
        </row>
        <row r="3502">
          <cell r="B3502" t="str">
            <v>8.1.08.03.03</v>
          </cell>
          <cell r="C3502" t="str">
            <v>Beban Penyusutan Instalasi</v>
          </cell>
          <cell r="D3502">
            <v>378618448</v>
          </cell>
          <cell r="E3502">
            <v>482898038</v>
          </cell>
          <cell r="F3502">
            <v>0</v>
          </cell>
          <cell r="G3502">
            <v>0</v>
          </cell>
          <cell r="H3502">
            <v>0</v>
          </cell>
          <cell r="I3502">
            <v>0</v>
          </cell>
          <cell r="J3502">
            <v>482898038</v>
          </cell>
        </row>
        <row r="3503">
          <cell r="B3503" t="str">
            <v>8.1.08.03.04</v>
          </cell>
          <cell r="C3503" t="str">
            <v>Beban Penyusutan Jaringan</v>
          </cell>
          <cell r="D3503">
            <v>8096063665</v>
          </cell>
          <cell r="E3503">
            <v>8802317197</v>
          </cell>
          <cell r="F3503">
            <v>0</v>
          </cell>
          <cell r="G3503">
            <v>0</v>
          </cell>
          <cell r="H3503">
            <v>0</v>
          </cell>
          <cell r="I3503">
            <v>0</v>
          </cell>
          <cell r="J3503">
            <v>8802317197</v>
          </cell>
        </row>
        <row r="3504">
          <cell r="B3504" t="str">
            <v>8.1.08.04</v>
          </cell>
          <cell r="C3504" t="str">
            <v>Beban Penyusutan Aset Tetap Lainnya</v>
          </cell>
          <cell r="D3504">
            <v>237812320</v>
          </cell>
          <cell r="E3504">
            <v>219344626</v>
          </cell>
          <cell r="F3504"/>
          <cell r="G3504"/>
          <cell r="H3504"/>
          <cell r="I3504"/>
          <cell r="J3504">
            <v>219344626</v>
          </cell>
        </row>
        <row r="3505">
          <cell r="B3505" t="str">
            <v>8.1.08.04.01</v>
          </cell>
          <cell r="C3505" t="str">
            <v>Beban Penyusutan Barang Bercorak Kesenian/Kebudayaan/Olahraga</v>
          </cell>
          <cell r="D3505">
            <v>0</v>
          </cell>
          <cell r="E3505">
            <v>0</v>
          </cell>
          <cell r="F3505">
            <v>0</v>
          </cell>
          <cell r="G3505">
            <v>0</v>
          </cell>
          <cell r="H3505">
            <v>0</v>
          </cell>
          <cell r="I3505">
            <v>0</v>
          </cell>
          <cell r="J3505">
            <v>0</v>
          </cell>
        </row>
        <row r="3506">
          <cell r="B3506" t="str">
            <v>8.1.08.04.02</v>
          </cell>
          <cell r="C3506" t="str">
            <v>Beban Penyusutan Aset Tetap Dalam Renovasi</v>
          </cell>
          <cell r="D3506">
            <v>237812320</v>
          </cell>
          <cell r="E3506">
            <v>219344626</v>
          </cell>
          <cell r="F3506">
            <v>0</v>
          </cell>
          <cell r="G3506">
            <v>0</v>
          </cell>
          <cell r="H3506">
            <v>0</v>
          </cell>
          <cell r="I3506">
            <v>0</v>
          </cell>
          <cell r="J3506">
            <v>219344626</v>
          </cell>
        </row>
        <row r="3507">
          <cell r="B3507" t="str">
            <v>8.1.08.05</v>
          </cell>
          <cell r="C3507" t="str">
            <v>Beban Penyusutan Aset Lainnya-Kemitraan dengan Pihak Ketiga</v>
          </cell>
          <cell r="D3507">
            <v>0</v>
          </cell>
          <cell r="E3507">
            <v>0</v>
          </cell>
          <cell r="F3507"/>
          <cell r="G3507"/>
          <cell r="H3507"/>
          <cell r="I3507"/>
          <cell r="J3507">
            <v>0</v>
          </cell>
        </row>
        <row r="3508">
          <cell r="B3508" t="str">
            <v>8.1.08.05.01</v>
          </cell>
          <cell r="C3508" t="str">
            <v>Beban Penyusutan Kemitraan dengan Pihak Ketiga</v>
          </cell>
          <cell r="D3508">
            <v>0</v>
          </cell>
          <cell r="E3508">
            <v>0</v>
          </cell>
          <cell r="F3508">
            <v>0</v>
          </cell>
          <cell r="G3508">
            <v>0</v>
          </cell>
          <cell r="H3508">
            <v>0</v>
          </cell>
          <cell r="I3508">
            <v>0</v>
          </cell>
          <cell r="J3508">
            <v>0</v>
          </cell>
        </row>
        <row r="3509">
          <cell r="B3509" t="str">
            <v>8.1.08.06</v>
          </cell>
          <cell r="C3509" t="str">
            <v>Beban Amortisasi Aset Lainnya-Aset Tidak Berwujud</v>
          </cell>
          <cell r="D3509">
            <v>572429330</v>
          </cell>
          <cell r="E3509">
            <v>567831037</v>
          </cell>
          <cell r="F3509"/>
          <cell r="G3509"/>
          <cell r="H3509"/>
          <cell r="I3509"/>
          <cell r="J3509">
            <v>567831037</v>
          </cell>
        </row>
        <row r="3510">
          <cell r="B3510" t="str">
            <v>8.1.08.06.01</v>
          </cell>
          <cell r="C3510" t="str">
            <v>Beban Amortisasi Aset Tidak Berwujud</v>
          </cell>
          <cell r="D3510">
            <v>572429330</v>
          </cell>
          <cell r="E3510">
            <v>567831037</v>
          </cell>
          <cell r="F3510">
            <v>0</v>
          </cell>
          <cell r="G3510">
            <v>0</v>
          </cell>
          <cell r="H3510">
            <v>0</v>
          </cell>
          <cell r="I3510">
            <v>0</v>
          </cell>
          <cell r="J3510">
            <v>567831037</v>
          </cell>
        </row>
        <row r="3511">
          <cell r="B3511" t="str">
            <v>8.1.08.07</v>
          </cell>
          <cell r="C3511" t="str">
            <v>Beban Penyusutan Aset Lainnya-Aset Lain-Lain</v>
          </cell>
          <cell r="D3511">
            <v>0</v>
          </cell>
          <cell r="E3511">
            <v>0</v>
          </cell>
          <cell r="F3511"/>
          <cell r="G3511"/>
          <cell r="H3511"/>
          <cell r="I3511"/>
          <cell r="J3511">
            <v>0</v>
          </cell>
        </row>
        <row r="3512">
          <cell r="B3512" t="str">
            <v>8.1.08.07.01</v>
          </cell>
          <cell r="C3512" t="str">
            <v>Beban Penyusutan Aset Lain-Lain</v>
          </cell>
          <cell r="D3512">
            <v>0</v>
          </cell>
          <cell r="E3512">
            <v>0</v>
          </cell>
          <cell r="F3512">
            <v>0</v>
          </cell>
          <cell r="G3512">
            <v>0</v>
          </cell>
          <cell r="H3512">
            <v>0</v>
          </cell>
          <cell r="I3512">
            <v>0</v>
          </cell>
          <cell r="J3512">
            <v>0</v>
          </cell>
        </row>
        <row r="3513">
          <cell r="B3513" t="str">
            <v>8.1.08.08</v>
          </cell>
          <cell r="C3513" t="str">
            <v>Beban Penyusutan Aset Konsesi Jasa</v>
          </cell>
          <cell r="D3513">
            <v>0</v>
          </cell>
          <cell r="E3513">
            <v>0</v>
          </cell>
          <cell r="F3513"/>
          <cell r="G3513"/>
          <cell r="H3513"/>
          <cell r="I3513"/>
          <cell r="J3513">
            <v>0</v>
          </cell>
        </row>
        <row r="3514">
          <cell r="B3514" t="str">
            <v>8.1.08.08.01</v>
          </cell>
          <cell r="C3514" t="str">
            <v>Beban Penyusutan Aset Konsesi Jasa yang Disediakan Pemberi Konsesi-Aset Konsesi Jasa Peralatan dan Mesin</v>
          </cell>
          <cell r="D3514">
            <v>0</v>
          </cell>
          <cell r="E3514">
            <v>0</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D3515">
            <v>0</v>
          </cell>
          <cell r="E3515">
            <v>0</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D3516">
            <v>0</v>
          </cell>
          <cell r="E3516">
            <v>0</v>
          </cell>
          <cell r="F3516">
            <v>0</v>
          </cell>
          <cell r="G3516">
            <v>0</v>
          </cell>
          <cell r="H3516">
            <v>0</v>
          </cell>
          <cell r="I3516">
            <v>0</v>
          </cell>
          <cell r="J3516">
            <v>0</v>
          </cell>
        </row>
        <row r="3517">
          <cell r="B3517" t="str">
            <v>8.1.08.08.04</v>
          </cell>
          <cell r="C3517" t="str">
            <v>Beban Penyusutan Aset Konsesi Jasa yang Disediakan Pemberi Konsesi-Aset Tetap Lainnya</v>
          </cell>
          <cell r="D3517">
            <v>0</v>
          </cell>
          <cell r="E3517">
            <v>0</v>
          </cell>
          <cell r="F3517">
            <v>0</v>
          </cell>
          <cell r="G3517">
            <v>0</v>
          </cell>
          <cell r="H3517">
            <v>0</v>
          </cell>
          <cell r="I3517">
            <v>0</v>
          </cell>
          <cell r="J3517">
            <v>0</v>
          </cell>
        </row>
        <row r="3518">
          <cell r="B3518" t="str">
            <v>8.1.08.08.05</v>
          </cell>
          <cell r="C3518" t="str">
            <v>Beban Penyusutan Aset Konsesi Jasa yang Bersumber dari Milik Mitra</v>
          </cell>
          <cell r="D3518">
            <v>0</v>
          </cell>
          <cell r="E3518">
            <v>0</v>
          </cell>
          <cell r="F3518">
            <v>0</v>
          </cell>
          <cell r="G3518">
            <v>0</v>
          </cell>
          <cell r="H3518">
            <v>0</v>
          </cell>
          <cell r="I3518">
            <v>0</v>
          </cell>
          <cell r="J3518">
            <v>0</v>
          </cell>
        </row>
        <row r="3519">
          <cell r="B3519" t="str">
            <v>8.1.08.09</v>
          </cell>
          <cell r="C3519" t="str">
            <v>Beban Penyusutan Properti Investasi</v>
          </cell>
          <cell r="D3519">
            <v>641242935</v>
          </cell>
          <cell r="E3519">
            <v>127102110</v>
          </cell>
          <cell r="F3519"/>
          <cell r="G3519"/>
          <cell r="H3519"/>
          <cell r="I3519"/>
          <cell r="J3519">
            <v>127102110</v>
          </cell>
        </row>
        <row r="3520">
          <cell r="B3520" t="str">
            <v>8.1.08.09.01</v>
          </cell>
          <cell r="C3520" t="str">
            <v>Beban Penyusutan Properti Investasi Gedung dan Bangunan</v>
          </cell>
          <cell r="D3520">
            <v>641242935</v>
          </cell>
          <cell r="E3520">
            <v>127102110</v>
          </cell>
          <cell r="F3520">
            <v>0</v>
          </cell>
          <cell r="G3520">
            <v>0</v>
          </cell>
          <cell r="H3520">
            <v>0</v>
          </cell>
          <cell r="I3520">
            <v>0</v>
          </cell>
          <cell r="J3520">
            <v>127102110</v>
          </cell>
        </row>
        <row r="3521">
          <cell r="B3521"/>
          <cell r="C3521"/>
          <cell r="D3521"/>
          <cell r="E3521"/>
          <cell r="F3521"/>
          <cell r="G3521"/>
          <cell r="H3521"/>
          <cell r="I3521"/>
          <cell r="J3521"/>
        </row>
        <row r="3522">
          <cell r="B3522" t="str">
            <v>8.1.09</v>
          </cell>
          <cell r="C3522" t="str">
            <v>Beban Imbalan</v>
          </cell>
          <cell r="D3522">
            <v>0</v>
          </cell>
          <cell r="E3522">
            <v>0</v>
          </cell>
          <cell r="F3522"/>
          <cell r="G3522"/>
          <cell r="H3522"/>
          <cell r="I3522"/>
          <cell r="J3522">
            <v>0</v>
          </cell>
        </row>
        <row r="3523">
          <cell r="B3523" t="str">
            <v>8.1.09.01</v>
          </cell>
          <cell r="C3523" t="str">
            <v>Beban Imbalan Sukuk Daerah</v>
          </cell>
          <cell r="D3523">
            <v>0</v>
          </cell>
          <cell r="E3523">
            <v>0</v>
          </cell>
          <cell r="F3523"/>
          <cell r="G3523"/>
          <cell r="H3523"/>
          <cell r="I3523"/>
          <cell r="J3523">
            <v>0</v>
          </cell>
        </row>
        <row r="3524">
          <cell r="B3524" t="str">
            <v>8.1.09.01.01</v>
          </cell>
          <cell r="C3524" t="str">
            <v>Beban Imbalan Sukuk Daerah</v>
          </cell>
          <cell r="D3524">
            <v>0</v>
          </cell>
          <cell r="E3524">
            <v>0</v>
          </cell>
          <cell r="F3524">
            <v>0</v>
          </cell>
          <cell r="G3524">
            <v>0</v>
          </cell>
          <cell r="H3524">
            <v>0</v>
          </cell>
          <cell r="I3524">
            <v>0</v>
          </cell>
          <cell r="J3524">
            <v>0</v>
          </cell>
        </row>
        <row r="3525">
          <cell r="B3525"/>
          <cell r="C3525"/>
          <cell r="D3525"/>
          <cell r="E3525"/>
          <cell r="F3525"/>
          <cell r="G3525"/>
          <cell r="H3525"/>
          <cell r="I3525"/>
          <cell r="J3525"/>
        </row>
        <row r="3526">
          <cell r="B3526" t="str">
            <v>8.2</v>
          </cell>
          <cell r="C3526" t="str">
            <v>BEBAN TRANSFER</v>
          </cell>
          <cell r="D3526">
            <v>120361584943</v>
          </cell>
          <cell r="E3526">
            <v>131865183962</v>
          </cell>
          <cell r="F3526"/>
          <cell r="G3526"/>
          <cell r="H3526"/>
          <cell r="I3526"/>
          <cell r="J3526">
            <v>131865183962</v>
          </cell>
        </row>
        <row r="3527">
          <cell r="B3527" t="str">
            <v>8.2.01</v>
          </cell>
          <cell r="C3527" t="str">
            <v>Beban Bagi Hasil</v>
          </cell>
          <cell r="D3527">
            <v>10552527397</v>
          </cell>
          <cell r="E3527">
            <v>9960296381</v>
          </cell>
          <cell r="F3527"/>
          <cell r="G3527"/>
          <cell r="H3527"/>
          <cell r="I3527"/>
          <cell r="J3527">
            <v>9960296381</v>
          </cell>
        </row>
        <row r="3528">
          <cell r="B3528" t="str">
            <v>8.2.01.01</v>
          </cell>
          <cell r="C3528" t="str">
            <v>Beban Bagi Hasil Pajak Daerah Kepada Pemerintahan Kabupaten/Kota dan Desa</v>
          </cell>
          <cell r="D3528">
            <v>10552527397</v>
          </cell>
          <cell r="E3528">
            <v>9960296381</v>
          </cell>
          <cell r="F3528"/>
          <cell r="G3528"/>
          <cell r="H3528"/>
          <cell r="I3528"/>
          <cell r="J3528">
            <v>9960296381</v>
          </cell>
        </row>
        <row r="3529">
          <cell r="B3529" t="str">
            <v>8.2.01.01.01</v>
          </cell>
          <cell r="C3529" t="str">
            <v>Beban Bagi Hasil Pajak Daerah Kepada Pemerintahan Kabupaten</v>
          </cell>
          <cell r="D3529">
            <v>10552527397</v>
          </cell>
          <cell r="E3529">
            <v>9960296381</v>
          </cell>
          <cell r="F3529">
            <v>0</v>
          </cell>
          <cell r="G3529">
            <v>0</v>
          </cell>
          <cell r="H3529">
            <v>0</v>
          </cell>
          <cell r="I3529">
            <v>0</v>
          </cell>
          <cell r="J3529">
            <v>9960296381</v>
          </cell>
        </row>
        <row r="3530">
          <cell r="B3530" t="str">
            <v>8.2.01.01.02</v>
          </cell>
          <cell r="C3530" t="str">
            <v>Beban Bagi Hasil Pajak Daerah Kepada Pemerintahan Kota</v>
          </cell>
          <cell r="D3530">
            <v>0</v>
          </cell>
          <cell r="E3530">
            <v>0</v>
          </cell>
          <cell r="F3530">
            <v>0</v>
          </cell>
          <cell r="G3530">
            <v>0</v>
          </cell>
          <cell r="H3530">
            <v>0</v>
          </cell>
          <cell r="I3530">
            <v>0</v>
          </cell>
          <cell r="J3530">
            <v>0</v>
          </cell>
        </row>
        <row r="3531">
          <cell r="B3531" t="str">
            <v>8.2.01.01.03</v>
          </cell>
          <cell r="C3531" t="str">
            <v>Beban Bagi Hasil Pajak Daerah Kepada Pemerintahan Desa</v>
          </cell>
          <cell r="D3531">
            <v>0</v>
          </cell>
          <cell r="E3531">
            <v>0</v>
          </cell>
          <cell r="F3531">
            <v>0</v>
          </cell>
          <cell r="G3531">
            <v>0</v>
          </cell>
          <cell r="H3531">
            <v>0</v>
          </cell>
          <cell r="I3531">
            <v>0</v>
          </cell>
          <cell r="J3531">
            <v>0</v>
          </cell>
        </row>
        <row r="3532">
          <cell r="B3532" t="str">
            <v>8.2.01.02</v>
          </cell>
          <cell r="C3532" t="str">
            <v>Beban Bagi Hasil Retribusi Daerah Kabupaten/Kota Kepada Pemerintah Desa</v>
          </cell>
          <cell r="D3532">
            <v>0</v>
          </cell>
          <cell r="E3532">
            <v>0</v>
          </cell>
          <cell r="F3532"/>
          <cell r="G3532"/>
          <cell r="H3532"/>
          <cell r="I3532"/>
          <cell r="J3532">
            <v>0</v>
          </cell>
        </row>
        <row r="3533">
          <cell r="B3533" t="str">
            <v>8.2.01.02.01</v>
          </cell>
          <cell r="C3533" t="str">
            <v>Beban Bagi Hasil Retribusi Daerah Kabupaten/Kota Kepada Pemerintah Desa</v>
          </cell>
          <cell r="D3533">
            <v>0</v>
          </cell>
          <cell r="E3533">
            <v>0</v>
          </cell>
          <cell r="F3533">
            <v>0</v>
          </cell>
          <cell r="G3533">
            <v>0</v>
          </cell>
          <cell r="H3533">
            <v>0</v>
          </cell>
          <cell r="I3533">
            <v>0</v>
          </cell>
          <cell r="J3533">
            <v>0</v>
          </cell>
        </row>
        <row r="3534">
          <cell r="B3534"/>
          <cell r="C3534"/>
          <cell r="D3534"/>
          <cell r="E3534"/>
          <cell r="F3534"/>
          <cell r="G3534"/>
          <cell r="H3534"/>
          <cell r="I3534"/>
          <cell r="J3534"/>
        </row>
        <row r="3535">
          <cell r="B3535" t="str">
            <v>8.2.02</v>
          </cell>
          <cell r="C3535" t="str">
            <v>Beban Bantuan Keuangan</v>
          </cell>
          <cell r="D3535">
            <v>109809057546</v>
          </cell>
          <cell r="E3535">
            <v>121904887581</v>
          </cell>
          <cell r="F3535"/>
          <cell r="G3535"/>
          <cell r="H3535"/>
          <cell r="I3535"/>
          <cell r="J3535">
            <v>121904887581</v>
          </cell>
        </row>
        <row r="3536">
          <cell r="B3536" t="str">
            <v>8.2.02.01</v>
          </cell>
          <cell r="C3536" t="str">
            <v>Beban Bantuan Keuangan antar Daerah Provinsi</v>
          </cell>
          <cell r="D3536">
            <v>0</v>
          </cell>
          <cell r="E3536">
            <v>0</v>
          </cell>
          <cell r="F3536"/>
          <cell r="G3536"/>
          <cell r="H3536"/>
          <cell r="I3536"/>
          <cell r="J3536">
            <v>0</v>
          </cell>
        </row>
        <row r="3537">
          <cell r="B3537" t="str">
            <v>8.2.02.01.01</v>
          </cell>
          <cell r="C3537" t="str">
            <v>Beban Bantuan Keuangan Umum antar Daerah Provinsi</v>
          </cell>
          <cell r="D3537">
            <v>0</v>
          </cell>
          <cell r="E3537">
            <v>0</v>
          </cell>
          <cell r="F3537">
            <v>0</v>
          </cell>
          <cell r="G3537">
            <v>0</v>
          </cell>
          <cell r="H3537">
            <v>0</v>
          </cell>
          <cell r="I3537">
            <v>0</v>
          </cell>
          <cell r="J3537">
            <v>0</v>
          </cell>
        </row>
        <row r="3538">
          <cell r="B3538" t="str">
            <v>8.2.02.01.02</v>
          </cell>
          <cell r="C3538" t="str">
            <v>Beban Bantuan Keuangan Khusus antar Daerah Provinsi</v>
          </cell>
          <cell r="D3538">
            <v>0</v>
          </cell>
          <cell r="E3538">
            <v>0</v>
          </cell>
          <cell r="F3538">
            <v>0</v>
          </cell>
          <cell r="G3538">
            <v>0</v>
          </cell>
          <cell r="H3538">
            <v>0</v>
          </cell>
          <cell r="I3538">
            <v>0</v>
          </cell>
          <cell r="J3538">
            <v>0</v>
          </cell>
        </row>
        <row r="3539">
          <cell r="B3539" t="str">
            <v>8.2.02.02</v>
          </cell>
          <cell r="C3539" t="str">
            <v>Beban Bantuan Keuangan antar Daerah Kabupaten/Kota</v>
          </cell>
          <cell r="D3539">
            <v>0</v>
          </cell>
          <cell r="E3539">
            <v>0</v>
          </cell>
          <cell r="F3539"/>
          <cell r="G3539"/>
          <cell r="H3539"/>
          <cell r="I3539"/>
          <cell r="J3539">
            <v>0</v>
          </cell>
        </row>
        <row r="3540">
          <cell r="B3540" t="str">
            <v>8.2.02.02.01</v>
          </cell>
          <cell r="C3540" t="str">
            <v>Beban Bantuan Keuangan Umum antar Daerah Kabupaten/Kota</v>
          </cell>
          <cell r="D3540">
            <v>0</v>
          </cell>
          <cell r="E3540">
            <v>0</v>
          </cell>
          <cell r="F3540">
            <v>0</v>
          </cell>
          <cell r="G3540">
            <v>0</v>
          </cell>
          <cell r="H3540">
            <v>0</v>
          </cell>
          <cell r="I3540">
            <v>0</v>
          </cell>
          <cell r="J3540">
            <v>0</v>
          </cell>
        </row>
        <row r="3541">
          <cell r="B3541" t="str">
            <v>8.2.02.02.02</v>
          </cell>
          <cell r="C3541" t="str">
            <v>Beban Bantuan Keuangan Khusus antar Daerah Kabupaten/Kota</v>
          </cell>
          <cell r="D3541">
            <v>0</v>
          </cell>
          <cell r="E3541">
            <v>0</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F3542"/>
          <cell r="G3542"/>
          <cell r="H3542"/>
          <cell r="I3542"/>
          <cell r="J3542">
            <v>0</v>
          </cell>
        </row>
        <row r="3543">
          <cell r="B3543" t="str">
            <v>8.2.02.03.01</v>
          </cell>
          <cell r="C3543" t="str">
            <v>Beban Bantuan Keuangan Umum Daerah Provinsi ke Kabupaten/Kota</v>
          </cell>
          <cell r="D3543">
            <v>0</v>
          </cell>
          <cell r="E3543">
            <v>0</v>
          </cell>
          <cell r="F3543">
            <v>0</v>
          </cell>
          <cell r="G3543">
            <v>0</v>
          </cell>
          <cell r="H3543">
            <v>0</v>
          </cell>
          <cell r="I3543">
            <v>0</v>
          </cell>
          <cell r="J3543">
            <v>0</v>
          </cell>
        </row>
        <row r="3544">
          <cell r="B3544" t="str">
            <v>8.2.02.03.02</v>
          </cell>
          <cell r="C3544" t="str">
            <v>Beban Bantuan Keuangan Khusus Daerah Provinsi ke Kabupaten/Kota</v>
          </cell>
          <cell r="D3544">
            <v>0</v>
          </cell>
          <cell r="E3544">
            <v>0</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F3545"/>
          <cell r="G3545"/>
          <cell r="H3545"/>
          <cell r="I3545"/>
          <cell r="J3545">
            <v>0</v>
          </cell>
        </row>
        <row r="3546">
          <cell r="B3546" t="str">
            <v>8.2.02.04.01</v>
          </cell>
          <cell r="C3546" t="str">
            <v>Beban Bantuan Keuangan Umum Kabupaten/Kota ke Daerah Provinsi</v>
          </cell>
          <cell r="D3546">
            <v>0</v>
          </cell>
          <cell r="E3546">
            <v>0</v>
          </cell>
          <cell r="F3546">
            <v>0</v>
          </cell>
          <cell r="G3546">
            <v>0</v>
          </cell>
          <cell r="H3546">
            <v>0</v>
          </cell>
          <cell r="I3546">
            <v>0</v>
          </cell>
          <cell r="J3546">
            <v>0</v>
          </cell>
        </row>
        <row r="3547">
          <cell r="B3547" t="str">
            <v>8.2.02.04.02</v>
          </cell>
          <cell r="C3547" t="str">
            <v>Beban Bantuan Keuangan Khusus Kabupaten/Kota ke Daerah Provinsi</v>
          </cell>
          <cell r="D3547">
            <v>0</v>
          </cell>
          <cell r="E3547">
            <v>0</v>
          </cell>
          <cell r="F3547">
            <v>0</v>
          </cell>
          <cell r="G3547">
            <v>0</v>
          </cell>
          <cell r="H3547">
            <v>0</v>
          </cell>
          <cell r="I3547">
            <v>0</v>
          </cell>
          <cell r="J3547">
            <v>0</v>
          </cell>
        </row>
        <row r="3548">
          <cell r="B3548" t="str">
            <v>8.2.02.05</v>
          </cell>
          <cell r="C3548" t="str">
            <v>Beban Bantuan Keuangan Daerah Provinsi atau Kabupaten/Kota ke Desa</v>
          </cell>
          <cell r="D3548">
            <v>109809057546</v>
          </cell>
          <cell r="E3548">
            <v>121904887581</v>
          </cell>
          <cell r="F3548"/>
          <cell r="G3548"/>
          <cell r="H3548"/>
          <cell r="I3548"/>
          <cell r="J3548">
            <v>121904887581</v>
          </cell>
        </row>
        <row r="3549">
          <cell r="B3549" t="str">
            <v>8.2.02.05.01</v>
          </cell>
          <cell r="C3549" t="str">
            <v>Beban Bantuan Keuangan Umum Daerah Provinsi atau Kabupaten/Kota ke Desa</v>
          </cell>
          <cell r="D3549">
            <v>0</v>
          </cell>
          <cell r="E3549">
            <v>121904887581</v>
          </cell>
          <cell r="F3549">
            <v>0</v>
          </cell>
          <cell r="G3549">
            <v>0</v>
          </cell>
          <cell r="H3549">
            <v>0</v>
          </cell>
          <cell r="I3549">
            <v>0</v>
          </cell>
          <cell r="J3549">
            <v>121904887581</v>
          </cell>
        </row>
        <row r="3550">
          <cell r="B3550" t="str">
            <v>8.2.02.05.02</v>
          </cell>
          <cell r="C3550" t="str">
            <v>Beban Bantuan Keuangan Khusus Daerah Provinsi atau Kabupaten/Kota ke Desa</v>
          </cell>
          <cell r="D3550">
            <v>109809057546</v>
          </cell>
          <cell r="E3550">
            <v>0</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F3551"/>
          <cell r="G3551"/>
          <cell r="H3551"/>
          <cell r="I3551"/>
          <cell r="J3551">
            <v>0</v>
          </cell>
        </row>
        <row r="3552">
          <cell r="B3552" t="str">
            <v>8.2.02.06.01</v>
          </cell>
          <cell r="C3552" t="str">
            <v>Beban Transfer Dana Otonomi Khusus Provinsi kepada Kabupaten/Kota</v>
          </cell>
          <cell r="D3552">
            <v>0</v>
          </cell>
          <cell r="E3552">
            <v>0</v>
          </cell>
          <cell r="F3552">
            <v>0</v>
          </cell>
          <cell r="G3552">
            <v>0</v>
          </cell>
          <cell r="H3552">
            <v>0</v>
          </cell>
          <cell r="I3552">
            <v>0</v>
          </cell>
          <cell r="J3552">
            <v>0</v>
          </cell>
        </row>
        <row r="3553">
          <cell r="B3553"/>
          <cell r="C3553"/>
          <cell r="D3553"/>
          <cell r="E3553"/>
          <cell r="F3553"/>
          <cell r="G3553"/>
          <cell r="H3553"/>
          <cell r="I3553"/>
          <cell r="J3553"/>
        </row>
        <row r="3554">
          <cell r="B3554" t="str">
            <v>LO</v>
          </cell>
          <cell r="C3554" t="str">
            <v>SURPLUS/(DEFISIT) DARI KEGIATAN OPERASIONAL</v>
          </cell>
          <cell r="D3554">
            <v>-4783963151.2600098</v>
          </cell>
          <cell r="E3554">
            <v>753802646611.17993</v>
          </cell>
          <cell r="F3554"/>
          <cell r="G3554"/>
          <cell r="H3554"/>
          <cell r="I3554"/>
          <cell r="J3554">
            <v>766932620655.75</v>
          </cell>
        </row>
        <row r="3555">
          <cell r="B3555"/>
          <cell r="C3555"/>
          <cell r="D3555"/>
          <cell r="E3555"/>
          <cell r="F3555"/>
          <cell r="G3555"/>
          <cell r="H3555"/>
          <cell r="I3555"/>
          <cell r="J3555"/>
        </row>
        <row r="3556">
          <cell r="B3556" t="str">
            <v>7.4</v>
          </cell>
          <cell r="C3556" t="str">
            <v>SURPLUS NON OPERASIONAL-LO</v>
          </cell>
          <cell r="D3556">
            <v>0</v>
          </cell>
          <cell r="E3556">
            <v>0</v>
          </cell>
          <cell r="F3556"/>
          <cell r="G3556"/>
          <cell r="H3556"/>
          <cell r="I3556"/>
          <cell r="J3556">
            <v>1589758967</v>
          </cell>
        </row>
        <row r="3557">
          <cell r="B3557" t="str">
            <v>7.4.01</v>
          </cell>
          <cell r="C3557" t="str">
            <v>Surplus Penjualan/Pertukaran/Pelepasan Aset Non Lancar-LO</v>
          </cell>
          <cell r="D3557">
            <v>0</v>
          </cell>
          <cell r="E3557">
            <v>0</v>
          </cell>
          <cell r="F3557"/>
          <cell r="G3557"/>
          <cell r="H3557"/>
          <cell r="I3557"/>
          <cell r="J3557">
            <v>344070111</v>
          </cell>
        </row>
        <row r="3558">
          <cell r="B3558" t="str">
            <v>7.4.01.01</v>
          </cell>
          <cell r="C3558" t="str">
            <v>Surplus Penjualan BMD yang Tidak Dipisahkan-LO</v>
          </cell>
          <cell r="D3558">
            <v>0</v>
          </cell>
          <cell r="E3558">
            <v>0</v>
          </cell>
          <cell r="F3558"/>
          <cell r="G3558"/>
          <cell r="H3558"/>
          <cell r="I3558"/>
          <cell r="J3558">
            <v>344070111</v>
          </cell>
        </row>
        <row r="3559">
          <cell r="B3559" t="str">
            <v>7.4.01.01.01</v>
          </cell>
          <cell r="C3559" t="str">
            <v>Surplus Penjualan Tanah-LO</v>
          </cell>
          <cell r="D3559"/>
          <cell r="E3559"/>
          <cell r="F3559">
            <v>0</v>
          </cell>
          <cell r="G3559">
            <v>0</v>
          </cell>
          <cell r="H3559">
            <v>0</v>
          </cell>
          <cell r="I3559">
            <v>0</v>
          </cell>
          <cell r="J3559">
            <v>0</v>
          </cell>
        </row>
        <row r="3560">
          <cell r="B3560" t="str">
            <v>7.4.01.01.02</v>
          </cell>
          <cell r="C3560" t="str">
            <v>Surplus Penjualan Peralatan dan Mesin-LO</v>
          </cell>
          <cell r="D3560"/>
          <cell r="E3560"/>
          <cell r="F3560">
            <v>0</v>
          </cell>
          <cell r="G3560">
            <v>36829200</v>
          </cell>
          <cell r="H3560">
            <v>0</v>
          </cell>
          <cell r="I3560">
            <v>0</v>
          </cell>
          <cell r="J3560">
            <v>36829200</v>
          </cell>
        </row>
        <row r="3561">
          <cell r="B3561" t="str">
            <v>7.4.01.01.03</v>
          </cell>
          <cell r="C3561" t="str">
            <v>Surplus Penjualan Aset Gedung dan Bangunan-LO</v>
          </cell>
          <cell r="D3561"/>
          <cell r="E3561"/>
          <cell r="F3561">
            <v>0</v>
          </cell>
          <cell r="G3561">
            <v>0</v>
          </cell>
          <cell r="H3561">
            <v>0</v>
          </cell>
          <cell r="I3561">
            <v>0</v>
          </cell>
          <cell r="J3561">
            <v>0</v>
          </cell>
        </row>
        <row r="3562">
          <cell r="B3562" t="str">
            <v>7.4.01.01.04</v>
          </cell>
          <cell r="C3562" t="str">
            <v>Surplus Penjualan Jalan, Jaringan, dan Irigasi-LO</v>
          </cell>
          <cell r="D3562"/>
          <cell r="E3562"/>
          <cell r="F3562">
            <v>0</v>
          </cell>
          <cell r="G3562">
            <v>0</v>
          </cell>
          <cell r="H3562">
            <v>0</v>
          </cell>
          <cell r="I3562">
            <v>0</v>
          </cell>
          <cell r="J3562">
            <v>0</v>
          </cell>
        </row>
        <row r="3563">
          <cell r="B3563" t="str">
            <v>7.4.01.01.05</v>
          </cell>
          <cell r="C3563" t="str">
            <v>Surplus Penjualan Aset Tetap Lainnya-LO</v>
          </cell>
          <cell r="D3563"/>
          <cell r="E3563"/>
          <cell r="F3563">
            <v>0</v>
          </cell>
          <cell r="G3563">
            <v>0</v>
          </cell>
          <cell r="H3563">
            <v>0</v>
          </cell>
          <cell r="I3563">
            <v>0</v>
          </cell>
          <cell r="J3563">
            <v>0</v>
          </cell>
        </row>
        <row r="3564">
          <cell r="B3564" t="str">
            <v>7.4.01.01.06</v>
          </cell>
          <cell r="C3564" t="str">
            <v>Surplus Penjualan Aset Lainnya-LO</v>
          </cell>
          <cell r="D3564"/>
          <cell r="E3564"/>
          <cell r="F3564">
            <v>0</v>
          </cell>
          <cell r="G3564">
            <v>0</v>
          </cell>
          <cell r="H3564">
            <v>0</v>
          </cell>
          <cell r="I3564">
            <v>0</v>
          </cell>
          <cell r="J3564">
            <v>0</v>
          </cell>
        </row>
        <row r="3565">
          <cell r="B3565" t="str">
            <v>7.4.01.01.07</v>
          </cell>
          <cell r="C3565" t="str">
            <v>Surplus Penjualan Aset Tidak Berwujud-LO</v>
          </cell>
          <cell r="D3565"/>
          <cell r="E3565"/>
          <cell r="F3565">
            <v>0</v>
          </cell>
          <cell r="G3565">
            <v>0</v>
          </cell>
          <cell r="H3565">
            <v>0</v>
          </cell>
          <cell r="I3565">
            <v>0</v>
          </cell>
          <cell r="J3565">
            <v>0</v>
          </cell>
        </row>
        <row r="3566">
          <cell r="B3566" t="str">
            <v>7.4.01.01.08</v>
          </cell>
          <cell r="C3566" t="str">
            <v>Surplus Penjualan Aset Lain-Lain-LO</v>
          </cell>
          <cell r="D3566"/>
          <cell r="E3566"/>
          <cell r="F3566">
            <v>0</v>
          </cell>
          <cell r="G3566">
            <v>307240911</v>
          </cell>
          <cell r="H3566">
            <v>0</v>
          </cell>
          <cell r="I3566">
            <v>0</v>
          </cell>
          <cell r="J3566">
            <v>307240911</v>
          </cell>
        </row>
        <row r="3567">
          <cell r="B3567" t="str">
            <v>7.4.01.02</v>
          </cell>
          <cell r="C3567" t="str">
            <v>Surplus Pertukaran BMD yang Tidak Dipisahkan-LO</v>
          </cell>
          <cell r="D3567">
            <v>0</v>
          </cell>
          <cell r="E3567">
            <v>0</v>
          </cell>
          <cell r="F3567"/>
          <cell r="G3567"/>
          <cell r="H3567"/>
          <cell r="I3567"/>
          <cell r="J3567">
            <v>0</v>
          </cell>
        </row>
        <row r="3568">
          <cell r="B3568" t="str">
            <v>7.4.01.02.01</v>
          </cell>
          <cell r="C3568" t="str">
            <v>Surplus Tukar Menukar Tanah-LO</v>
          </cell>
          <cell r="D3568"/>
          <cell r="E3568"/>
          <cell r="F3568">
            <v>0</v>
          </cell>
          <cell r="G3568">
            <v>0</v>
          </cell>
          <cell r="H3568">
            <v>0</v>
          </cell>
          <cell r="I3568">
            <v>0</v>
          </cell>
          <cell r="J3568">
            <v>0</v>
          </cell>
        </row>
        <row r="3569">
          <cell r="B3569" t="str">
            <v>7.4.01.02.02</v>
          </cell>
          <cell r="C3569" t="str">
            <v>Surplus Tukar Menukar Peralatan dan Mesin-LO</v>
          </cell>
          <cell r="D3569"/>
          <cell r="E3569"/>
          <cell r="F3569">
            <v>0</v>
          </cell>
          <cell r="G3569">
            <v>0</v>
          </cell>
          <cell r="H3569">
            <v>0</v>
          </cell>
          <cell r="I3569">
            <v>0</v>
          </cell>
          <cell r="J3569">
            <v>0</v>
          </cell>
        </row>
        <row r="3570">
          <cell r="B3570" t="str">
            <v>7.4.01.02.03</v>
          </cell>
          <cell r="C3570" t="str">
            <v>Surplus Tukar Menukar Gedung dan Bangunan-LO</v>
          </cell>
          <cell r="D3570"/>
          <cell r="E3570"/>
          <cell r="F3570">
            <v>0</v>
          </cell>
          <cell r="G3570">
            <v>0</v>
          </cell>
          <cell r="H3570">
            <v>0</v>
          </cell>
          <cell r="I3570">
            <v>0</v>
          </cell>
          <cell r="J3570">
            <v>0</v>
          </cell>
        </row>
        <row r="3571">
          <cell r="B3571" t="str">
            <v>7.4.01.02.04</v>
          </cell>
          <cell r="C3571" t="str">
            <v>Surplus Tukar Menukar Jalan, Jaringan dan Irigasi-LO</v>
          </cell>
          <cell r="D3571"/>
          <cell r="E3571"/>
          <cell r="F3571">
            <v>0</v>
          </cell>
          <cell r="G3571">
            <v>0</v>
          </cell>
          <cell r="H3571">
            <v>0</v>
          </cell>
          <cell r="I3571">
            <v>0</v>
          </cell>
          <cell r="J3571">
            <v>0</v>
          </cell>
        </row>
        <row r="3572">
          <cell r="B3572" t="str">
            <v>7.4.01.02.05</v>
          </cell>
          <cell r="C3572" t="str">
            <v>Surplus Tukar Menukar Aset Tetap Lainnya-LO</v>
          </cell>
          <cell r="D3572"/>
          <cell r="E3572"/>
          <cell r="F3572">
            <v>0</v>
          </cell>
          <cell r="G3572">
            <v>0</v>
          </cell>
          <cell r="H3572">
            <v>0</v>
          </cell>
          <cell r="I3572">
            <v>0</v>
          </cell>
          <cell r="J3572">
            <v>0</v>
          </cell>
        </row>
        <row r="3573">
          <cell r="B3573" t="str">
            <v>7.4.01.02.06</v>
          </cell>
          <cell r="C3573" t="str">
            <v>Surplus Tukar Menukar Aset Lainnya-LO</v>
          </cell>
          <cell r="D3573"/>
          <cell r="E3573"/>
          <cell r="F3573">
            <v>0</v>
          </cell>
          <cell r="G3573">
            <v>0</v>
          </cell>
          <cell r="H3573">
            <v>0</v>
          </cell>
          <cell r="I3573">
            <v>0</v>
          </cell>
          <cell r="J3573">
            <v>0</v>
          </cell>
        </row>
        <row r="3574">
          <cell r="B3574" t="str">
            <v>7.4.01.02.07</v>
          </cell>
          <cell r="C3574" t="str">
            <v>Surplus Tukar Menukar Aset Tidak Berwujud-LO</v>
          </cell>
          <cell r="D3574"/>
          <cell r="E3574"/>
          <cell r="F3574">
            <v>0</v>
          </cell>
          <cell r="G3574">
            <v>0</v>
          </cell>
          <cell r="H3574">
            <v>0</v>
          </cell>
          <cell r="I3574">
            <v>0</v>
          </cell>
          <cell r="J3574">
            <v>0</v>
          </cell>
        </row>
        <row r="3575">
          <cell r="B3575" t="str">
            <v>7.4.01.02.08</v>
          </cell>
          <cell r="C3575" t="str">
            <v>Surplus Tukar Menukar Aset Lain-Lain-LO</v>
          </cell>
          <cell r="D3575"/>
          <cell r="E3575"/>
          <cell r="F3575">
            <v>0</v>
          </cell>
          <cell r="G3575">
            <v>0</v>
          </cell>
          <cell r="H3575">
            <v>0</v>
          </cell>
          <cell r="I3575">
            <v>0</v>
          </cell>
          <cell r="J3575">
            <v>0</v>
          </cell>
        </row>
        <row r="3576">
          <cell r="B3576" t="str">
            <v>7.4.01.03</v>
          </cell>
          <cell r="C3576" t="str">
            <v>Surplus Pelepasan Investasi Jangka Panjang-LO</v>
          </cell>
          <cell r="D3576">
            <v>0</v>
          </cell>
          <cell r="E3576">
            <v>0</v>
          </cell>
          <cell r="F3576"/>
          <cell r="G3576"/>
          <cell r="H3576"/>
          <cell r="I3576"/>
          <cell r="J3576">
            <v>0</v>
          </cell>
        </row>
        <row r="3577">
          <cell r="B3577" t="str">
            <v>7.4.01.03.01</v>
          </cell>
          <cell r="C3577" t="str">
            <v>Surplus Pelepasan Investasi Jangka Panjang Non Permanen-LO</v>
          </cell>
          <cell r="D3577"/>
          <cell r="E3577"/>
          <cell r="F3577">
            <v>0</v>
          </cell>
          <cell r="G3577">
            <v>0</v>
          </cell>
          <cell r="H3577">
            <v>0</v>
          </cell>
          <cell r="I3577">
            <v>0</v>
          </cell>
          <cell r="J3577">
            <v>0</v>
          </cell>
        </row>
        <row r="3578">
          <cell r="B3578" t="str">
            <v>7.4.01.03.02</v>
          </cell>
          <cell r="C3578" t="str">
            <v>Surplus Pelepasan Investasi Jangka Panjang Permanen-LO</v>
          </cell>
          <cell r="D3578"/>
          <cell r="E3578"/>
          <cell r="F3578">
            <v>0</v>
          </cell>
          <cell r="G3578">
            <v>0</v>
          </cell>
          <cell r="H3578">
            <v>0</v>
          </cell>
          <cell r="I3578">
            <v>0</v>
          </cell>
          <cell r="J3578">
            <v>0</v>
          </cell>
        </row>
        <row r="3579">
          <cell r="B3579"/>
          <cell r="C3579"/>
          <cell r="D3579"/>
          <cell r="E3579"/>
          <cell r="F3579"/>
          <cell r="G3579"/>
          <cell r="H3579"/>
          <cell r="I3579"/>
          <cell r="J3579"/>
        </row>
        <row r="3580">
          <cell r="B3580" t="str">
            <v>7.4.02</v>
          </cell>
          <cell r="C3580" t="str">
            <v>Surplus Penyelesaian Kewajiban Jangka Panjang-LO</v>
          </cell>
          <cell r="D3580">
            <v>0</v>
          </cell>
          <cell r="E3580">
            <v>0</v>
          </cell>
          <cell r="F3580"/>
          <cell r="G3580"/>
          <cell r="H3580"/>
          <cell r="I3580"/>
          <cell r="J3580">
            <v>0</v>
          </cell>
        </row>
        <row r="3581">
          <cell r="B3581" t="str">
            <v>7.4.02.01</v>
          </cell>
          <cell r="C3581" t="str">
            <v>Surplus Penyelesaian Utang kepada Pemerintah Pusat-LO</v>
          </cell>
          <cell r="D3581">
            <v>0</v>
          </cell>
          <cell r="E3581">
            <v>0</v>
          </cell>
          <cell r="F3581"/>
          <cell r="G3581"/>
          <cell r="H3581"/>
          <cell r="I3581"/>
          <cell r="J3581">
            <v>0</v>
          </cell>
        </row>
        <row r="3582">
          <cell r="B3582" t="str">
            <v>7.4.02.01.01</v>
          </cell>
          <cell r="C3582" t="str">
            <v>Surplus Penyelesaian Utang kepada Pemerintah Pusat-Penerusan Pinjaman Dalam Negeri-Jangka Menengah-LO</v>
          </cell>
          <cell r="D3582"/>
          <cell r="E3582"/>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D3583"/>
          <cell r="E3583"/>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D3584"/>
          <cell r="E3584"/>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D3585"/>
          <cell r="E3585"/>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D3586"/>
          <cell r="E3586"/>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D3587"/>
          <cell r="E3587"/>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F3588"/>
          <cell r="G3588"/>
          <cell r="H3588"/>
          <cell r="I3588"/>
          <cell r="J3588">
            <v>0</v>
          </cell>
        </row>
        <row r="3589">
          <cell r="B3589" t="str">
            <v>7.4.02.02.01</v>
          </cell>
          <cell r="C3589" t="str">
            <v>Surplus Penyelesaian Utang kepada Lembaga Keuangan Bank (LKB)-BUMN-Jangka Menengah-LO</v>
          </cell>
          <cell r="D3589"/>
          <cell r="E3589"/>
          <cell r="F3589">
            <v>0</v>
          </cell>
          <cell r="G3589">
            <v>0</v>
          </cell>
          <cell r="H3589">
            <v>0</v>
          </cell>
          <cell r="I3589">
            <v>0</v>
          </cell>
          <cell r="J3589">
            <v>0</v>
          </cell>
        </row>
        <row r="3590">
          <cell r="B3590" t="str">
            <v>7.4.02.02.02</v>
          </cell>
          <cell r="C3590" t="str">
            <v>Surplus Penyelesaian Utang kepada Lembaga Keuangan Bank (LKB)-BUMN-Jangka Panjang-LO</v>
          </cell>
          <cell r="D3590"/>
          <cell r="E3590"/>
          <cell r="F3590">
            <v>0</v>
          </cell>
          <cell r="G3590">
            <v>0</v>
          </cell>
          <cell r="H3590">
            <v>0</v>
          </cell>
          <cell r="I3590">
            <v>0</v>
          </cell>
          <cell r="J3590">
            <v>0</v>
          </cell>
        </row>
        <row r="3591">
          <cell r="B3591" t="str">
            <v>7.4.02.02.03</v>
          </cell>
          <cell r="C3591" t="str">
            <v>Surplus Penyelesaian Utang kepada Lembaga Keuangan Bank (LKB)-BUMD-Jangka Menengah-LO</v>
          </cell>
          <cell r="D3591"/>
          <cell r="E3591"/>
          <cell r="F3591">
            <v>0</v>
          </cell>
          <cell r="G3591">
            <v>0</v>
          </cell>
          <cell r="H3591">
            <v>0</v>
          </cell>
          <cell r="I3591">
            <v>0</v>
          </cell>
          <cell r="J3591">
            <v>0</v>
          </cell>
        </row>
        <row r="3592">
          <cell r="B3592" t="str">
            <v>7.4.02.02.04</v>
          </cell>
          <cell r="C3592" t="str">
            <v>Surplus Penyelesaian Utang kepada Lembaga Keuangan Bank (LKB)-BUMD-Jangka Panjang-LO</v>
          </cell>
          <cell r="D3592"/>
          <cell r="E3592"/>
          <cell r="F3592">
            <v>0</v>
          </cell>
          <cell r="G3592">
            <v>0</v>
          </cell>
          <cell r="H3592">
            <v>0</v>
          </cell>
          <cell r="I3592">
            <v>0</v>
          </cell>
          <cell r="J3592">
            <v>0</v>
          </cell>
        </row>
        <row r="3593">
          <cell r="B3593" t="str">
            <v>7.4.02.02.05</v>
          </cell>
          <cell r="C3593" t="str">
            <v>Surplus Penyelesaian Utang kepada Lembaga Keuangan Bank (LKB)-Swasta-Jangka Menengah-LO</v>
          </cell>
          <cell r="D3593"/>
          <cell r="E3593"/>
          <cell r="F3593">
            <v>0</v>
          </cell>
          <cell r="G3593">
            <v>0</v>
          </cell>
          <cell r="H3593">
            <v>0</v>
          </cell>
          <cell r="I3593">
            <v>0</v>
          </cell>
          <cell r="J3593">
            <v>0</v>
          </cell>
        </row>
        <row r="3594">
          <cell r="B3594" t="str">
            <v>7.4.02.02.06</v>
          </cell>
          <cell r="C3594" t="str">
            <v>Surplus Penyelesaian Utang kepada Lembaga Keuangan Bank (LKB)-Swasta-Jangka Panjang-LO</v>
          </cell>
          <cell r="D3594"/>
          <cell r="E3594"/>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F3595"/>
          <cell r="G3595"/>
          <cell r="H3595"/>
          <cell r="I3595"/>
          <cell r="J3595">
            <v>0</v>
          </cell>
        </row>
        <row r="3596">
          <cell r="B3596" t="str">
            <v>7.4.02.03.01</v>
          </cell>
          <cell r="C3596" t="str">
            <v>Surplus Penyelesaian Utang kepada LKBB-BUMN-Jangka Menengah-LO</v>
          </cell>
          <cell r="D3596"/>
          <cell r="E3596"/>
          <cell r="F3596">
            <v>0</v>
          </cell>
          <cell r="G3596">
            <v>0</v>
          </cell>
          <cell r="H3596">
            <v>0</v>
          </cell>
          <cell r="I3596">
            <v>0</v>
          </cell>
          <cell r="J3596">
            <v>0</v>
          </cell>
        </row>
        <row r="3597">
          <cell r="B3597" t="str">
            <v>7.4.02.03.02</v>
          </cell>
          <cell r="C3597" t="str">
            <v>Surplus Penyelesaian Utang kepada LKBB-BUMN-Jangka Panjang-LO</v>
          </cell>
          <cell r="D3597"/>
          <cell r="E3597"/>
          <cell r="F3597">
            <v>0</v>
          </cell>
          <cell r="G3597">
            <v>0</v>
          </cell>
          <cell r="H3597">
            <v>0</v>
          </cell>
          <cell r="I3597">
            <v>0</v>
          </cell>
          <cell r="J3597">
            <v>0</v>
          </cell>
        </row>
        <row r="3598">
          <cell r="B3598" t="str">
            <v>7.4.02.03.03</v>
          </cell>
          <cell r="C3598" t="str">
            <v>Surplus Penyelesaian Utang kepada LKBB-BUMD-Jangka Menengah-LO</v>
          </cell>
          <cell r="D3598"/>
          <cell r="E3598"/>
          <cell r="F3598">
            <v>0</v>
          </cell>
          <cell r="G3598">
            <v>0</v>
          </cell>
          <cell r="H3598">
            <v>0</v>
          </cell>
          <cell r="I3598">
            <v>0</v>
          </cell>
          <cell r="J3598">
            <v>0</v>
          </cell>
        </row>
        <row r="3599">
          <cell r="B3599" t="str">
            <v>7.4.02.03.04</v>
          </cell>
          <cell r="C3599" t="str">
            <v>Surplus Penyelesaian Utang kepada LKBB-BUMD-Jangka Panjang-LO</v>
          </cell>
          <cell r="D3599"/>
          <cell r="E3599"/>
          <cell r="F3599">
            <v>0</v>
          </cell>
          <cell r="G3599">
            <v>0</v>
          </cell>
          <cell r="H3599">
            <v>0</v>
          </cell>
          <cell r="I3599">
            <v>0</v>
          </cell>
          <cell r="J3599">
            <v>0</v>
          </cell>
        </row>
        <row r="3600">
          <cell r="B3600" t="str">
            <v>7.4.02.03.05</v>
          </cell>
          <cell r="C3600" t="str">
            <v>Surplus Penyelesaian Utang kepada LKBB-Swasta-Jangka Menengah-LO</v>
          </cell>
          <cell r="D3600"/>
          <cell r="E3600"/>
          <cell r="F3600">
            <v>0</v>
          </cell>
          <cell r="G3600">
            <v>0</v>
          </cell>
          <cell r="H3600">
            <v>0</v>
          </cell>
          <cell r="I3600">
            <v>0</v>
          </cell>
          <cell r="J3600">
            <v>0</v>
          </cell>
        </row>
        <row r="3601">
          <cell r="B3601" t="str">
            <v>7.4.02.03.06</v>
          </cell>
          <cell r="C3601" t="str">
            <v>Surplus Penyelesaian Utang kepada LKBB-Swasta-Jangka Panjang-LO</v>
          </cell>
          <cell r="D3601"/>
          <cell r="E3601"/>
          <cell r="F3601">
            <v>0</v>
          </cell>
          <cell r="G3601">
            <v>0</v>
          </cell>
          <cell r="H3601">
            <v>0</v>
          </cell>
          <cell r="I3601">
            <v>0</v>
          </cell>
          <cell r="J3601">
            <v>0</v>
          </cell>
        </row>
        <row r="3602">
          <cell r="B3602" t="str">
            <v>7.4.02.04</v>
          </cell>
          <cell r="C3602" t="str">
            <v>Surplus Penyelesaian Premium (Diskonto) Obligasi-LO</v>
          </cell>
          <cell r="D3602">
            <v>0</v>
          </cell>
          <cell r="E3602">
            <v>0</v>
          </cell>
          <cell r="F3602"/>
          <cell r="G3602"/>
          <cell r="H3602"/>
          <cell r="I3602"/>
          <cell r="J3602">
            <v>0</v>
          </cell>
        </row>
        <row r="3603">
          <cell r="B3603" t="str">
            <v>7.4.02.04.01</v>
          </cell>
          <cell r="C3603" t="str">
            <v>Surplus Penyelesaian Premium (Diskonto) Obligasi-LO</v>
          </cell>
          <cell r="D3603"/>
          <cell r="E3603"/>
          <cell r="F3603">
            <v>0</v>
          </cell>
          <cell r="G3603">
            <v>0</v>
          </cell>
          <cell r="H3603">
            <v>0</v>
          </cell>
          <cell r="I3603">
            <v>0</v>
          </cell>
          <cell r="J3603">
            <v>0</v>
          </cell>
        </row>
        <row r="3604">
          <cell r="B3604" t="str">
            <v>7.4.02.05</v>
          </cell>
          <cell r="C3604" t="str">
            <v>Surplus Penyelesaian Pinjaman Daerah</v>
          </cell>
          <cell r="D3604">
            <v>0</v>
          </cell>
          <cell r="E3604">
            <v>0</v>
          </cell>
          <cell r="F3604"/>
          <cell r="G3604"/>
          <cell r="H3604"/>
          <cell r="I3604"/>
          <cell r="J3604">
            <v>0</v>
          </cell>
        </row>
        <row r="3605">
          <cell r="B3605" t="str">
            <v>7.4.02.05.01</v>
          </cell>
          <cell r="C3605" t="str">
            <v>Surplus Penyelesaian Pinjaman Daerah dari Pemerintah</v>
          </cell>
          <cell r="D3605"/>
          <cell r="E3605"/>
          <cell r="F3605">
            <v>0</v>
          </cell>
          <cell r="G3605">
            <v>0</v>
          </cell>
          <cell r="H3605">
            <v>0</v>
          </cell>
          <cell r="I3605">
            <v>0</v>
          </cell>
          <cell r="J3605">
            <v>0</v>
          </cell>
        </row>
        <row r="3606">
          <cell r="B3606" t="str">
            <v>7.4.02.05.02</v>
          </cell>
          <cell r="C3606" t="str">
            <v>Surplus Penyelesaian Pinjaman Daerah dari Pemerintah Daerah Lain</v>
          </cell>
          <cell r="D3606"/>
          <cell r="E3606"/>
          <cell r="F3606">
            <v>0</v>
          </cell>
          <cell r="G3606">
            <v>0</v>
          </cell>
          <cell r="H3606">
            <v>0</v>
          </cell>
          <cell r="I3606">
            <v>0</v>
          </cell>
          <cell r="J3606">
            <v>0</v>
          </cell>
        </row>
        <row r="3607">
          <cell r="B3607" t="str">
            <v>7.4.02.05.03</v>
          </cell>
          <cell r="C3607" t="str">
            <v>Surplus Penyelesaian Pinjaman Daerah dari Lembaga Keuangan Bank (LKB)</v>
          </cell>
          <cell r="D3607"/>
          <cell r="E3607"/>
          <cell r="F3607">
            <v>0</v>
          </cell>
          <cell r="G3607">
            <v>0</v>
          </cell>
          <cell r="H3607">
            <v>0</v>
          </cell>
          <cell r="I3607">
            <v>0</v>
          </cell>
          <cell r="J3607">
            <v>0</v>
          </cell>
        </row>
        <row r="3608">
          <cell r="B3608" t="str">
            <v>7.4.02.05.04</v>
          </cell>
          <cell r="C3608" t="str">
            <v>Surplus Penyelesaian Pinjaman Daerah dari Lembaga Keuangan Bukan Bank (LKBB)</v>
          </cell>
          <cell r="D3608"/>
          <cell r="E3608"/>
          <cell r="F3608">
            <v>0</v>
          </cell>
          <cell r="G3608">
            <v>0</v>
          </cell>
          <cell r="H3608">
            <v>0</v>
          </cell>
          <cell r="I3608">
            <v>0</v>
          </cell>
          <cell r="J3608">
            <v>0</v>
          </cell>
        </row>
        <row r="3609">
          <cell r="B3609" t="str">
            <v>7.4.02.06</v>
          </cell>
          <cell r="C3609" t="str">
            <v>Surplus Penyelesaian Obligasi Daerah</v>
          </cell>
          <cell r="D3609">
            <v>0</v>
          </cell>
          <cell r="E3609">
            <v>0</v>
          </cell>
          <cell r="F3609"/>
          <cell r="G3609"/>
          <cell r="H3609"/>
          <cell r="I3609"/>
          <cell r="J3609">
            <v>0</v>
          </cell>
        </row>
        <row r="3610">
          <cell r="B3610" t="str">
            <v>7.4.02.06.01</v>
          </cell>
          <cell r="C3610" t="str">
            <v>Surplus Penyelesaian Obligasi Daerah</v>
          </cell>
          <cell r="D3610"/>
          <cell r="E3610"/>
          <cell r="F3610">
            <v>0</v>
          </cell>
          <cell r="G3610">
            <v>0</v>
          </cell>
          <cell r="H3610">
            <v>0</v>
          </cell>
          <cell r="I3610">
            <v>0</v>
          </cell>
          <cell r="J3610">
            <v>0</v>
          </cell>
        </row>
        <row r="3611">
          <cell r="B3611" t="str">
            <v>7.4.02.07</v>
          </cell>
          <cell r="C3611" t="str">
            <v>Surplus Penyelesaian Sukuk Daerah</v>
          </cell>
          <cell r="D3611">
            <v>0</v>
          </cell>
          <cell r="E3611">
            <v>0</v>
          </cell>
          <cell r="F3611"/>
          <cell r="G3611"/>
          <cell r="H3611"/>
          <cell r="I3611"/>
          <cell r="J3611">
            <v>0</v>
          </cell>
        </row>
        <row r="3612">
          <cell r="B3612" t="str">
            <v>7.4.02.07.01</v>
          </cell>
          <cell r="C3612" t="str">
            <v>Surplus Penyelesaian Sukuk Daerah</v>
          </cell>
          <cell r="D3612"/>
          <cell r="E3612"/>
          <cell r="F3612">
            <v>0</v>
          </cell>
          <cell r="G3612">
            <v>0</v>
          </cell>
          <cell r="H3612">
            <v>0</v>
          </cell>
          <cell r="I3612">
            <v>0</v>
          </cell>
          <cell r="J3612">
            <v>0</v>
          </cell>
        </row>
        <row r="3613">
          <cell r="B3613"/>
          <cell r="C3613"/>
          <cell r="D3613"/>
          <cell r="E3613"/>
          <cell r="F3613"/>
          <cell r="G3613"/>
          <cell r="H3613"/>
          <cell r="I3613"/>
          <cell r="J3613"/>
        </row>
        <row r="3614">
          <cell r="B3614" t="str">
            <v>7.4.03</v>
          </cell>
          <cell r="C3614" t="str">
            <v>Surplus dari Kegiatan Non Operasional Lainnya-LO</v>
          </cell>
          <cell r="D3614">
            <v>0</v>
          </cell>
          <cell r="E3614">
            <v>0</v>
          </cell>
          <cell r="F3614"/>
          <cell r="G3614"/>
          <cell r="H3614"/>
          <cell r="I3614"/>
          <cell r="J3614">
            <v>1245688856</v>
          </cell>
        </row>
        <row r="3615">
          <cell r="B3615" t="str">
            <v>7.4.03.01</v>
          </cell>
          <cell r="C3615" t="str">
            <v>Surplus dari Kegiatan Non Operasional Lainnya-LO</v>
          </cell>
          <cell r="D3615">
            <v>0</v>
          </cell>
          <cell r="E3615">
            <v>0</v>
          </cell>
          <cell r="F3615"/>
          <cell r="G3615"/>
          <cell r="H3615"/>
          <cell r="I3615"/>
          <cell r="J3615">
            <v>0</v>
          </cell>
        </row>
        <row r="3616">
          <cell r="B3616" t="str">
            <v>7.4.03.01.01</v>
          </cell>
          <cell r="C3616" t="str">
            <v>Surplus dari Kegiatan Non Operasional Lainnya-LO</v>
          </cell>
          <cell r="D3616"/>
          <cell r="E3616"/>
          <cell r="F3616">
            <v>0</v>
          </cell>
          <cell r="G3616">
            <v>0</v>
          </cell>
          <cell r="H3616">
            <v>0</v>
          </cell>
          <cell r="I3616">
            <v>0</v>
          </cell>
          <cell r="J3616">
            <v>0</v>
          </cell>
        </row>
        <row r="3617">
          <cell r="B3617" t="str">
            <v>7.4.03.02</v>
          </cell>
          <cell r="C3617" t="str">
            <v>Surplus Pelepasan Investasi Jangka Pendek-LO</v>
          </cell>
          <cell r="D3617">
            <v>0</v>
          </cell>
          <cell r="E3617">
            <v>0</v>
          </cell>
          <cell r="F3617"/>
          <cell r="G3617"/>
          <cell r="H3617"/>
          <cell r="I3617"/>
          <cell r="J3617">
            <v>0</v>
          </cell>
        </row>
        <row r="3618">
          <cell r="B3618" t="str">
            <v>7.4.03.02.01</v>
          </cell>
          <cell r="C3618" t="str">
            <v>Surplus Pelepasan Investasi Jangka Pendek-LO</v>
          </cell>
          <cell r="D3618"/>
          <cell r="E3618"/>
          <cell r="F3618">
            <v>0</v>
          </cell>
          <cell r="G3618">
            <v>0</v>
          </cell>
          <cell r="H3618">
            <v>0</v>
          </cell>
          <cell r="I3618">
            <v>0</v>
          </cell>
          <cell r="J3618">
            <v>0</v>
          </cell>
        </row>
        <row r="3619">
          <cell r="B3619" t="str">
            <v>7.4.03.03</v>
          </cell>
          <cell r="C3619" t="str">
            <v>Surplus Non Operasional-Kenaikan Nilai Investasi-LO</v>
          </cell>
          <cell r="D3619">
            <v>0</v>
          </cell>
          <cell r="E3619">
            <v>0</v>
          </cell>
          <cell r="F3619"/>
          <cell r="G3619"/>
          <cell r="H3619"/>
          <cell r="I3619"/>
          <cell r="J3619">
            <v>1245688856</v>
          </cell>
        </row>
        <row r="3620">
          <cell r="B3620" t="str">
            <v>7.4.03.03.01</v>
          </cell>
          <cell r="C3620" t="str">
            <v>Surplus Non Operasional-Kenaikan Nilai Investasi-LO</v>
          </cell>
          <cell r="D3620"/>
          <cell r="E3620"/>
          <cell r="F3620">
            <v>0</v>
          </cell>
          <cell r="G3620">
            <v>1245688856</v>
          </cell>
          <cell r="H3620">
            <v>0</v>
          </cell>
          <cell r="I3620">
            <v>0</v>
          </cell>
          <cell r="J3620">
            <v>1245688856</v>
          </cell>
        </row>
        <row r="3621">
          <cell r="B3621"/>
          <cell r="C3621"/>
          <cell r="D3621"/>
          <cell r="E3621"/>
          <cell r="F3621"/>
          <cell r="G3621"/>
          <cell r="H3621"/>
          <cell r="I3621"/>
          <cell r="J3621"/>
        </row>
        <row r="3622">
          <cell r="B3622" t="str">
            <v>8.3</v>
          </cell>
          <cell r="C3622" t="str">
            <v>DEFISIT NON OPERASIONAL-LO</v>
          </cell>
          <cell r="D3622">
            <v>2162509692.9200001</v>
          </cell>
          <cell r="E3622">
            <v>364815119.98000002</v>
          </cell>
          <cell r="F3622"/>
          <cell r="G3622"/>
          <cell r="H3622"/>
          <cell r="I3622"/>
          <cell r="J3622">
            <v>349230684.98000002</v>
          </cell>
        </row>
        <row r="3623">
          <cell r="B3623" t="str">
            <v>8.3.01</v>
          </cell>
          <cell r="C3623" t="str">
            <v>Defisit Penjualan/Pertukaran/Pelepasan Aset Non Lancar-LO</v>
          </cell>
          <cell r="D3623">
            <v>1765159389</v>
          </cell>
          <cell r="E3623">
            <v>115107783</v>
          </cell>
          <cell r="F3623"/>
          <cell r="G3623"/>
          <cell r="H3623"/>
          <cell r="I3623"/>
          <cell r="J3623">
            <v>26061000</v>
          </cell>
        </row>
        <row r="3624">
          <cell r="B3624" t="str">
            <v>8.3.01.01</v>
          </cell>
          <cell r="C3624" t="str">
            <v>Defisit Penjualan BMD yang Tidak Dipisahkan-LO</v>
          </cell>
          <cell r="D3624">
            <v>1765159389</v>
          </cell>
          <cell r="E3624">
            <v>115107783</v>
          </cell>
          <cell r="F3624"/>
          <cell r="G3624"/>
          <cell r="H3624"/>
          <cell r="I3624"/>
          <cell r="J3624">
            <v>26061000</v>
          </cell>
        </row>
        <row r="3625">
          <cell r="B3625" t="str">
            <v>8.3.01.01.01</v>
          </cell>
          <cell r="C3625" t="str">
            <v>Defisit Penjualan Tanah-LO</v>
          </cell>
          <cell r="D3625">
            <v>0</v>
          </cell>
          <cell r="E3625">
            <v>0</v>
          </cell>
          <cell r="F3625">
            <v>0</v>
          </cell>
          <cell r="G3625">
            <v>0</v>
          </cell>
          <cell r="H3625">
            <v>0</v>
          </cell>
          <cell r="I3625">
            <v>0</v>
          </cell>
          <cell r="J3625">
            <v>0</v>
          </cell>
        </row>
        <row r="3626">
          <cell r="B3626" t="str">
            <v>8.3.01.01.02</v>
          </cell>
          <cell r="C3626" t="str">
            <v>Defisit Penjualan Peralatan dan Mesin-LO</v>
          </cell>
          <cell r="D3626">
            <v>0</v>
          </cell>
          <cell r="E3626">
            <v>0</v>
          </cell>
          <cell r="F3626">
            <v>0</v>
          </cell>
          <cell r="G3626">
            <v>0</v>
          </cell>
          <cell r="H3626">
            <v>0</v>
          </cell>
          <cell r="I3626">
            <v>0</v>
          </cell>
          <cell r="J3626">
            <v>0</v>
          </cell>
        </row>
        <row r="3627">
          <cell r="B3627" t="str">
            <v>8.3.01.01.03</v>
          </cell>
          <cell r="C3627" t="str">
            <v>Defisit Penjualan Gedung dan Bangunan-LO</v>
          </cell>
          <cell r="D3627">
            <v>0</v>
          </cell>
          <cell r="E3627">
            <v>0</v>
          </cell>
          <cell r="F3627">
            <v>26061000</v>
          </cell>
          <cell r="G3627">
            <v>0</v>
          </cell>
          <cell r="H3627">
            <v>0</v>
          </cell>
          <cell r="I3627">
            <v>0</v>
          </cell>
          <cell r="J3627">
            <v>26061000</v>
          </cell>
        </row>
        <row r="3628">
          <cell r="B3628" t="str">
            <v>8.3.01.01.04</v>
          </cell>
          <cell r="C3628" t="str">
            <v>Defisit Penjualan Jalan, Jaringan, dan Irigasi-LO</v>
          </cell>
          <cell r="D3628">
            <v>0</v>
          </cell>
          <cell r="E3628">
            <v>0</v>
          </cell>
          <cell r="F3628">
            <v>0</v>
          </cell>
          <cell r="G3628">
            <v>0</v>
          </cell>
          <cell r="H3628">
            <v>0</v>
          </cell>
          <cell r="I3628">
            <v>0</v>
          </cell>
          <cell r="J3628">
            <v>0</v>
          </cell>
        </row>
        <row r="3629">
          <cell r="B3629" t="str">
            <v>8.3.01.01.05</v>
          </cell>
          <cell r="C3629" t="str">
            <v>Defisit Penjualan Aset Tetap Lainnya-LO</v>
          </cell>
          <cell r="D3629">
            <v>0</v>
          </cell>
          <cell r="E3629">
            <v>0</v>
          </cell>
          <cell r="F3629">
            <v>0</v>
          </cell>
          <cell r="G3629">
            <v>0</v>
          </cell>
          <cell r="H3629">
            <v>0</v>
          </cell>
          <cell r="I3629">
            <v>0</v>
          </cell>
          <cell r="J3629">
            <v>0</v>
          </cell>
        </row>
        <row r="3630">
          <cell r="B3630" t="str">
            <v>8.3.01.01.06</v>
          </cell>
          <cell r="C3630" t="str">
            <v>Defisit Penjualan Aset Lainnya-LO</v>
          </cell>
          <cell r="D3630">
            <v>1765159389</v>
          </cell>
          <cell r="E3630">
            <v>115107783</v>
          </cell>
          <cell r="F3630">
            <v>0</v>
          </cell>
          <cell r="G3630">
            <v>0</v>
          </cell>
          <cell r="H3630">
            <v>0</v>
          </cell>
          <cell r="I3630">
            <v>0</v>
          </cell>
          <cell r="J3630">
            <v>115107783</v>
          </cell>
        </row>
        <row r="3631">
          <cell r="B3631" t="str">
            <v>8.3.01.01.07</v>
          </cell>
          <cell r="C3631" t="str">
            <v>Defisit Penjualan Aset Tidak Berwujud</v>
          </cell>
          <cell r="D3631">
            <v>0</v>
          </cell>
          <cell r="E3631">
            <v>0</v>
          </cell>
          <cell r="F3631">
            <v>0</v>
          </cell>
          <cell r="G3631">
            <v>0</v>
          </cell>
          <cell r="H3631">
            <v>0</v>
          </cell>
          <cell r="I3631">
            <v>0</v>
          </cell>
          <cell r="J3631">
            <v>0</v>
          </cell>
        </row>
        <row r="3632">
          <cell r="B3632" t="str">
            <v>8.3.01.01.08</v>
          </cell>
          <cell r="C3632" t="str">
            <v>Defisit Penjualan Aset Lain-Lain-LO</v>
          </cell>
          <cell r="D3632">
            <v>0</v>
          </cell>
          <cell r="E3632">
            <v>0</v>
          </cell>
          <cell r="F3632">
            <v>0</v>
          </cell>
          <cell r="G3632">
            <v>115107783</v>
          </cell>
          <cell r="H3632">
            <v>0</v>
          </cell>
          <cell r="I3632">
            <v>0</v>
          </cell>
          <cell r="J3632">
            <v>-115107783</v>
          </cell>
        </row>
        <row r="3633">
          <cell r="B3633" t="str">
            <v>8.3.01.02</v>
          </cell>
          <cell r="C3633" t="str">
            <v>Defisit Tukar Menukar BMD yang Tidak Dipisahkan-LO</v>
          </cell>
          <cell r="D3633">
            <v>0</v>
          </cell>
          <cell r="E3633">
            <v>0</v>
          </cell>
          <cell r="F3633"/>
          <cell r="G3633"/>
          <cell r="H3633"/>
          <cell r="I3633"/>
          <cell r="J3633">
            <v>0</v>
          </cell>
        </row>
        <row r="3634">
          <cell r="B3634" t="str">
            <v>8.3.01.02.01</v>
          </cell>
          <cell r="C3634" t="str">
            <v>Defisit Tukar Menukar Tanah-LO</v>
          </cell>
          <cell r="D3634">
            <v>0</v>
          </cell>
          <cell r="E3634">
            <v>0</v>
          </cell>
          <cell r="F3634">
            <v>0</v>
          </cell>
          <cell r="G3634">
            <v>0</v>
          </cell>
          <cell r="H3634">
            <v>0</v>
          </cell>
          <cell r="I3634">
            <v>0</v>
          </cell>
          <cell r="J3634">
            <v>0</v>
          </cell>
        </row>
        <row r="3635">
          <cell r="B3635" t="str">
            <v>8.3.01.02.02</v>
          </cell>
          <cell r="C3635" t="str">
            <v>Defisit Tukar Menukar Peralatan dan Mesin-LO</v>
          </cell>
          <cell r="D3635">
            <v>0</v>
          </cell>
          <cell r="E3635">
            <v>0</v>
          </cell>
          <cell r="F3635">
            <v>0</v>
          </cell>
          <cell r="G3635">
            <v>0</v>
          </cell>
          <cell r="H3635">
            <v>0</v>
          </cell>
          <cell r="I3635">
            <v>0</v>
          </cell>
          <cell r="J3635">
            <v>0</v>
          </cell>
        </row>
        <row r="3636">
          <cell r="B3636" t="str">
            <v>8.3.01.02.03</v>
          </cell>
          <cell r="C3636" t="str">
            <v>Defisit Tukar Menukar Gedung dan Bangunan-LO</v>
          </cell>
          <cell r="D3636">
            <v>0</v>
          </cell>
          <cell r="E3636">
            <v>0</v>
          </cell>
          <cell r="F3636">
            <v>0</v>
          </cell>
          <cell r="G3636">
            <v>0</v>
          </cell>
          <cell r="H3636">
            <v>0</v>
          </cell>
          <cell r="I3636">
            <v>0</v>
          </cell>
          <cell r="J3636">
            <v>0</v>
          </cell>
        </row>
        <row r="3637">
          <cell r="B3637" t="str">
            <v>8.3.01.02.04</v>
          </cell>
          <cell r="C3637" t="str">
            <v>Defisit Tukar Menukar Jalan, Jaringan dan Irigasi-LO</v>
          </cell>
          <cell r="D3637">
            <v>0</v>
          </cell>
          <cell r="E3637">
            <v>0</v>
          </cell>
          <cell r="F3637">
            <v>0</v>
          </cell>
          <cell r="G3637">
            <v>0</v>
          </cell>
          <cell r="H3637">
            <v>0</v>
          </cell>
          <cell r="I3637">
            <v>0</v>
          </cell>
          <cell r="J3637">
            <v>0</v>
          </cell>
        </row>
        <row r="3638">
          <cell r="B3638" t="str">
            <v>8.3.01.02.05</v>
          </cell>
          <cell r="C3638" t="str">
            <v>Defisit Tukar Menukar Aset Tetap Lainnya-LO</v>
          </cell>
          <cell r="D3638">
            <v>0</v>
          </cell>
          <cell r="E3638">
            <v>0</v>
          </cell>
          <cell r="F3638">
            <v>0</v>
          </cell>
          <cell r="G3638">
            <v>0</v>
          </cell>
          <cell r="H3638">
            <v>0</v>
          </cell>
          <cell r="I3638">
            <v>0</v>
          </cell>
          <cell r="J3638">
            <v>0</v>
          </cell>
        </row>
        <row r="3639">
          <cell r="B3639" t="str">
            <v>8.3.01.02.06</v>
          </cell>
          <cell r="C3639" t="str">
            <v>Defisit Tukar Menukar Aset Lainnya-LO</v>
          </cell>
          <cell r="D3639">
            <v>0</v>
          </cell>
          <cell r="E3639">
            <v>0</v>
          </cell>
          <cell r="F3639">
            <v>0</v>
          </cell>
          <cell r="G3639">
            <v>0</v>
          </cell>
          <cell r="H3639">
            <v>0</v>
          </cell>
          <cell r="I3639">
            <v>0</v>
          </cell>
          <cell r="J3639">
            <v>0</v>
          </cell>
        </row>
        <row r="3640">
          <cell r="B3640" t="str">
            <v>8.3.01.02.07</v>
          </cell>
          <cell r="C3640" t="str">
            <v>Defisit Tukar Menukar Aset Tidak Berwujud</v>
          </cell>
          <cell r="D3640">
            <v>0</v>
          </cell>
          <cell r="E3640">
            <v>0</v>
          </cell>
          <cell r="F3640">
            <v>0</v>
          </cell>
          <cell r="G3640">
            <v>0</v>
          </cell>
          <cell r="H3640">
            <v>0</v>
          </cell>
          <cell r="I3640">
            <v>0</v>
          </cell>
          <cell r="J3640">
            <v>0</v>
          </cell>
        </row>
        <row r="3641">
          <cell r="B3641" t="str">
            <v>8.3.01.02.08</v>
          </cell>
          <cell r="C3641" t="str">
            <v>Defisit Tukar Menukar Aset Lain-Lain-LO</v>
          </cell>
          <cell r="D3641">
            <v>0</v>
          </cell>
          <cell r="E3641">
            <v>0</v>
          </cell>
          <cell r="F3641">
            <v>0</v>
          </cell>
          <cell r="G3641">
            <v>0</v>
          </cell>
          <cell r="H3641">
            <v>0</v>
          </cell>
          <cell r="I3641">
            <v>0</v>
          </cell>
          <cell r="J3641">
            <v>0</v>
          </cell>
        </row>
        <row r="3642">
          <cell r="B3642" t="str">
            <v>8.3.01.03</v>
          </cell>
          <cell r="C3642" t="str">
            <v>Defisit Pelepasan Investasi Jangka Panjang-LO</v>
          </cell>
          <cell r="D3642">
            <v>0</v>
          </cell>
          <cell r="E3642">
            <v>0</v>
          </cell>
          <cell r="F3642"/>
          <cell r="G3642"/>
          <cell r="H3642"/>
          <cell r="I3642"/>
          <cell r="J3642">
            <v>0</v>
          </cell>
        </row>
        <row r="3643">
          <cell r="B3643" t="str">
            <v>8.3.01.03.01</v>
          </cell>
          <cell r="C3643" t="str">
            <v>Defisit Pelepasan Investasi Jangka Panjang Non Permanen-LO</v>
          </cell>
          <cell r="D3643">
            <v>0</v>
          </cell>
          <cell r="E3643">
            <v>0</v>
          </cell>
          <cell r="F3643">
            <v>0</v>
          </cell>
          <cell r="G3643">
            <v>0</v>
          </cell>
          <cell r="H3643">
            <v>0</v>
          </cell>
          <cell r="I3643">
            <v>0</v>
          </cell>
          <cell r="J3643">
            <v>0</v>
          </cell>
        </row>
        <row r="3644">
          <cell r="B3644" t="str">
            <v>8.3.01.03.02</v>
          </cell>
          <cell r="C3644" t="str">
            <v>Defisit Pelepasan Investasi Jangka Panjang Permanen-LO</v>
          </cell>
          <cell r="D3644">
            <v>0</v>
          </cell>
          <cell r="E3644">
            <v>0</v>
          </cell>
          <cell r="F3644">
            <v>0</v>
          </cell>
          <cell r="G3644">
            <v>0</v>
          </cell>
          <cell r="H3644">
            <v>0</v>
          </cell>
          <cell r="I3644">
            <v>0</v>
          </cell>
          <cell r="J3644">
            <v>0</v>
          </cell>
        </row>
        <row r="3645">
          <cell r="B3645" t="str">
            <v>8.3.01.04</v>
          </cell>
          <cell r="C3645" t="str">
            <v>Defisit Penghapusan BMD yang Tidak Dipisahkan-LO</v>
          </cell>
          <cell r="D3645">
            <v>0</v>
          </cell>
          <cell r="E3645">
            <v>0</v>
          </cell>
          <cell r="F3645"/>
          <cell r="G3645"/>
          <cell r="H3645"/>
          <cell r="I3645"/>
          <cell r="J3645">
            <v>0</v>
          </cell>
        </row>
        <row r="3646">
          <cell r="B3646" t="str">
            <v>8.3.01.04.01</v>
          </cell>
          <cell r="C3646" t="str">
            <v>Defisit Penghapusan Tanah-LO</v>
          </cell>
          <cell r="D3646">
            <v>0</v>
          </cell>
          <cell r="E3646">
            <v>0</v>
          </cell>
          <cell r="F3646">
            <v>0</v>
          </cell>
          <cell r="G3646">
            <v>0</v>
          </cell>
          <cell r="H3646">
            <v>0</v>
          </cell>
          <cell r="I3646">
            <v>0</v>
          </cell>
          <cell r="J3646">
            <v>0</v>
          </cell>
        </row>
        <row r="3647">
          <cell r="B3647" t="str">
            <v>8.3.01.04.02</v>
          </cell>
          <cell r="C3647" t="str">
            <v>Defisit Penghapusan Peralatan dan Mesin-LO</v>
          </cell>
          <cell r="D3647">
            <v>0</v>
          </cell>
          <cell r="E3647">
            <v>0</v>
          </cell>
          <cell r="F3647">
            <v>0</v>
          </cell>
          <cell r="G3647">
            <v>0</v>
          </cell>
          <cell r="H3647">
            <v>0</v>
          </cell>
          <cell r="I3647">
            <v>0</v>
          </cell>
          <cell r="J3647">
            <v>0</v>
          </cell>
        </row>
        <row r="3648">
          <cell r="B3648" t="str">
            <v>8.3.01.04.03</v>
          </cell>
          <cell r="C3648" t="str">
            <v>Defisit Penghapusan Gedung dan Bangunan-LO</v>
          </cell>
          <cell r="D3648">
            <v>0</v>
          </cell>
          <cell r="E3648">
            <v>0</v>
          </cell>
          <cell r="F3648">
            <v>0</v>
          </cell>
          <cell r="G3648">
            <v>0</v>
          </cell>
          <cell r="H3648">
            <v>0</v>
          </cell>
          <cell r="I3648">
            <v>0</v>
          </cell>
          <cell r="J3648">
            <v>0</v>
          </cell>
        </row>
        <row r="3649">
          <cell r="B3649" t="str">
            <v>8.3.01.04.04</v>
          </cell>
          <cell r="C3649" t="str">
            <v>Defisit Penghapusan Jalan, Jaringan, dan Irigasi-LO</v>
          </cell>
          <cell r="D3649">
            <v>0</v>
          </cell>
          <cell r="E3649">
            <v>0</v>
          </cell>
          <cell r="F3649">
            <v>0</v>
          </cell>
          <cell r="G3649">
            <v>0</v>
          </cell>
          <cell r="H3649">
            <v>0</v>
          </cell>
          <cell r="I3649">
            <v>0</v>
          </cell>
          <cell r="J3649">
            <v>0</v>
          </cell>
        </row>
        <row r="3650">
          <cell r="B3650" t="str">
            <v>8.3.01.04.05</v>
          </cell>
          <cell r="C3650" t="str">
            <v>Defisit Penghapusan Aset Tetap Lainnya-LO</v>
          </cell>
          <cell r="D3650">
            <v>0</v>
          </cell>
          <cell r="E3650">
            <v>0</v>
          </cell>
          <cell r="F3650">
            <v>0</v>
          </cell>
          <cell r="G3650">
            <v>0</v>
          </cell>
          <cell r="H3650">
            <v>0</v>
          </cell>
          <cell r="I3650">
            <v>0</v>
          </cell>
          <cell r="J3650">
            <v>0</v>
          </cell>
        </row>
        <row r="3651">
          <cell r="B3651" t="str">
            <v>8.3.01.04.06</v>
          </cell>
          <cell r="C3651" t="str">
            <v>Defisit Penghapusan Aset Lainnya-LO</v>
          </cell>
          <cell r="D3651">
            <v>0</v>
          </cell>
          <cell r="E3651">
            <v>0</v>
          </cell>
          <cell r="F3651">
            <v>0</v>
          </cell>
          <cell r="G3651">
            <v>0</v>
          </cell>
          <cell r="H3651">
            <v>0</v>
          </cell>
          <cell r="I3651">
            <v>0</v>
          </cell>
          <cell r="J3651">
            <v>0</v>
          </cell>
        </row>
        <row r="3652">
          <cell r="B3652" t="str">
            <v>8.3.01.04.07</v>
          </cell>
          <cell r="C3652" t="str">
            <v>Defisit Penghapusan Aset Tidak Berwujud</v>
          </cell>
          <cell r="D3652">
            <v>0</v>
          </cell>
          <cell r="E3652">
            <v>0</v>
          </cell>
          <cell r="F3652">
            <v>0</v>
          </cell>
          <cell r="G3652">
            <v>0</v>
          </cell>
          <cell r="H3652">
            <v>0</v>
          </cell>
          <cell r="I3652">
            <v>0</v>
          </cell>
          <cell r="J3652">
            <v>0</v>
          </cell>
        </row>
        <row r="3653">
          <cell r="B3653" t="str">
            <v>8.3.01.04.08</v>
          </cell>
          <cell r="C3653" t="str">
            <v>Defisit Penghapusan Aset Lain-Lain-LO</v>
          </cell>
          <cell r="D3653">
            <v>0</v>
          </cell>
          <cell r="E3653">
            <v>0</v>
          </cell>
          <cell r="F3653">
            <v>0</v>
          </cell>
          <cell r="G3653">
            <v>0</v>
          </cell>
          <cell r="H3653">
            <v>0</v>
          </cell>
          <cell r="I3653">
            <v>0</v>
          </cell>
          <cell r="J3653">
            <v>0</v>
          </cell>
        </row>
        <row r="3654">
          <cell r="B3654"/>
          <cell r="C3654"/>
          <cell r="D3654"/>
          <cell r="E3654"/>
          <cell r="F3654"/>
          <cell r="G3654"/>
          <cell r="H3654"/>
          <cell r="I3654"/>
          <cell r="J3654"/>
        </row>
        <row r="3655">
          <cell r="B3655" t="str">
            <v>8.3.02</v>
          </cell>
          <cell r="C3655" t="str">
            <v>Defisit Penyelesaian Kewajiban Jangka Panjang-LO</v>
          </cell>
          <cell r="D3655">
            <v>0</v>
          </cell>
          <cell r="E3655">
            <v>0</v>
          </cell>
          <cell r="F3655"/>
          <cell r="G3655"/>
          <cell r="H3655"/>
          <cell r="I3655"/>
          <cell r="J3655">
            <v>0</v>
          </cell>
        </row>
        <row r="3656">
          <cell r="B3656" t="str">
            <v>8.3.02.01</v>
          </cell>
          <cell r="C3656" t="str">
            <v>Defisit Penyelesaian Utang kepada Pemerintah Pusat-LO</v>
          </cell>
          <cell r="D3656">
            <v>0</v>
          </cell>
          <cell r="E3656">
            <v>0</v>
          </cell>
          <cell r="F3656"/>
          <cell r="G3656"/>
          <cell r="H3656"/>
          <cell r="I3656"/>
          <cell r="J3656">
            <v>0</v>
          </cell>
        </row>
        <row r="3657">
          <cell r="B3657" t="str">
            <v>8.3.02.01.01</v>
          </cell>
          <cell r="C3657" t="str">
            <v>Defisit Penyelesaian Utang kepada Pemerintah Pusat-Penerusan Pinjaman Dalam Negeri-Jangka Menengah-LO</v>
          </cell>
          <cell r="D3657">
            <v>0</v>
          </cell>
          <cell r="E3657">
            <v>0</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D3658">
            <v>0</v>
          </cell>
          <cell r="E3658">
            <v>0</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D3659">
            <v>0</v>
          </cell>
          <cell r="E3659">
            <v>0</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D3660">
            <v>0</v>
          </cell>
          <cell r="E3660">
            <v>0</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D3661">
            <v>0</v>
          </cell>
          <cell r="E3661">
            <v>0</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D3662">
            <v>0</v>
          </cell>
          <cell r="E3662">
            <v>0</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F3663"/>
          <cell r="G3663"/>
          <cell r="H3663"/>
          <cell r="I3663"/>
          <cell r="J3663">
            <v>0</v>
          </cell>
        </row>
        <row r="3664">
          <cell r="B3664" t="str">
            <v>8.3.02.02.01</v>
          </cell>
          <cell r="C3664" t="str">
            <v>Defisit Penyelesaian Utang kepada LKB-BUMN-Jangka Menengah-LO</v>
          </cell>
          <cell r="D3664">
            <v>0</v>
          </cell>
          <cell r="E3664">
            <v>0</v>
          </cell>
          <cell r="F3664">
            <v>0</v>
          </cell>
          <cell r="G3664">
            <v>0</v>
          </cell>
          <cell r="H3664">
            <v>0</v>
          </cell>
          <cell r="I3664">
            <v>0</v>
          </cell>
          <cell r="J3664">
            <v>0</v>
          </cell>
        </row>
        <row r="3665">
          <cell r="B3665" t="str">
            <v>8.3.02.02.02</v>
          </cell>
          <cell r="C3665" t="str">
            <v>Defisit Penyelesaian Utang kepada LKB-BUMN-Jangka Panjang-LO</v>
          </cell>
          <cell r="D3665">
            <v>0</v>
          </cell>
          <cell r="E3665">
            <v>0</v>
          </cell>
          <cell r="F3665">
            <v>0</v>
          </cell>
          <cell r="G3665">
            <v>0</v>
          </cell>
          <cell r="H3665">
            <v>0</v>
          </cell>
          <cell r="I3665">
            <v>0</v>
          </cell>
          <cell r="J3665">
            <v>0</v>
          </cell>
        </row>
        <row r="3666">
          <cell r="B3666" t="str">
            <v>8.3.02.02.03</v>
          </cell>
          <cell r="C3666" t="str">
            <v>Defisit Penyelesaian Utang kepada LKB-BUMD-Jangka Menengah-LO</v>
          </cell>
          <cell r="D3666">
            <v>0</v>
          </cell>
          <cell r="E3666">
            <v>0</v>
          </cell>
          <cell r="F3666">
            <v>0</v>
          </cell>
          <cell r="G3666">
            <v>0</v>
          </cell>
          <cell r="H3666">
            <v>0</v>
          </cell>
          <cell r="I3666">
            <v>0</v>
          </cell>
          <cell r="J3666">
            <v>0</v>
          </cell>
        </row>
        <row r="3667">
          <cell r="B3667" t="str">
            <v>8.3.02.02.04</v>
          </cell>
          <cell r="C3667" t="str">
            <v>Defisit Penyelesaian Utang kepada LKB-BUMD-Jangka Panjang-LO</v>
          </cell>
          <cell r="D3667">
            <v>0</v>
          </cell>
          <cell r="E3667">
            <v>0</v>
          </cell>
          <cell r="F3667">
            <v>0</v>
          </cell>
          <cell r="G3667">
            <v>0</v>
          </cell>
          <cell r="H3667">
            <v>0</v>
          </cell>
          <cell r="I3667">
            <v>0</v>
          </cell>
          <cell r="J3667">
            <v>0</v>
          </cell>
        </row>
        <row r="3668">
          <cell r="B3668" t="str">
            <v>8.3.02.02.05</v>
          </cell>
          <cell r="C3668" t="str">
            <v>Defisit Penyelesaian Utang kepada LKB-Swasta-Jangka Menengah-LO</v>
          </cell>
          <cell r="D3668">
            <v>0</v>
          </cell>
          <cell r="E3668">
            <v>0</v>
          </cell>
          <cell r="F3668">
            <v>0</v>
          </cell>
          <cell r="G3668">
            <v>0</v>
          </cell>
          <cell r="H3668">
            <v>0</v>
          </cell>
          <cell r="I3668">
            <v>0</v>
          </cell>
          <cell r="J3668">
            <v>0</v>
          </cell>
        </row>
        <row r="3669">
          <cell r="B3669" t="str">
            <v>8.3.02.02.06</v>
          </cell>
          <cell r="C3669" t="str">
            <v>Defisit Penyelesaian Utang kepada LKB-Swasta-Jangka Panjang-LO</v>
          </cell>
          <cell r="D3669">
            <v>0</v>
          </cell>
          <cell r="E3669">
            <v>0</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F3670"/>
          <cell r="G3670"/>
          <cell r="H3670"/>
          <cell r="I3670"/>
          <cell r="J3670">
            <v>0</v>
          </cell>
        </row>
        <row r="3671">
          <cell r="B3671" t="str">
            <v>8.3.02.03.01</v>
          </cell>
          <cell r="C3671" t="str">
            <v>Defisit Penyelesaian Utang kepada Lembaga Keuangan Bukan Bank (LKBB)-BUMN-Jangka Menengah-LO</v>
          </cell>
          <cell r="D3671">
            <v>0</v>
          </cell>
          <cell r="E3671">
            <v>0</v>
          </cell>
          <cell r="F3671">
            <v>0</v>
          </cell>
          <cell r="G3671">
            <v>0</v>
          </cell>
          <cell r="H3671">
            <v>0</v>
          </cell>
          <cell r="I3671">
            <v>0</v>
          </cell>
          <cell r="J3671">
            <v>0</v>
          </cell>
        </row>
        <row r="3672">
          <cell r="B3672" t="str">
            <v>8.3.02.03.02</v>
          </cell>
          <cell r="C3672" t="str">
            <v>Defisit Penyelesaian Utang kepada Lembaga Keuangan Bukan Bank (LKBB)-BUMN-Jangka Panjang-LO</v>
          </cell>
          <cell r="D3672">
            <v>0</v>
          </cell>
          <cell r="E3672">
            <v>0</v>
          </cell>
          <cell r="F3672">
            <v>0</v>
          </cell>
          <cell r="G3672">
            <v>0</v>
          </cell>
          <cell r="H3672">
            <v>0</v>
          </cell>
          <cell r="I3672">
            <v>0</v>
          </cell>
          <cell r="J3672">
            <v>0</v>
          </cell>
        </row>
        <row r="3673">
          <cell r="B3673" t="str">
            <v>8.3.02.03.03</v>
          </cell>
          <cell r="C3673" t="str">
            <v>Defisit Penyelesaian Utang kepada Lembaga Keuangan Bukan Bank (LKBB)-BUMD-Jangka Menengah-LO</v>
          </cell>
          <cell r="D3673">
            <v>0</v>
          </cell>
          <cell r="E3673">
            <v>0</v>
          </cell>
          <cell r="F3673">
            <v>0</v>
          </cell>
          <cell r="G3673">
            <v>0</v>
          </cell>
          <cell r="H3673">
            <v>0</v>
          </cell>
          <cell r="I3673">
            <v>0</v>
          </cell>
          <cell r="J3673">
            <v>0</v>
          </cell>
        </row>
        <row r="3674">
          <cell r="B3674" t="str">
            <v>8.3.02.03.04</v>
          </cell>
          <cell r="C3674" t="str">
            <v>Defisit Penyelesaian Utang kepada Lembaga Keuangan Bukan Bank (LKBB)-BUMD-Jangka Panjang-LO</v>
          </cell>
          <cell r="D3674">
            <v>0</v>
          </cell>
          <cell r="E3674">
            <v>0</v>
          </cell>
          <cell r="F3674">
            <v>0</v>
          </cell>
          <cell r="G3674">
            <v>0</v>
          </cell>
          <cell r="H3674">
            <v>0</v>
          </cell>
          <cell r="I3674">
            <v>0</v>
          </cell>
          <cell r="J3674">
            <v>0</v>
          </cell>
        </row>
        <row r="3675">
          <cell r="B3675" t="str">
            <v>8.3.02.03.05</v>
          </cell>
          <cell r="C3675" t="str">
            <v>Defisit Penyelesaian Utang kepada Lembaga Keuangan Bukan Bank (LKBB)-Swasta-Jangka Menengah-LO</v>
          </cell>
          <cell r="D3675">
            <v>0</v>
          </cell>
          <cell r="E3675">
            <v>0</v>
          </cell>
          <cell r="F3675">
            <v>0</v>
          </cell>
          <cell r="G3675">
            <v>0</v>
          </cell>
          <cell r="H3675">
            <v>0</v>
          </cell>
          <cell r="I3675">
            <v>0</v>
          </cell>
          <cell r="J3675">
            <v>0</v>
          </cell>
        </row>
        <row r="3676">
          <cell r="B3676" t="str">
            <v>8.3.02.04</v>
          </cell>
          <cell r="C3676" t="str">
            <v>Defisit Penyelesaian Pinjaman Daerah</v>
          </cell>
          <cell r="D3676">
            <v>0</v>
          </cell>
          <cell r="E3676">
            <v>0</v>
          </cell>
          <cell r="F3676"/>
          <cell r="G3676"/>
          <cell r="H3676"/>
          <cell r="I3676"/>
          <cell r="J3676">
            <v>0</v>
          </cell>
        </row>
        <row r="3677">
          <cell r="B3677" t="str">
            <v>8.3.02.04.01</v>
          </cell>
          <cell r="C3677" t="str">
            <v>Defisit Penyelesaian Pinjaman Daerah dari Pemerintah</v>
          </cell>
          <cell r="D3677">
            <v>0</v>
          </cell>
          <cell r="E3677">
            <v>0</v>
          </cell>
          <cell r="F3677">
            <v>0</v>
          </cell>
          <cell r="G3677">
            <v>0</v>
          </cell>
          <cell r="H3677">
            <v>0</v>
          </cell>
          <cell r="I3677">
            <v>0</v>
          </cell>
          <cell r="J3677">
            <v>0</v>
          </cell>
        </row>
        <row r="3678">
          <cell r="B3678" t="str">
            <v>8.3.02.04.02</v>
          </cell>
          <cell r="C3678" t="str">
            <v>Defisit Penyelesaian Pinjaman Daerah dari Pemerintah Daerah Lain</v>
          </cell>
          <cell r="D3678">
            <v>0</v>
          </cell>
          <cell r="E3678">
            <v>0</v>
          </cell>
          <cell r="F3678">
            <v>0</v>
          </cell>
          <cell r="G3678">
            <v>0</v>
          </cell>
          <cell r="H3678">
            <v>0</v>
          </cell>
          <cell r="I3678">
            <v>0</v>
          </cell>
          <cell r="J3678">
            <v>0</v>
          </cell>
        </row>
        <row r="3679">
          <cell r="B3679" t="str">
            <v>8.3.02.04.03</v>
          </cell>
          <cell r="C3679" t="str">
            <v>Defisit Penyelesaian Pinjaman Daerah dari Lembaga Keuangan Bank (LKB)</v>
          </cell>
          <cell r="D3679">
            <v>0</v>
          </cell>
          <cell r="E3679">
            <v>0</v>
          </cell>
          <cell r="F3679">
            <v>0</v>
          </cell>
          <cell r="G3679">
            <v>0</v>
          </cell>
          <cell r="H3679">
            <v>0</v>
          </cell>
          <cell r="I3679">
            <v>0</v>
          </cell>
          <cell r="J3679">
            <v>0</v>
          </cell>
        </row>
        <row r="3680">
          <cell r="B3680" t="str">
            <v>8.3.02.04.04</v>
          </cell>
          <cell r="C3680" t="str">
            <v>Defisit Penyelesaian Pinjaman Daerah dari Lembaga Keuangan Bukan Bank (LKBB)</v>
          </cell>
          <cell r="D3680">
            <v>0</v>
          </cell>
          <cell r="E3680">
            <v>0</v>
          </cell>
          <cell r="F3680">
            <v>0</v>
          </cell>
          <cell r="G3680">
            <v>0</v>
          </cell>
          <cell r="H3680">
            <v>0</v>
          </cell>
          <cell r="I3680">
            <v>0</v>
          </cell>
          <cell r="J3680">
            <v>0</v>
          </cell>
        </row>
        <row r="3681">
          <cell r="B3681" t="str">
            <v>8.3.02.05</v>
          </cell>
          <cell r="C3681" t="str">
            <v>Defisit Penyelesaian Obligasi Daerah</v>
          </cell>
          <cell r="D3681">
            <v>0</v>
          </cell>
          <cell r="E3681">
            <v>0</v>
          </cell>
          <cell r="F3681"/>
          <cell r="G3681"/>
          <cell r="H3681"/>
          <cell r="I3681"/>
          <cell r="J3681">
            <v>0</v>
          </cell>
        </row>
        <row r="3682">
          <cell r="B3682" t="str">
            <v>8.3.02.05.01</v>
          </cell>
          <cell r="C3682" t="str">
            <v>Defisit Penyelesaian Obligasi Daerah</v>
          </cell>
          <cell r="D3682">
            <v>0</v>
          </cell>
          <cell r="E3682">
            <v>0</v>
          </cell>
          <cell r="F3682">
            <v>0</v>
          </cell>
          <cell r="G3682">
            <v>0</v>
          </cell>
          <cell r="H3682">
            <v>0</v>
          </cell>
          <cell r="I3682">
            <v>0</v>
          </cell>
          <cell r="J3682">
            <v>0</v>
          </cell>
        </row>
        <row r="3683">
          <cell r="B3683" t="str">
            <v>8.3.02.06</v>
          </cell>
          <cell r="C3683" t="str">
            <v>Defisit Penyelesaian Sukuk Daerah</v>
          </cell>
          <cell r="D3683">
            <v>0</v>
          </cell>
          <cell r="E3683">
            <v>0</v>
          </cell>
          <cell r="F3683"/>
          <cell r="G3683"/>
          <cell r="H3683"/>
          <cell r="I3683"/>
          <cell r="J3683">
            <v>0</v>
          </cell>
        </row>
        <row r="3684">
          <cell r="B3684" t="str">
            <v>8.3.02.06.01</v>
          </cell>
          <cell r="C3684" t="str">
            <v>Defisit Penyelesaian Sukuk Daerah</v>
          </cell>
          <cell r="D3684">
            <v>0</v>
          </cell>
          <cell r="E3684">
            <v>0</v>
          </cell>
          <cell r="F3684">
            <v>0</v>
          </cell>
          <cell r="G3684">
            <v>0</v>
          </cell>
          <cell r="H3684">
            <v>0</v>
          </cell>
          <cell r="I3684">
            <v>0</v>
          </cell>
          <cell r="J3684">
            <v>0</v>
          </cell>
        </row>
        <row r="3685">
          <cell r="B3685"/>
          <cell r="C3685"/>
          <cell r="D3685"/>
          <cell r="E3685"/>
          <cell r="F3685"/>
          <cell r="G3685"/>
          <cell r="H3685"/>
          <cell r="I3685"/>
          <cell r="J3685"/>
        </row>
        <row r="3686">
          <cell r="B3686" t="str">
            <v>8.3.03</v>
          </cell>
          <cell r="C3686" t="str">
            <v>Defisit dari Kegiatan Non Operasional Lainnya-LO</v>
          </cell>
          <cell r="D3686">
            <v>397350303.92000002</v>
          </cell>
          <cell r="E3686">
            <v>249707336.97999999</v>
          </cell>
          <cell r="F3686"/>
          <cell r="G3686"/>
          <cell r="H3686"/>
          <cell r="I3686"/>
          <cell r="J3686">
            <v>323169684.98000002</v>
          </cell>
        </row>
        <row r="3687">
          <cell r="B3687" t="str">
            <v>8.3.03.01</v>
          </cell>
          <cell r="C3687" t="str">
            <v>Defisit dari Kegiatan Non Operasional Lainnya-LO</v>
          </cell>
          <cell r="D3687">
            <v>397350303.92000002</v>
          </cell>
          <cell r="E3687">
            <v>249707336.97999999</v>
          </cell>
          <cell r="F3687"/>
          <cell r="G3687"/>
          <cell r="H3687"/>
          <cell r="I3687"/>
          <cell r="J3687">
            <v>249707336.97999999</v>
          </cell>
        </row>
        <row r="3688">
          <cell r="B3688" t="str">
            <v>8.3.03.01.01</v>
          </cell>
          <cell r="C3688" t="str">
            <v>Defisit dari Kegiatan Non Operasional Lainnya-LO</v>
          </cell>
          <cell r="D3688">
            <v>397350303.92000002</v>
          </cell>
          <cell r="E3688">
            <v>249707336.97999999</v>
          </cell>
          <cell r="F3688">
            <v>0</v>
          </cell>
          <cell r="G3688">
            <v>0</v>
          </cell>
          <cell r="H3688">
            <v>0</v>
          </cell>
          <cell r="I3688">
            <v>0</v>
          </cell>
          <cell r="J3688">
            <v>249707336.97999999</v>
          </cell>
        </row>
        <row r="3689">
          <cell r="B3689" t="str">
            <v>8.3.03.02</v>
          </cell>
          <cell r="C3689" t="str">
            <v>Defisit Pelepasan Investasi Jangka Pendek-LO</v>
          </cell>
          <cell r="D3689">
            <v>0</v>
          </cell>
          <cell r="E3689">
            <v>0</v>
          </cell>
          <cell r="F3689"/>
          <cell r="G3689"/>
          <cell r="H3689"/>
          <cell r="I3689"/>
          <cell r="J3689">
            <v>0</v>
          </cell>
        </row>
        <row r="3690">
          <cell r="B3690" t="str">
            <v>8.3.03.02.01</v>
          </cell>
          <cell r="C3690" t="str">
            <v>Defisit Pelepasan Investasi Jangka Pendek-LO</v>
          </cell>
          <cell r="D3690">
            <v>0</v>
          </cell>
          <cell r="E3690">
            <v>0</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F3691"/>
          <cell r="G3691"/>
          <cell r="H3691"/>
          <cell r="I3691"/>
          <cell r="J3691">
            <v>73462348</v>
          </cell>
        </row>
        <row r="3692">
          <cell r="B3692" t="str">
            <v>8.3.03.03.01</v>
          </cell>
          <cell r="C3692" t="str">
            <v>Defisit Non Operasional-Penurunan Nilai Investasi-LO</v>
          </cell>
          <cell r="D3692">
            <v>0</v>
          </cell>
          <cell r="E3692">
            <v>0</v>
          </cell>
          <cell r="F3692">
            <v>73462348</v>
          </cell>
          <cell r="G3692">
            <v>0</v>
          </cell>
          <cell r="H3692">
            <v>0</v>
          </cell>
          <cell r="I3692">
            <v>0</v>
          </cell>
          <cell r="J3692">
            <v>73462348</v>
          </cell>
        </row>
        <row r="3693">
          <cell r="B3693"/>
          <cell r="C3693"/>
          <cell r="D3693"/>
          <cell r="E3693"/>
          <cell r="F3693"/>
          <cell r="G3693"/>
          <cell r="H3693"/>
          <cell r="I3693"/>
          <cell r="J3693"/>
        </row>
        <row r="3694">
          <cell r="B3694" t="str">
            <v>LO</v>
          </cell>
          <cell r="C3694" t="str">
            <v>SURPLUS/(DEFISIT) DARI KEGIATAN NON OPERASIONAL</v>
          </cell>
          <cell r="D3694">
            <v>-2162509692.9200001</v>
          </cell>
          <cell r="E3694">
            <v>-364815119.98000002</v>
          </cell>
          <cell r="F3694"/>
          <cell r="G3694"/>
          <cell r="H3694"/>
          <cell r="I3694"/>
          <cell r="J3694">
            <v>1240528282.02</v>
          </cell>
        </row>
        <row r="3695">
          <cell r="B3695"/>
          <cell r="C3695"/>
          <cell r="D3695"/>
          <cell r="E3695"/>
          <cell r="F3695"/>
          <cell r="G3695"/>
          <cell r="H3695"/>
          <cell r="I3695"/>
          <cell r="J3695"/>
        </row>
        <row r="3696">
          <cell r="B3696" t="str">
            <v>LO</v>
          </cell>
          <cell r="C3696" t="str">
            <v>SURPLUS/(DEFISIT) SEBELUM POS LUAR BIASA</v>
          </cell>
          <cell r="D3696">
            <v>-6946472844.1800098</v>
          </cell>
          <cell r="E3696">
            <v>753437831491.19995</v>
          </cell>
          <cell r="F3696"/>
          <cell r="G3696"/>
          <cell r="H3696"/>
          <cell r="I3696"/>
          <cell r="J3696">
            <v>768173148937.77002</v>
          </cell>
        </row>
        <row r="3697">
          <cell r="B3697"/>
          <cell r="C3697"/>
          <cell r="D3697"/>
          <cell r="E3697"/>
          <cell r="F3697"/>
          <cell r="G3697"/>
          <cell r="H3697"/>
          <cell r="I3697"/>
          <cell r="J3697"/>
        </row>
        <row r="3698">
          <cell r="B3698" t="str">
            <v>7.5</v>
          </cell>
          <cell r="C3698" t="str">
            <v>PENDAPATAN LUAR BIASA-LO</v>
          </cell>
          <cell r="D3698">
            <v>0</v>
          </cell>
          <cell r="E3698">
            <v>0</v>
          </cell>
          <cell r="F3698"/>
          <cell r="G3698"/>
          <cell r="H3698"/>
          <cell r="I3698"/>
          <cell r="J3698">
            <v>0</v>
          </cell>
        </row>
        <row r="3699">
          <cell r="B3699" t="str">
            <v>7.5.01</v>
          </cell>
          <cell r="C3699" t="str">
            <v>Pendapatan Luar Biasa-LO</v>
          </cell>
          <cell r="D3699">
            <v>0</v>
          </cell>
          <cell r="E3699">
            <v>0</v>
          </cell>
          <cell r="F3699"/>
          <cell r="G3699"/>
          <cell r="H3699"/>
          <cell r="I3699"/>
          <cell r="J3699">
            <v>0</v>
          </cell>
        </row>
        <row r="3700">
          <cell r="B3700" t="str">
            <v>7.5.01.01</v>
          </cell>
          <cell r="C3700" t="str">
            <v>Pendapatan Luar Biasa-LO</v>
          </cell>
          <cell r="D3700">
            <v>0</v>
          </cell>
          <cell r="E3700">
            <v>0</v>
          </cell>
          <cell r="F3700"/>
          <cell r="G3700"/>
          <cell r="H3700"/>
          <cell r="I3700"/>
          <cell r="J3700">
            <v>0</v>
          </cell>
        </row>
        <row r="3701">
          <cell r="B3701" t="str">
            <v>7.5.01.01.01</v>
          </cell>
          <cell r="C3701" t="str">
            <v>Pendapatan Luar Biasa-LO</v>
          </cell>
          <cell r="D3701"/>
          <cell r="E3701"/>
          <cell r="F3701">
            <v>0</v>
          </cell>
          <cell r="G3701">
            <v>0</v>
          </cell>
          <cell r="H3701">
            <v>0</v>
          </cell>
          <cell r="I3701">
            <v>0</v>
          </cell>
          <cell r="J3701">
            <v>0</v>
          </cell>
        </row>
        <row r="3702">
          <cell r="B3702"/>
          <cell r="C3702"/>
          <cell r="D3702"/>
          <cell r="E3702"/>
          <cell r="F3702"/>
          <cell r="G3702"/>
          <cell r="H3702"/>
          <cell r="I3702"/>
          <cell r="J3702"/>
        </row>
        <row r="3703">
          <cell r="B3703" t="str">
            <v>8.4</v>
          </cell>
          <cell r="C3703" t="str">
            <v>BEBAN LUAR BIASA</v>
          </cell>
          <cell r="D3703">
            <v>3364608300</v>
          </cell>
          <cell r="E3703">
            <v>2043118598</v>
          </cell>
          <cell r="F3703"/>
          <cell r="G3703"/>
          <cell r="H3703"/>
          <cell r="I3703"/>
          <cell r="J3703">
            <v>2043118598</v>
          </cell>
        </row>
        <row r="3704">
          <cell r="B3704" t="str">
            <v>8.4.01</v>
          </cell>
          <cell r="C3704" t="str">
            <v>Beban Luar Biasa</v>
          </cell>
          <cell r="D3704">
            <v>3364608300</v>
          </cell>
          <cell r="E3704">
            <v>2043118598</v>
          </cell>
          <cell r="F3704"/>
          <cell r="G3704"/>
          <cell r="H3704"/>
          <cell r="I3704"/>
          <cell r="J3704">
            <v>2043118598</v>
          </cell>
        </row>
        <row r="3705">
          <cell r="B3705" t="str">
            <v>8.4.01.01</v>
          </cell>
          <cell r="C3705" t="str">
            <v>Beban Tidak Terduga</v>
          </cell>
          <cell r="D3705">
            <v>3364608300</v>
          </cell>
          <cell r="E3705">
            <v>2043118598</v>
          </cell>
          <cell r="F3705"/>
          <cell r="G3705"/>
          <cell r="H3705"/>
          <cell r="I3705"/>
          <cell r="J3705">
            <v>2043118598</v>
          </cell>
        </row>
        <row r="3706">
          <cell r="B3706" t="str">
            <v>8.4.01.01.01</v>
          </cell>
          <cell r="C3706" t="str">
            <v>Beban Tidak Terduga</v>
          </cell>
          <cell r="D3706">
            <v>3364608300</v>
          </cell>
          <cell r="E3706">
            <v>2043118598</v>
          </cell>
          <cell r="F3706">
            <v>0</v>
          </cell>
          <cell r="G3706">
            <v>0</v>
          </cell>
          <cell r="H3706">
            <v>0</v>
          </cell>
          <cell r="I3706">
            <v>0</v>
          </cell>
          <cell r="J3706">
            <v>2043118598</v>
          </cell>
        </row>
        <row r="3707">
          <cell r="B3707" t="str">
            <v>8.4.01.02</v>
          </cell>
          <cell r="C3707" t="str">
            <v>Beban Luar Biasa Lainnya</v>
          </cell>
          <cell r="D3707">
            <v>0</v>
          </cell>
          <cell r="E3707">
            <v>0</v>
          </cell>
          <cell r="F3707"/>
          <cell r="G3707"/>
          <cell r="H3707"/>
          <cell r="I3707"/>
          <cell r="J3707">
            <v>0</v>
          </cell>
        </row>
        <row r="3708">
          <cell r="B3708" t="str">
            <v>8.4.01.02.01</v>
          </cell>
          <cell r="C3708" t="str">
            <v>Beban Luar Biasa Lainnya</v>
          </cell>
          <cell r="D3708">
            <v>0</v>
          </cell>
          <cell r="E3708">
            <v>0</v>
          </cell>
          <cell r="F3708">
            <v>0</v>
          </cell>
          <cell r="G3708">
            <v>0</v>
          </cell>
          <cell r="H3708">
            <v>0</v>
          </cell>
          <cell r="I3708">
            <v>0</v>
          </cell>
          <cell r="J3708">
            <v>0</v>
          </cell>
        </row>
        <row r="3709">
          <cell r="B3709"/>
          <cell r="C3709"/>
          <cell r="D3709"/>
          <cell r="E3709"/>
          <cell r="F3709"/>
          <cell r="G3709"/>
          <cell r="H3709"/>
          <cell r="I3709"/>
          <cell r="J3709"/>
        </row>
        <row r="3710">
          <cell r="B3710" t="str">
            <v>LO</v>
          </cell>
          <cell r="C3710" t="str">
            <v>SURPLUS/(DEFISIT) DARI POS LUAR BIASA</v>
          </cell>
          <cell r="D3710">
            <v>-3364608300</v>
          </cell>
          <cell r="E3710">
            <v>-2043118598</v>
          </cell>
          <cell r="F3710"/>
          <cell r="G3710"/>
          <cell r="H3710"/>
          <cell r="I3710"/>
          <cell r="J3710">
            <v>-2043118598</v>
          </cell>
        </row>
        <row r="3711">
          <cell r="B3711"/>
          <cell r="C3711"/>
          <cell r="D3711"/>
          <cell r="E3711"/>
          <cell r="F3711"/>
          <cell r="G3711"/>
          <cell r="H3711"/>
          <cell r="I3711"/>
          <cell r="J3711"/>
        </row>
        <row r="3712">
          <cell r="B3712" t="str">
            <v>LO</v>
          </cell>
          <cell r="C3712" t="str">
            <v>SURPLUS/(DEFISIT)-LO</v>
          </cell>
          <cell r="D3712">
            <v>-10311081144.18001</v>
          </cell>
          <cell r="E3712">
            <v>751394712893.19995</v>
          </cell>
          <cell r="F3712"/>
          <cell r="G3712"/>
          <cell r="H3712"/>
          <cell r="I3712"/>
          <cell r="J3712">
            <v>766130030339.77002</v>
          </cell>
        </row>
        <row r="3713">
          <cell r="B3713"/>
          <cell r="C3713"/>
          <cell r="D3713"/>
          <cell r="E3713"/>
          <cell r="F3713"/>
          <cell r="G3713"/>
          <cell r="H3713"/>
          <cell r="I3713"/>
          <cell r="J3713"/>
        </row>
        <row r="3714">
          <cell r="C3714" t="str">
            <v>LAPORAN PERUBAHAN EKUITAS</v>
          </cell>
          <cell r="D3714" t="str">
            <v>LPE</v>
          </cell>
          <cell r="E3714" t="str">
            <v>LPE</v>
          </cell>
          <cell r="F3714" t="str">
            <v>LPE</v>
          </cell>
          <cell r="G3714" t="str">
            <v>LPE</v>
          </cell>
          <cell r="H3714" t="str">
            <v>LPE</v>
          </cell>
          <cell r="I3714" t="str">
            <v>LPE</v>
          </cell>
          <cell r="J3714" t="str">
            <v>LPE</v>
          </cell>
        </row>
        <row r="3715">
          <cell r="C3715"/>
          <cell r="D3715"/>
          <cell r="E3715"/>
          <cell r="F3715"/>
          <cell r="G3715"/>
          <cell r="H3715"/>
          <cell r="I3715"/>
          <cell r="J3715"/>
        </row>
        <row r="3716">
          <cell r="C3716" t="str">
            <v>EKUITAS AWAL</v>
          </cell>
          <cell r="D3716">
            <v>3824059528321.54</v>
          </cell>
          <cell r="E3716" t="str">
            <v>3.841.474.943.724,33</v>
          </cell>
          <cell r="F3716"/>
          <cell r="G3716"/>
          <cell r="H3716"/>
          <cell r="I3716"/>
          <cell r="J3716" t="str">
            <v>3.841.474.943.724,33</v>
          </cell>
        </row>
        <row r="3717">
          <cell r="C3717"/>
          <cell r="D3717"/>
          <cell r="E3717"/>
          <cell r="F3717"/>
          <cell r="G3717"/>
          <cell r="H3717"/>
          <cell r="I3717"/>
          <cell r="J3717"/>
        </row>
        <row r="3718">
          <cell r="C3718" t="str">
            <v>SURPLUS/(DEFISIT)-LO</v>
          </cell>
          <cell r="D3718">
            <v>-10311081144.18001</v>
          </cell>
          <cell r="E3718">
            <v>751394712893.19995</v>
          </cell>
          <cell r="F3718"/>
          <cell r="G3718"/>
          <cell r="H3718"/>
          <cell r="I3718"/>
          <cell r="J3718">
            <v>766130030339.77002</v>
          </cell>
        </row>
        <row r="3719">
          <cell r="C3719"/>
          <cell r="D3719"/>
          <cell r="E3719"/>
          <cell r="F3719"/>
          <cell r="G3719"/>
          <cell r="H3719"/>
          <cell r="I3719"/>
          <cell r="J3719"/>
        </row>
        <row r="3720">
          <cell r="C3720" t="str">
            <v>DAMPAK KUMULATIF PERUBAHAN KEBIJAKAN/KESALAHAN MENDASAR</v>
          </cell>
          <cell r="D3720">
            <v>27726496546.970001</v>
          </cell>
          <cell r="E3720">
            <v>-1113572980</v>
          </cell>
          <cell r="F3720"/>
          <cell r="G3720"/>
          <cell r="H3720"/>
          <cell r="I3720"/>
          <cell r="J3720">
            <v>-1436820816.5</v>
          </cell>
        </row>
        <row r="3721">
          <cell r="C3721" t="str">
            <v>Koreksi Ekuitas-Aset Lancar</v>
          </cell>
          <cell r="D3721">
            <v>27539237256.970001</v>
          </cell>
          <cell r="E3721">
            <v>11511500</v>
          </cell>
          <cell r="F3721">
            <v>419223913</v>
          </cell>
          <cell r="G3721">
            <v>58716263</v>
          </cell>
          <cell r="H3721">
            <v>0</v>
          </cell>
          <cell r="I3721">
            <v>0</v>
          </cell>
          <cell r="J3721">
            <v>-348996150</v>
          </cell>
        </row>
        <row r="3722">
          <cell r="C3722" t="str">
            <v>Koreksi Ekuitas-Investasi Jangka Panjang</v>
          </cell>
          <cell r="D3722">
            <v>349728000</v>
          </cell>
          <cell r="E3722">
            <v>-930168223</v>
          </cell>
          <cell r="F3722">
            <v>0</v>
          </cell>
          <cell r="G3722">
            <v>0</v>
          </cell>
          <cell r="H3722">
            <v>0</v>
          </cell>
          <cell r="I3722">
            <v>0</v>
          </cell>
          <cell r="J3722">
            <v>-930168223</v>
          </cell>
        </row>
        <row r="3723">
          <cell r="C3723" t="str">
            <v>Koreksi Ekuitas-Aset Tetap</v>
          </cell>
          <cell r="D3723">
            <v>-156578950</v>
          </cell>
          <cell r="E3723">
            <v>77500000</v>
          </cell>
          <cell r="F3723">
            <v>0</v>
          </cell>
          <cell r="G3723">
            <v>100000000</v>
          </cell>
          <cell r="H3723">
            <v>0</v>
          </cell>
          <cell r="I3723">
            <v>0</v>
          </cell>
          <cell r="J3723">
            <v>177500000</v>
          </cell>
        </row>
        <row r="3724">
          <cell r="C3724" t="str">
            <v>Koreksi Ekuitas-Dana Cadangan</v>
          </cell>
          <cell r="D3724"/>
          <cell r="E3724"/>
          <cell r="F3724">
            <v>0</v>
          </cell>
          <cell r="G3724">
            <v>0</v>
          </cell>
          <cell r="H3724">
            <v>0</v>
          </cell>
          <cell r="I3724">
            <v>0</v>
          </cell>
          <cell r="J3724">
            <v>0</v>
          </cell>
        </row>
        <row r="3725">
          <cell r="C3725" t="str">
            <v>Koreksi Ekuitas-Aset Lainnya</v>
          </cell>
          <cell r="D3725"/>
          <cell r="E3725">
            <v>-805922257</v>
          </cell>
          <cell r="F3725">
            <v>62740186.5</v>
          </cell>
          <cell r="G3725">
            <v>0</v>
          </cell>
          <cell r="H3725">
            <v>0</v>
          </cell>
          <cell r="I3725">
            <v>0</v>
          </cell>
          <cell r="J3725">
            <v>-868662443.5</v>
          </cell>
        </row>
        <row r="3726">
          <cell r="C3726" t="str">
            <v>Koreksi Ekuitas-Properti Investasi</v>
          </cell>
          <cell r="D3726">
            <v>-5889760</v>
          </cell>
          <cell r="E3726"/>
          <cell r="F3726">
            <v>0</v>
          </cell>
          <cell r="G3726">
            <v>0</v>
          </cell>
          <cell r="H3726">
            <v>0</v>
          </cell>
          <cell r="I3726">
            <v>0</v>
          </cell>
          <cell r="J3726">
            <v>0</v>
          </cell>
        </row>
        <row r="3727">
          <cell r="C3727" t="str">
            <v>Koreksi Ekuitas-Kewajiban Jangka Pendek</v>
          </cell>
          <cell r="D3727"/>
          <cell r="E3727">
            <v>533506000</v>
          </cell>
          <cell r="F3727">
            <v>0</v>
          </cell>
          <cell r="G3727">
            <v>0</v>
          </cell>
          <cell r="H3727">
            <v>0</v>
          </cell>
          <cell r="I3727">
            <v>0</v>
          </cell>
          <cell r="J3727">
            <v>533506000</v>
          </cell>
        </row>
        <row r="3728">
          <cell r="C3728" t="str">
            <v>Koreksi Ekuitas-Kewajiban Jangka Panjang</v>
          </cell>
          <cell r="D3728"/>
          <cell r="E3728"/>
          <cell r="F3728">
            <v>0</v>
          </cell>
          <cell r="G3728">
            <v>0</v>
          </cell>
          <cell r="H3728">
            <v>0</v>
          </cell>
          <cell r="I3728">
            <v>0</v>
          </cell>
          <cell r="J3728">
            <v>0</v>
          </cell>
        </row>
        <row r="3729">
          <cell r="C3729"/>
          <cell r="D3729"/>
          <cell r="E3729"/>
          <cell r="F3729"/>
          <cell r="G3729"/>
          <cell r="H3729"/>
          <cell r="I3729"/>
          <cell r="J3729"/>
        </row>
        <row r="3730">
          <cell r="C3730" t="str">
            <v>EKUITAS AKHIR</v>
          </cell>
          <cell r="D3730" t="str">
            <v>3.841.474.943.724,33</v>
          </cell>
          <cell r="E3730" t="str">
            <v>4.591.756.083.637,53</v>
          </cell>
          <cell r="F3730"/>
          <cell r="G3730"/>
          <cell r="H3730"/>
          <cell r="I3730"/>
          <cell r="J3730" t="str">
            <v>4.606.168.153.247,60</v>
          </cell>
        </row>
        <row r="3731">
          <cell r="C3731"/>
          <cell r="D3731"/>
          <cell r="E3731"/>
          <cell r="F3731"/>
          <cell r="G3731"/>
          <cell r="H3731"/>
          <cell r="I3731"/>
          <cell r="J3731"/>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3">
          <cell r="C3733"/>
          <cell r="D3733"/>
          <cell r="E3733"/>
          <cell r="F3733"/>
          <cell r="G3733"/>
          <cell r="H3733"/>
          <cell r="I3733"/>
          <cell r="J3733"/>
        </row>
        <row r="3734">
          <cell r="C3734" t="str">
            <v>SALDO ANGGARAN LEBIH AWAL</v>
          </cell>
          <cell r="D3734">
            <v>228254840037.41</v>
          </cell>
          <cell r="E3734">
            <v>331601148062.02014</v>
          </cell>
          <cell r="F3734"/>
          <cell r="G3734"/>
          <cell r="H3734"/>
          <cell r="I3734"/>
          <cell r="J3734">
            <v>331601148062.02014</v>
          </cell>
        </row>
        <row r="3735">
          <cell r="C3735" t="str">
            <v>PENGGUNAAN SAL SEBAGAI PENERIMAAN PEMBIAYAAN TAHUN BERJALAN</v>
          </cell>
          <cell r="D3735">
            <v>228221355096.94</v>
          </cell>
          <cell r="E3735">
            <v>331614733062.02002</v>
          </cell>
          <cell r="F3735">
            <v>0</v>
          </cell>
          <cell r="G3735">
            <v>0</v>
          </cell>
          <cell r="H3735">
            <v>0</v>
          </cell>
          <cell r="I3735">
            <v>0</v>
          </cell>
          <cell r="J3735">
            <v>331614733062.02002</v>
          </cell>
        </row>
        <row r="3736">
          <cell r="C3736" t="str">
            <v>SISA LEBIH/KURANG PEMBIAYAAN ANGGARAN (SILPA/SIKPA)</v>
          </cell>
          <cell r="D3736">
            <v>331601148062.02008</v>
          </cell>
          <cell r="E3736">
            <v>1144729374931.99</v>
          </cell>
          <cell r="F3736">
            <v>0</v>
          </cell>
          <cell r="G3736">
            <v>0</v>
          </cell>
          <cell r="H3736">
            <v>0</v>
          </cell>
          <cell r="I3736">
            <v>0</v>
          </cell>
          <cell r="J3736">
            <v>1144729374931.99</v>
          </cell>
        </row>
        <row r="3737">
          <cell r="C3737" t="str">
            <v>KOREKSI KESALAHAN +/(-) PEMBUKUAN TAHUN SEBELUMNYA</v>
          </cell>
          <cell r="D3737">
            <v>-33484940.469999999</v>
          </cell>
          <cell r="E3737">
            <v>13585000</v>
          </cell>
          <cell r="F3737">
            <v>0</v>
          </cell>
          <cell r="G3737">
            <v>0</v>
          </cell>
          <cell r="H3737">
            <v>0</v>
          </cell>
          <cell r="I3737">
            <v>0</v>
          </cell>
          <cell r="J3737">
            <v>13585000</v>
          </cell>
        </row>
        <row r="3738">
          <cell r="C3738" t="str">
            <v>LAIN-LAIN</v>
          </cell>
          <cell r="D3738">
            <v>0</v>
          </cell>
          <cell r="E3738">
            <v>0</v>
          </cell>
          <cell r="F3738">
            <v>0</v>
          </cell>
          <cell r="G3738">
            <v>0</v>
          </cell>
          <cell r="H3738">
            <v>0</v>
          </cell>
          <cell r="I3738">
            <v>0</v>
          </cell>
          <cell r="J3738">
            <v>0</v>
          </cell>
        </row>
        <row r="3739">
          <cell r="C3739"/>
          <cell r="D3739"/>
          <cell r="E3739"/>
          <cell r="F3739"/>
          <cell r="G3739"/>
          <cell r="H3739"/>
          <cell r="I3739"/>
          <cell r="J3739"/>
        </row>
        <row r="3740">
          <cell r="C3740" t="str">
            <v>SALDO ANGGARAN LEBIH AKHIR</v>
          </cell>
          <cell r="D3740">
            <v>331601148062.02014</v>
          </cell>
          <cell r="E3740">
            <v>1144729374931.9902</v>
          </cell>
          <cell r="F3740"/>
          <cell r="G3740"/>
          <cell r="H3740"/>
          <cell r="I3740"/>
          <cell r="J3740">
            <v>1144729374931.9902</v>
          </cell>
        </row>
        <row r="3741">
          <cell r="C3741"/>
          <cell r="D3741"/>
          <cell r="E3741"/>
          <cell r="F3741"/>
          <cell r="G3741"/>
          <cell r="H3741"/>
          <cell r="I3741"/>
          <cell r="J3741"/>
        </row>
        <row r="3742">
          <cell r="C3742" t="str">
            <v>LAPORAN ARUS KAS</v>
          </cell>
          <cell r="D3742" t="str">
            <v>LAK</v>
          </cell>
          <cell r="E3742" t="str">
            <v>LAK</v>
          </cell>
          <cell r="F3742" t="str">
            <v>LAK</v>
          </cell>
          <cell r="G3742" t="str">
            <v>LAK</v>
          </cell>
          <cell r="H3742" t="str">
            <v>LAK</v>
          </cell>
          <cell r="I3742" t="str">
            <v>LAK</v>
          </cell>
          <cell r="J3742" t="str">
            <v>LAK</v>
          </cell>
        </row>
        <row r="3743">
          <cell r="C3743"/>
          <cell r="D3743"/>
          <cell r="E3743"/>
          <cell r="F3743"/>
          <cell r="G3743"/>
          <cell r="H3743"/>
          <cell r="I3743"/>
          <cell r="J3743"/>
        </row>
        <row r="3744">
          <cell r="C3744" t="str">
            <v>ARUS KAS BERSIH DARI AKTIVITAS OPERASI</v>
          </cell>
          <cell r="D3744">
            <v>840412818039.08008</v>
          </cell>
          <cell r="E3744">
            <v>1382492669771.97</v>
          </cell>
          <cell r="F3744"/>
          <cell r="G3744"/>
          <cell r="H3744"/>
          <cell r="I3744"/>
          <cell r="J3744">
            <v>1382492669771.97</v>
          </cell>
        </row>
        <row r="3745">
          <cell r="C3745" t="str">
            <v>Arus Masuk Kas dari Aktivitas Operasi</v>
          </cell>
          <cell r="D3745">
            <v>2191893631484.8101</v>
          </cell>
          <cell r="E3745">
            <v>2881112824093.9399</v>
          </cell>
          <cell r="F3745"/>
          <cell r="G3745"/>
          <cell r="H3745"/>
          <cell r="I3745"/>
          <cell r="J3745">
            <v>2881112824093.9399</v>
          </cell>
        </row>
        <row r="3746">
          <cell r="C3746" t="str">
            <v>Pajak Daerah</v>
          </cell>
          <cell r="D3746">
            <v>106869886739</v>
          </cell>
          <cell r="E3746">
            <v>116547605456</v>
          </cell>
          <cell r="F3746"/>
          <cell r="G3746"/>
          <cell r="H3746"/>
          <cell r="I3746"/>
          <cell r="J3746">
            <v>116547605456</v>
          </cell>
        </row>
        <row r="3747">
          <cell r="C3747" t="str">
            <v>Retribusi Daerah</v>
          </cell>
          <cell r="D3747">
            <v>8061317063</v>
          </cell>
          <cell r="E3747">
            <v>12110315742</v>
          </cell>
          <cell r="F3747"/>
          <cell r="G3747"/>
          <cell r="H3747"/>
          <cell r="I3747"/>
          <cell r="J3747">
            <v>12110315742</v>
          </cell>
        </row>
        <row r="3748">
          <cell r="C3748" t="str">
            <v>Hasil Pengelolaan Kekayaan Daerah yang Dipisahkan</v>
          </cell>
          <cell r="D3748">
            <v>7673963553</v>
          </cell>
          <cell r="E3748">
            <v>7754789855</v>
          </cell>
          <cell r="F3748"/>
          <cell r="G3748"/>
          <cell r="H3748"/>
          <cell r="I3748"/>
          <cell r="J3748">
            <v>7754789855</v>
          </cell>
        </row>
        <row r="3749">
          <cell r="C3749" t="str">
            <v>Lain-lain PAD yang Sah</v>
          </cell>
          <cell r="D3749">
            <v>88265357446.809998</v>
          </cell>
          <cell r="E3749">
            <v>94493634692.440002</v>
          </cell>
          <cell r="F3749"/>
          <cell r="G3749"/>
          <cell r="H3749"/>
          <cell r="I3749"/>
          <cell r="J3749">
            <v>94493634692.440002</v>
          </cell>
        </row>
        <row r="3750">
          <cell r="C3750" t="str">
            <v>Pendapatan Transfer Pemerintah Pusat</v>
          </cell>
          <cell r="D3750">
            <v>1020370894861</v>
          </cell>
          <cell r="E3750">
            <v>2282648598101</v>
          </cell>
          <cell r="F3750"/>
          <cell r="G3750"/>
          <cell r="H3750"/>
          <cell r="I3750"/>
          <cell r="J3750">
            <v>2282648598101</v>
          </cell>
        </row>
        <row r="3751">
          <cell r="C3751" t="str">
            <v>Pendapatan Transfer Antar Daerah</v>
          </cell>
          <cell r="D3751">
            <v>124693969711</v>
          </cell>
          <cell r="E3751">
            <v>69086105120</v>
          </cell>
          <cell r="F3751"/>
          <cell r="G3751"/>
          <cell r="H3751"/>
          <cell r="I3751"/>
          <cell r="J3751">
            <v>69086105120</v>
          </cell>
        </row>
        <row r="3752">
          <cell r="C3752" t="str">
            <v>Pendapatan Hibah</v>
          </cell>
          <cell r="D3752">
            <v>8828000</v>
          </cell>
          <cell r="E3752">
            <v>0</v>
          </cell>
          <cell r="F3752"/>
          <cell r="G3752"/>
          <cell r="H3752"/>
          <cell r="I3752"/>
          <cell r="J3752">
            <v>0</v>
          </cell>
        </row>
        <row r="3753">
          <cell r="C3753" t="str">
            <v>Dana Darurat</v>
          </cell>
          <cell r="D3753">
            <v>0</v>
          </cell>
          <cell r="E3753">
            <v>0</v>
          </cell>
          <cell r="F3753"/>
          <cell r="G3753"/>
          <cell r="H3753"/>
          <cell r="I3753"/>
          <cell r="J3753">
            <v>0</v>
          </cell>
        </row>
        <row r="3754">
          <cell r="C3754" t="str">
            <v>Lain-lain Pendapatan Sesuai dengan Ketentuan Peraturan Perundang-Undangan</v>
          </cell>
          <cell r="D3754">
            <v>835949414111</v>
          </cell>
          <cell r="E3754">
            <v>298471775127.5</v>
          </cell>
          <cell r="F3754"/>
          <cell r="G3754"/>
          <cell r="H3754"/>
          <cell r="I3754"/>
          <cell r="J3754">
            <v>298471775127.5</v>
          </cell>
        </row>
        <row r="3755">
          <cell r="C3755" t="str">
            <v>Arus Keluar Kas dari Aktivitas Operasi</v>
          </cell>
          <cell r="D3755">
            <v>1351480813445.73</v>
          </cell>
          <cell r="E3755">
            <v>1498620154321.97</v>
          </cell>
          <cell r="F3755"/>
          <cell r="G3755"/>
          <cell r="H3755"/>
          <cell r="I3755"/>
          <cell r="J3755">
            <v>1498620154321.97</v>
          </cell>
        </row>
        <row r="3756">
          <cell r="C3756" t="str">
            <v>Belanja Pegawai</v>
          </cell>
          <cell r="D3756">
            <v>504599443369.97998</v>
          </cell>
          <cell r="E3756">
            <v>587895147363</v>
          </cell>
          <cell r="F3756"/>
          <cell r="G3756"/>
          <cell r="H3756"/>
          <cell r="I3756"/>
          <cell r="J3756">
            <v>587895147363</v>
          </cell>
        </row>
        <row r="3757">
          <cell r="C3757" t="str">
            <v>Belanja Barang dan Jasa</v>
          </cell>
          <cell r="D3757">
            <v>590036550619.75</v>
          </cell>
          <cell r="E3757">
            <v>658266899846.96997</v>
          </cell>
          <cell r="F3757"/>
          <cell r="G3757"/>
          <cell r="H3757"/>
          <cell r="I3757"/>
          <cell r="J3757">
            <v>658266899846.96997</v>
          </cell>
        </row>
        <row r="3758">
          <cell r="C3758" t="str">
            <v>Belanja Bunga</v>
          </cell>
          <cell r="D3758">
            <v>0</v>
          </cell>
          <cell r="E3758">
            <v>0</v>
          </cell>
          <cell r="F3758"/>
          <cell r="G3758"/>
          <cell r="H3758"/>
          <cell r="I3758"/>
          <cell r="J3758">
            <v>0</v>
          </cell>
        </row>
        <row r="3759">
          <cell r="C3759" t="str">
            <v>Belanja Subsidi</v>
          </cell>
          <cell r="D3759">
            <v>0</v>
          </cell>
          <cell r="E3759">
            <v>0</v>
          </cell>
          <cell r="F3759"/>
          <cell r="G3759"/>
          <cell r="H3759"/>
          <cell r="I3759"/>
          <cell r="J3759">
            <v>0</v>
          </cell>
        </row>
        <row r="3760">
          <cell r="C3760" t="str">
            <v>Belanja Hibah</v>
          </cell>
          <cell r="D3760">
            <v>60030578713</v>
          </cell>
          <cell r="E3760">
            <v>54495863552</v>
          </cell>
          <cell r="F3760"/>
          <cell r="G3760"/>
          <cell r="H3760"/>
          <cell r="I3760"/>
          <cell r="J3760">
            <v>54495863552</v>
          </cell>
        </row>
        <row r="3761">
          <cell r="C3761" t="str">
            <v>Belanja Bantuan Sosial</v>
          </cell>
          <cell r="D3761">
            <v>21845800000</v>
          </cell>
          <cell r="E3761">
            <v>14314100000</v>
          </cell>
          <cell r="F3761"/>
          <cell r="G3761"/>
          <cell r="H3761"/>
          <cell r="I3761"/>
          <cell r="J3761">
            <v>14314100000</v>
          </cell>
        </row>
        <row r="3762">
          <cell r="C3762" t="str">
            <v>Belanja Imbalan</v>
          </cell>
          <cell r="D3762">
            <v>0</v>
          </cell>
          <cell r="E3762">
            <v>0</v>
          </cell>
          <cell r="F3762"/>
          <cell r="G3762"/>
          <cell r="H3762"/>
          <cell r="I3762"/>
          <cell r="J3762">
            <v>0</v>
          </cell>
        </row>
        <row r="3763">
          <cell r="C3763" t="str">
            <v>Belanja Tidak Terduga</v>
          </cell>
          <cell r="D3763">
            <v>3364608300</v>
          </cell>
          <cell r="E3763">
            <v>2043118598</v>
          </cell>
          <cell r="F3763"/>
          <cell r="G3763"/>
          <cell r="H3763"/>
          <cell r="I3763"/>
          <cell r="J3763">
            <v>2043118598</v>
          </cell>
        </row>
        <row r="3764">
          <cell r="C3764" t="str">
            <v>Belanja Bagi Hasil</v>
          </cell>
          <cell r="D3764">
            <v>10552527397</v>
          </cell>
          <cell r="E3764">
            <v>9960296381</v>
          </cell>
          <cell r="F3764"/>
          <cell r="G3764"/>
          <cell r="H3764"/>
          <cell r="I3764"/>
          <cell r="J3764">
            <v>9960296381</v>
          </cell>
        </row>
        <row r="3765">
          <cell r="C3765" t="str">
            <v>Belanja Bantuan Keuangan</v>
          </cell>
          <cell r="D3765">
            <v>161051305046</v>
          </cell>
          <cell r="E3765">
            <v>171644728581</v>
          </cell>
          <cell r="F3765"/>
          <cell r="G3765"/>
          <cell r="H3765"/>
          <cell r="I3765"/>
          <cell r="J3765">
            <v>171644728581</v>
          </cell>
        </row>
        <row r="3766">
          <cell r="C3766"/>
          <cell r="D3766"/>
          <cell r="E3766"/>
          <cell r="F3766"/>
          <cell r="G3766"/>
          <cell r="H3766"/>
          <cell r="I3766"/>
          <cell r="J3766"/>
        </row>
        <row r="3767">
          <cell r="C3767" t="str">
            <v>ARUS KAS BERSIH DARI AKTIVITAS INVESTASI</v>
          </cell>
          <cell r="D3767">
            <v>-737563721966</v>
          </cell>
          <cell r="E3767">
            <v>-570571724062</v>
          </cell>
          <cell r="F3767"/>
          <cell r="G3767"/>
          <cell r="H3767"/>
          <cell r="I3767"/>
          <cell r="J3767">
            <v>-570571724062</v>
          </cell>
        </row>
        <row r="3768">
          <cell r="C3768" t="str">
            <v>Arus Masuk Kas dari Aktivitas Investasi</v>
          </cell>
          <cell r="D3768">
            <v>0</v>
          </cell>
          <cell r="E3768">
            <v>606468577</v>
          </cell>
          <cell r="F3768"/>
          <cell r="G3768"/>
          <cell r="H3768"/>
          <cell r="I3768"/>
          <cell r="J3768">
            <v>606468577</v>
          </cell>
        </row>
        <row r="3769">
          <cell r="C3769" t="str">
            <v>Hasil Penjualan BMD yang Tidak Dipisahkan</v>
          </cell>
          <cell r="D3769">
            <v>0</v>
          </cell>
          <cell r="E3769">
            <v>606468577</v>
          </cell>
          <cell r="F3769"/>
          <cell r="G3769"/>
          <cell r="H3769"/>
          <cell r="I3769"/>
          <cell r="J3769">
            <v>606468577</v>
          </cell>
        </row>
        <row r="3770">
          <cell r="C3770" t="str">
            <v>Pencairan Dana Cadangan</v>
          </cell>
          <cell r="D3770">
            <v>0</v>
          </cell>
          <cell r="E3770">
            <v>0</v>
          </cell>
          <cell r="F3770"/>
          <cell r="G3770"/>
          <cell r="H3770"/>
          <cell r="I3770"/>
          <cell r="J3770">
            <v>0</v>
          </cell>
        </row>
        <row r="3771">
          <cell r="C3771" t="str">
            <v>Hasil Penjualan Kekayaan Daerah yang Dipisahkan</v>
          </cell>
          <cell r="D3771">
            <v>0</v>
          </cell>
          <cell r="E3771">
            <v>0</v>
          </cell>
          <cell r="F3771"/>
          <cell r="G3771"/>
          <cell r="H3771"/>
          <cell r="I3771"/>
          <cell r="J3771">
            <v>0</v>
          </cell>
        </row>
        <row r="3772">
          <cell r="C3772" t="str">
            <v>Arus Keluar Kas dari Aktivitas Investasi</v>
          </cell>
          <cell r="D3772">
            <v>737563721966</v>
          </cell>
          <cell r="E3772">
            <v>571178192639</v>
          </cell>
          <cell r="F3772"/>
          <cell r="G3772"/>
          <cell r="H3772"/>
          <cell r="I3772"/>
          <cell r="J3772">
            <v>571178192639</v>
          </cell>
        </row>
        <row r="3773">
          <cell r="C3773" t="str">
            <v>Belanja Modal Tanah</v>
          </cell>
          <cell r="D3773">
            <v>64694958117</v>
          </cell>
          <cell r="E3773">
            <v>14918666272</v>
          </cell>
          <cell r="F3773"/>
          <cell r="G3773"/>
          <cell r="H3773"/>
          <cell r="I3773"/>
          <cell r="J3773">
            <v>14918666272</v>
          </cell>
        </row>
        <row r="3774">
          <cell r="C3774" t="str">
            <v>Belanja Modal Peralatan dan Mesin</v>
          </cell>
          <cell r="D3774">
            <v>100320013039</v>
          </cell>
          <cell r="E3774">
            <v>104519745081</v>
          </cell>
          <cell r="F3774"/>
          <cell r="G3774"/>
          <cell r="H3774"/>
          <cell r="I3774"/>
          <cell r="J3774">
            <v>104519745081</v>
          </cell>
        </row>
        <row r="3775">
          <cell r="C3775" t="str">
            <v>Belanja Modal Gedung dan Bangunan</v>
          </cell>
          <cell r="D3775">
            <v>138034850857</v>
          </cell>
          <cell r="E3775">
            <v>117608552753</v>
          </cell>
          <cell r="F3775"/>
          <cell r="G3775"/>
          <cell r="H3775"/>
          <cell r="I3775"/>
          <cell r="J3775">
            <v>117608552753</v>
          </cell>
        </row>
        <row r="3776">
          <cell r="C3776" t="str">
            <v>Belanja Modal Jalan, Jaringan, dan Irigasi</v>
          </cell>
          <cell r="D3776">
            <v>380208673163</v>
          </cell>
          <cell r="E3776">
            <v>317616860031</v>
          </cell>
          <cell r="F3776"/>
          <cell r="G3776"/>
          <cell r="H3776"/>
          <cell r="I3776"/>
          <cell r="J3776">
            <v>317616860031</v>
          </cell>
        </row>
        <row r="3777">
          <cell r="C3777" t="str">
            <v>Belanja Modal Aset Tetap Lainnya</v>
          </cell>
          <cell r="D3777">
            <v>4224281790</v>
          </cell>
          <cell r="E3777">
            <v>4206116502</v>
          </cell>
          <cell r="F3777"/>
          <cell r="G3777"/>
          <cell r="H3777"/>
          <cell r="I3777"/>
          <cell r="J3777">
            <v>4206116502</v>
          </cell>
        </row>
        <row r="3778">
          <cell r="C3778" t="str">
            <v>Belanja Modal Aset Lainnya</v>
          </cell>
          <cell r="D3778">
            <v>80945000</v>
          </cell>
          <cell r="E3778">
            <v>1951532000</v>
          </cell>
          <cell r="F3778"/>
          <cell r="G3778"/>
          <cell r="H3778"/>
          <cell r="I3778"/>
          <cell r="J3778">
            <v>1951532000</v>
          </cell>
        </row>
        <row r="3779">
          <cell r="C3779" t="str">
            <v>Pembentukan Dana Cadangan</v>
          </cell>
          <cell r="D3779">
            <v>0</v>
          </cell>
          <cell r="E3779">
            <v>0</v>
          </cell>
          <cell r="F3779"/>
          <cell r="G3779"/>
          <cell r="H3779"/>
          <cell r="I3779"/>
          <cell r="J3779">
            <v>0</v>
          </cell>
        </row>
        <row r="3780">
          <cell r="C3780" t="str">
            <v>Penyertaan Modal Daerah</v>
          </cell>
          <cell r="D3780">
            <v>50000000000</v>
          </cell>
          <cell r="E3780">
            <v>10356720000</v>
          </cell>
          <cell r="F3780"/>
          <cell r="G3780"/>
          <cell r="H3780"/>
          <cell r="I3780"/>
          <cell r="J3780">
            <v>10356720000</v>
          </cell>
        </row>
        <row r="3781">
          <cell r="C3781"/>
          <cell r="D3781"/>
          <cell r="E3781"/>
          <cell r="F3781"/>
          <cell r="G3781"/>
          <cell r="H3781"/>
          <cell r="I3781"/>
          <cell r="J3781"/>
        </row>
        <row r="3782">
          <cell r="C3782" t="str">
            <v>ARUS KAS BERSIH DARI AKTIVITAS PENDANAAN</v>
          </cell>
          <cell r="D3782">
            <v>530696892</v>
          </cell>
          <cell r="E3782">
            <v>1193696160</v>
          </cell>
          <cell r="F3782"/>
          <cell r="G3782"/>
          <cell r="H3782"/>
          <cell r="I3782"/>
          <cell r="J3782">
            <v>1193696160</v>
          </cell>
        </row>
        <row r="3783">
          <cell r="C3783" t="str">
            <v>Arus Masuk Kas dari Aktivitas Pendanaan</v>
          </cell>
          <cell r="D3783">
            <v>530696892</v>
          </cell>
          <cell r="E3783">
            <v>1193696160</v>
          </cell>
          <cell r="F3783"/>
          <cell r="G3783"/>
          <cell r="H3783"/>
          <cell r="I3783"/>
          <cell r="J3783">
            <v>1193696160</v>
          </cell>
        </row>
        <row r="3784">
          <cell r="C3784" t="str">
            <v>Penerimaan Pinjaman Daerah</v>
          </cell>
          <cell r="D3784">
            <v>0</v>
          </cell>
          <cell r="E3784">
            <v>0</v>
          </cell>
          <cell r="F3784"/>
          <cell r="G3784"/>
          <cell r="H3784"/>
          <cell r="I3784"/>
          <cell r="J3784">
            <v>0</v>
          </cell>
        </row>
        <row r="3785">
          <cell r="C3785" t="str">
            <v>Penerimaan Kembali Pemberian Pinjaman Daerah</v>
          </cell>
          <cell r="D3785">
            <v>530696892</v>
          </cell>
          <cell r="E3785">
            <v>1193696160</v>
          </cell>
          <cell r="F3785"/>
          <cell r="G3785"/>
          <cell r="H3785"/>
          <cell r="I3785"/>
          <cell r="J3785">
            <v>1193696160</v>
          </cell>
        </row>
        <row r="3786">
          <cell r="C3786" t="str">
            <v>Penerimaan Pembiayaan Lainnya Sesuai dengan Ketentuan Peraturan Perundang-Undangan</v>
          </cell>
          <cell r="D3786">
            <v>0</v>
          </cell>
          <cell r="E3786">
            <v>0</v>
          </cell>
          <cell r="F3786"/>
          <cell r="G3786"/>
          <cell r="H3786"/>
          <cell r="I3786"/>
          <cell r="J3786">
            <v>0</v>
          </cell>
        </row>
        <row r="3787">
          <cell r="C3787" t="str">
            <v>Arus Keluar Kas dari Aktivitas Pendanaan</v>
          </cell>
          <cell r="D3787">
            <v>0</v>
          </cell>
          <cell r="E3787">
            <v>0</v>
          </cell>
          <cell r="F3787"/>
          <cell r="G3787"/>
          <cell r="H3787"/>
          <cell r="I3787"/>
          <cell r="J3787">
            <v>0</v>
          </cell>
        </row>
        <row r="3788">
          <cell r="C3788" t="str">
            <v>Pembayaran Cicilan Pokok Utang yang Jatuh Tempo</v>
          </cell>
          <cell r="D3788">
            <v>0</v>
          </cell>
          <cell r="E3788">
            <v>0</v>
          </cell>
          <cell r="F3788"/>
          <cell r="G3788"/>
          <cell r="H3788"/>
          <cell r="I3788"/>
          <cell r="J3788">
            <v>0</v>
          </cell>
        </row>
        <row r="3789">
          <cell r="C3789" t="str">
            <v>Pemberian Pinjaman Daerah</v>
          </cell>
          <cell r="D3789">
            <v>0</v>
          </cell>
          <cell r="E3789">
            <v>0</v>
          </cell>
          <cell r="F3789"/>
          <cell r="G3789"/>
          <cell r="H3789"/>
          <cell r="I3789"/>
          <cell r="J3789">
            <v>0</v>
          </cell>
        </row>
        <row r="3790">
          <cell r="C3790" t="str">
            <v>Pengeluaran Pembiayaan Lainnya sesuai dengan Ketentuan Peraturan Perundang-Undangan</v>
          </cell>
          <cell r="D3790">
            <v>0</v>
          </cell>
          <cell r="E3790">
            <v>0</v>
          </cell>
          <cell r="F3790"/>
          <cell r="G3790"/>
          <cell r="H3790"/>
          <cell r="I3790"/>
          <cell r="J3790">
            <v>0</v>
          </cell>
        </row>
        <row r="3791">
          <cell r="C3791"/>
          <cell r="D3791"/>
          <cell r="E3791"/>
          <cell r="F3791"/>
          <cell r="G3791"/>
          <cell r="H3791"/>
          <cell r="I3791"/>
          <cell r="J3791"/>
        </row>
        <row r="3792">
          <cell r="C3792" t="str">
            <v>ARUS KAS BERSIH DARI AKTIVITAS TRANSITORIS</v>
          </cell>
          <cell r="D3792">
            <v>37243943</v>
          </cell>
          <cell r="E3792">
            <v>-65000</v>
          </cell>
          <cell r="F3792"/>
          <cell r="G3792"/>
          <cell r="H3792"/>
          <cell r="I3792"/>
          <cell r="J3792">
            <v>-65000</v>
          </cell>
        </row>
        <row r="3793">
          <cell r="C3793" t="str">
            <v>Arus Masuk Kas dari Aktivitas Transitoris</v>
          </cell>
          <cell r="D3793">
            <v>132839239754</v>
          </cell>
          <cell r="E3793">
            <v>178867357738.01999</v>
          </cell>
          <cell r="F3793"/>
          <cell r="G3793"/>
          <cell r="H3793"/>
          <cell r="I3793"/>
          <cell r="J3793">
            <v>178867357738.01999</v>
          </cell>
        </row>
        <row r="3794">
          <cell r="C3794" t="str">
            <v>Penerimaan Perhitungan Pihak Ketiga (PFK)</v>
          </cell>
          <cell r="D3794">
            <v>114074606811</v>
          </cell>
          <cell r="E3794">
            <v>166903364738.01999</v>
          </cell>
          <cell r="F3794"/>
          <cell r="G3794"/>
          <cell r="H3794"/>
          <cell r="I3794"/>
          <cell r="J3794">
            <v>166903364738.01999</v>
          </cell>
        </row>
        <row r="3795">
          <cell r="C3795" t="str">
            <v>Penerimaan Kembali Uang Persediaan dari Bend. Pengeluaran</v>
          </cell>
          <cell r="D3795">
            <v>18762142943</v>
          </cell>
          <cell r="E3795">
            <v>11963993000</v>
          </cell>
          <cell r="F3795"/>
          <cell r="G3795"/>
          <cell r="H3795"/>
          <cell r="I3795"/>
          <cell r="J3795">
            <v>11963993000</v>
          </cell>
        </row>
        <row r="3796">
          <cell r="C3796" t="str">
            <v>Kiriman Uang Masuk</v>
          </cell>
          <cell r="D3796">
            <v>2490000</v>
          </cell>
          <cell r="E3796"/>
          <cell r="F3796"/>
          <cell r="G3796"/>
          <cell r="H3796"/>
          <cell r="I3796"/>
          <cell r="J3796">
            <v>0</v>
          </cell>
        </row>
        <row r="3797">
          <cell r="C3797" t="str">
            <v>Arus Keluar Kas dari Aktivitas Transitoris</v>
          </cell>
          <cell r="D3797">
            <v>132801995811</v>
          </cell>
          <cell r="E3797">
            <v>178867422738.01999</v>
          </cell>
          <cell r="F3797"/>
          <cell r="G3797"/>
          <cell r="H3797"/>
          <cell r="I3797"/>
          <cell r="J3797">
            <v>178867422738.01999</v>
          </cell>
        </row>
        <row r="3798">
          <cell r="C3798" t="str">
            <v>Pembayaran Perhitungan Pihak Ketiga (PFK)</v>
          </cell>
          <cell r="D3798">
            <v>114074606811</v>
          </cell>
          <cell r="E3798">
            <v>166903429738.01999</v>
          </cell>
          <cell r="F3798"/>
          <cell r="G3798"/>
          <cell r="H3798"/>
          <cell r="I3798"/>
          <cell r="J3798">
            <v>166903429738.01999</v>
          </cell>
        </row>
        <row r="3799">
          <cell r="C3799" t="str">
            <v>Pemberian Uang Persediaan kepada Bend. Pengeluaran</v>
          </cell>
          <cell r="D3799">
            <v>18727389000</v>
          </cell>
          <cell r="E3799">
            <v>11963993000</v>
          </cell>
          <cell r="F3799"/>
          <cell r="G3799"/>
          <cell r="H3799"/>
          <cell r="I3799"/>
          <cell r="J3799">
            <v>11963993000</v>
          </cell>
        </row>
        <row r="3800">
          <cell r="C3800" t="str">
            <v>Kiriman Uang Keluar</v>
          </cell>
          <cell r="D3800">
            <v>0</v>
          </cell>
          <cell r="E3800">
            <v>0</v>
          </cell>
          <cell r="F3800"/>
          <cell r="G3800"/>
          <cell r="H3800"/>
          <cell r="I3800"/>
          <cell r="J3800">
            <v>0</v>
          </cell>
        </row>
        <row r="3801">
          <cell r="C3801"/>
          <cell r="D3801"/>
          <cell r="E3801"/>
          <cell r="F3801"/>
          <cell r="G3801"/>
          <cell r="H3801"/>
          <cell r="I3801"/>
          <cell r="J3801"/>
        </row>
        <row r="3802">
          <cell r="C3802" t="str">
            <v>KENAIKAN/(PENURUNAN) KAS</v>
          </cell>
          <cell r="D3802">
            <v>103417036908.08008</v>
          </cell>
          <cell r="E3802">
            <v>813114576869.96997</v>
          </cell>
          <cell r="F3802"/>
          <cell r="G3802"/>
          <cell r="H3802"/>
          <cell r="I3802"/>
          <cell r="J3802">
            <v>813114576869.96997</v>
          </cell>
        </row>
        <row r="3803">
          <cell r="C3803"/>
          <cell r="D3803"/>
          <cell r="E3803"/>
          <cell r="F3803"/>
          <cell r="G3803"/>
          <cell r="H3803"/>
          <cell r="I3803"/>
          <cell r="J3803"/>
        </row>
        <row r="3804">
          <cell r="C3804" t="str">
            <v>SALDO AWAL KAS</v>
          </cell>
          <cell r="D3804">
            <v>228217596094.40997</v>
          </cell>
          <cell r="E3804">
            <v>331614798062.02002</v>
          </cell>
          <cell r="F3804"/>
          <cell r="G3804"/>
          <cell r="H3804"/>
          <cell r="I3804"/>
          <cell r="J3804">
            <v>331614798062.02002</v>
          </cell>
        </row>
        <row r="3805">
          <cell r="C3805" t="str">
            <v>Kas di Kas Daerah</v>
          </cell>
          <cell r="D3805">
            <v>221026113981.48999</v>
          </cell>
          <cell r="E3805">
            <v>327859411341.03003</v>
          </cell>
          <cell r="F3805"/>
          <cell r="G3805"/>
          <cell r="H3805"/>
          <cell r="I3805"/>
          <cell r="J3805">
            <v>327859411341.03003</v>
          </cell>
        </row>
        <row r="3806">
          <cell r="C3806" t="str">
            <v>Kas di Bendahara Penerimaan</v>
          </cell>
          <cell r="D3806">
            <v>665763980</v>
          </cell>
          <cell r="E3806">
            <v>0</v>
          </cell>
          <cell r="F3806"/>
          <cell r="G3806"/>
          <cell r="H3806"/>
          <cell r="I3806"/>
          <cell r="J3806">
            <v>0</v>
          </cell>
        </row>
        <row r="3807">
          <cell r="C3807" t="str">
            <v>Kas di Bendahara Pengeluaran</v>
          </cell>
          <cell r="D3807"/>
          <cell r="E3807">
            <v>2490000</v>
          </cell>
          <cell r="F3807"/>
          <cell r="G3807"/>
          <cell r="H3807"/>
          <cell r="I3807"/>
          <cell r="J3807">
            <v>2490000</v>
          </cell>
        </row>
        <row r="3808">
          <cell r="C3808" t="str">
            <v>Kas di BLUD</v>
          </cell>
          <cell r="D3808">
            <v>6474649884.1199999</v>
          </cell>
          <cell r="E3808">
            <v>2670897267.1900001</v>
          </cell>
          <cell r="F3808"/>
          <cell r="G3808"/>
          <cell r="H3808"/>
          <cell r="I3808"/>
          <cell r="J3808">
            <v>2670897267.1900001</v>
          </cell>
        </row>
        <row r="3809">
          <cell r="C3809" t="str">
            <v>Kas Dana BOS</v>
          </cell>
          <cell r="D3809">
            <v>51068248.799999997</v>
          </cell>
          <cell r="E3809">
            <v>0</v>
          </cell>
          <cell r="F3809"/>
          <cell r="G3809"/>
          <cell r="H3809"/>
          <cell r="I3809"/>
          <cell r="J3809">
            <v>0</v>
          </cell>
        </row>
        <row r="3810">
          <cell r="C3810" t="str">
            <v>Kas Dana Kapitasi pada FKTP</v>
          </cell>
          <cell r="D3810">
            <v>0</v>
          </cell>
          <cell r="E3810">
            <v>0</v>
          </cell>
          <cell r="F3810"/>
          <cell r="G3810"/>
          <cell r="H3810"/>
          <cell r="I3810"/>
          <cell r="J3810">
            <v>0</v>
          </cell>
        </row>
        <row r="3811">
          <cell r="C3811" t="str">
            <v>Kas Lainnya</v>
          </cell>
          <cell r="D3811">
            <v>0</v>
          </cell>
          <cell r="E3811">
            <v>13650000</v>
          </cell>
          <cell r="F3811"/>
          <cell r="G3811"/>
          <cell r="H3811"/>
          <cell r="I3811"/>
          <cell r="J3811">
            <v>13650000</v>
          </cell>
        </row>
        <row r="3812">
          <cell r="C3812" t="str">
            <v>Kas Dana BOSP</v>
          </cell>
          <cell r="D3812">
            <v>0</v>
          </cell>
          <cell r="E3812">
            <v>38483270.799999997</v>
          </cell>
          <cell r="F3812"/>
          <cell r="G3812"/>
          <cell r="H3812"/>
          <cell r="I3812"/>
          <cell r="J3812">
            <v>38483270.799999997</v>
          </cell>
        </row>
        <row r="3813">
          <cell r="C3813" t="str">
            <v>Kas Dana BOK Puskesmas</v>
          </cell>
          <cell r="D3813">
            <v>0</v>
          </cell>
          <cell r="E3813">
            <v>1029866183</v>
          </cell>
          <cell r="F3813"/>
          <cell r="G3813"/>
          <cell r="H3813"/>
          <cell r="I3813"/>
          <cell r="J3813">
            <v>1029866183</v>
          </cell>
        </row>
        <row r="3814">
          <cell r="C3814"/>
          <cell r="D3814"/>
          <cell r="E3814"/>
          <cell r="F3814"/>
          <cell r="G3814"/>
          <cell r="H3814"/>
          <cell r="I3814"/>
          <cell r="J3814"/>
        </row>
        <row r="3815">
          <cell r="C3815" t="str">
            <v>KOREKSI SILPA TAHUN LALU</v>
          </cell>
          <cell r="D3815">
            <v>-33484940.469999999</v>
          </cell>
          <cell r="E3815">
            <v>13585000</v>
          </cell>
          <cell r="F3815"/>
          <cell r="G3815"/>
          <cell r="H3815"/>
          <cell r="I3815"/>
          <cell r="J3815">
            <v>13585000</v>
          </cell>
        </row>
        <row r="3816">
          <cell r="C3816"/>
          <cell r="D3816"/>
          <cell r="E3816"/>
          <cell r="F3816"/>
          <cell r="G3816"/>
          <cell r="H3816"/>
          <cell r="I3816"/>
          <cell r="J3816"/>
        </row>
        <row r="3817">
          <cell r="C3817" t="str">
            <v>KAS LAINNYA DI BENDAHARA (SELAIN BUD)</v>
          </cell>
          <cell r="D3817">
            <v>13650000</v>
          </cell>
          <cell r="E3817"/>
          <cell r="F3817"/>
          <cell r="G3817"/>
          <cell r="H3817"/>
          <cell r="I3817"/>
          <cell r="J3817">
            <v>0</v>
          </cell>
        </row>
        <row r="3818">
          <cell r="C3818"/>
          <cell r="D3818"/>
          <cell r="E3818"/>
          <cell r="F3818"/>
          <cell r="G3818"/>
          <cell r="H3818"/>
          <cell r="I3818"/>
          <cell r="J3818"/>
        </row>
        <row r="3819">
          <cell r="C3819" t="str">
            <v>SALDO AKHIR KAS</v>
          </cell>
          <cell r="D3819">
            <v>331614798062.02002</v>
          </cell>
          <cell r="E3819">
            <v>1144742959931.99</v>
          </cell>
          <cell r="F3819"/>
          <cell r="G3819"/>
          <cell r="H3819"/>
          <cell r="I3819"/>
          <cell r="J3819">
            <v>1144742959931.99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87ED-6706-4BFF-86A2-B6B4354567D0}">
  <sheetPr codeName="Sheet14">
    <tabColor rgb="FF1B6744"/>
    <pageSetUpPr fitToPage="1"/>
  </sheetPr>
  <dimension ref="A1:J91"/>
  <sheetViews>
    <sheetView view="pageBreakPreview" topLeftCell="A65" zoomScale="115" zoomScaleNormal="100" zoomScaleSheetLayoutView="115" workbookViewId="0">
      <selection activeCell="A65" sqref="A1:XFD1048576"/>
    </sheetView>
  </sheetViews>
  <sheetFormatPr defaultColWidth="9.109375" defaultRowHeight="13.8" x14ac:dyDescent="0.3"/>
  <cols>
    <col min="1" max="1" width="52" style="68" customWidth="1"/>
    <col min="2" max="2" width="10.109375" style="68" customWidth="1"/>
    <col min="3" max="3" width="24.109375" style="69" bestFit="1" customWidth="1"/>
    <col min="4" max="4" width="22.44140625" style="70" bestFit="1" customWidth="1"/>
    <col min="5" max="5" width="10.33203125" style="67" customWidth="1"/>
    <col min="6" max="6" width="22.44140625" style="2" bestFit="1" customWidth="1"/>
    <col min="7" max="7" width="3" style="1" customWidth="1"/>
    <col min="8" max="8" width="22.109375" style="1" customWidth="1"/>
    <col min="9" max="9" width="22.109375" style="1" bestFit="1" customWidth="1"/>
    <col min="10" max="10" width="29.88671875" style="2" customWidth="1"/>
    <col min="11" max="249" width="9.109375" style="2"/>
    <col min="250" max="250" width="1.44140625" style="2" customWidth="1"/>
    <col min="251" max="252" width="0.88671875" style="2" customWidth="1"/>
    <col min="253" max="254" width="1.109375" style="2" customWidth="1"/>
    <col min="255" max="255" width="43" style="2" bestFit="1" customWidth="1"/>
    <col min="256" max="256" width="9.88671875" style="2" bestFit="1" customWidth="1"/>
    <col min="257" max="258" width="18.44140625" style="2" bestFit="1" customWidth="1"/>
    <col min="259" max="259" width="8.44140625" style="2" bestFit="1" customWidth="1"/>
    <col min="260" max="260" width="18.44140625" style="2" bestFit="1" customWidth="1"/>
    <col min="261" max="505" width="9.109375" style="2"/>
    <col min="506" max="506" width="1.44140625" style="2" customWidth="1"/>
    <col min="507" max="508" width="0.88671875" style="2" customWidth="1"/>
    <col min="509" max="510" width="1.109375" style="2" customWidth="1"/>
    <col min="511" max="511" width="43" style="2" bestFit="1" customWidth="1"/>
    <col min="512" max="512" width="9.88671875" style="2" bestFit="1" customWidth="1"/>
    <col min="513" max="514" width="18.44140625" style="2" bestFit="1" customWidth="1"/>
    <col min="515" max="515" width="8.44140625" style="2" bestFit="1" customWidth="1"/>
    <col min="516" max="516" width="18.44140625" style="2" bestFit="1" customWidth="1"/>
    <col min="517" max="761" width="9.109375" style="2"/>
    <col min="762" max="762" width="1.44140625" style="2" customWidth="1"/>
    <col min="763" max="764" width="0.88671875" style="2" customWidth="1"/>
    <col min="765" max="766" width="1.109375" style="2" customWidth="1"/>
    <col min="767" max="767" width="43" style="2" bestFit="1" customWidth="1"/>
    <col min="768" max="768" width="9.88671875" style="2" bestFit="1" customWidth="1"/>
    <col min="769" max="770" width="18.44140625" style="2" bestFit="1" customWidth="1"/>
    <col min="771" max="771" width="8.44140625" style="2" bestFit="1" customWidth="1"/>
    <col min="772" max="772" width="18.44140625" style="2" bestFit="1" customWidth="1"/>
    <col min="773" max="1017" width="9.109375" style="2"/>
    <col min="1018" max="1018" width="1.44140625" style="2" customWidth="1"/>
    <col min="1019" max="1020" width="0.88671875" style="2" customWidth="1"/>
    <col min="1021" max="1022" width="1.109375" style="2" customWidth="1"/>
    <col min="1023" max="1023" width="43" style="2" bestFit="1" customWidth="1"/>
    <col min="1024" max="1024" width="9.88671875" style="2" bestFit="1" customWidth="1"/>
    <col min="1025" max="1026" width="18.44140625" style="2" bestFit="1" customWidth="1"/>
    <col min="1027" max="1027" width="8.44140625" style="2" bestFit="1" customWidth="1"/>
    <col min="1028" max="1028" width="18.44140625" style="2" bestFit="1" customWidth="1"/>
    <col min="1029" max="1273" width="9.109375" style="2"/>
    <col min="1274" max="1274" width="1.44140625" style="2" customWidth="1"/>
    <col min="1275" max="1276" width="0.88671875" style="2" customWidth="1"/>
    <col min="1277" max="1278" width="1.109375" style="2" customWidth="1"/>
    <col min="1279" max="1279" width="43" style="2" bestFit="1" customWidth="1"/>
    <col min="1280" max="1280" width="9.88671875" style="2" bestFit="1" customWidth="1"/>
    <col min="1281" max="1282" width="18.44140625" style="2" bestFit="1" customWidth="1"/>
    <col min="1283" max="1283" width="8.44140625" style="2" bestFit="1" customWidth="1"/>
    <col min="1284" max="1284" width="18.44140625" style="2" bestFit="1" customWidth="1"/>
    <col min="1285" max="1529" width="9.109375" style="2"/>
    <col min="1530" max="1530" width="1.44140625" style="2" customWidth="1"/>
    <col min="1531" max="1532" width="0.88671875" style="2" customWidth="1"/>
    <col min="1533" max="1534" width="1.109375" style="2" customWidth="1"/>
    <col min="1535" max="1535" width="43" style="2" bestFit="1" customWidth="1"/>
    <col min="1536" max="1536" width="9.88671875" style="2" bestFit="1" customWidth="1"/>
    <col min="1537" max="1538" width="18.44140625" style="2" bestFit="1" customWidth="1"/>
    <col min="1539" max="1539" width="8.44140625" style="2" bestFit="1" customWidth="1"/>
    <col min="1540" max="1540" width="18.44140625" style="2" bestFit="1" customWidth="1"/>
    <col min="1541" max="1785" width="9.109375" style="2"/>
    <col min="1786" max="1786" width="1.44140625" style="2" customWidth="1"/>
    <col min="1787" max="1788" width="0.88671875" style="2" customWidth="1"/>
    <col min="1789" max="1790" width="1.109375" style="2" customWidth="1"/>
    <col min="1791" max="1791" width="43" style="2" bestFit="1" customWidth="1"/>
    <col min="1792" max="1792" width="9.88671875" style="2" bestFit="1" customWidth="1"/>
    <col min="1793" max="1794" width="18.44140625" style="2" bestFit="1" customWidth="1"/>
    <col min="1795" max="1795" width="8.44140625" style="2" bestFit="1" customWidth="1"/>
    <col min="1796" max="1796" width="18.44140625" style="2" bestFit="1" customWidth="1"/>
    <col min="1797" max="2041" width="9.109375" style="2"/>
    <col min="2042" max="2042" width="1.44140625" style="2" customWidth="1"/>
    <col min="2043" max="2044" width="0.88671875" style="2" customWidth="1"/>
    <col min="2045" max="2046" width="1.109375" style="2" customWidth="1"/>
    <col min="2047" max="2047" width="43" style="2" bestFit="1" customWidth="1"/>
    <col min="2048" max="2048" width="9.88671875" style="2" bestFit="1" customWidth="1"/>
    <col min="2049" max="2050" width="18.44140625" style="2" bestFit="1" customWidth="1"/>
    <col min="2051" max="2051" width="8.44140625" style="2" bestFit="1" customWidth="1"/>
    <col min="2052" max="2052" width="18.44140625" style="2" bestFit="1" customWidth="1"/>
    <col min="2053" max="2297" width="9.109375" style="2"/>
    <col min="2298" max="2298" width="1.44140625" style="2" customWidth="1"/>
    <col min="2299" max="2300" width="0.88671875" style="2" customWidth="1"/>
    <col min="2301" max="2302" width="1.109375" style="2" customWidth="1"/>
    <col min="2303" max="2303" width="43" style="2" bestFit="1" customWidth="1"/>
    <col min="2304" max="2304" width="9.88671875" style="2" bestFit="1" customWidth="1"/>
    <col min="2305" max="2306" width="18.44140625" style="2" bestFit="1" customWidth="1"/>
    <col min="2307" max="2307" width="8.44140625" style="2" bestFit="1" customWidth="1"/>
    <col min="2308" max="2308" width="18.44140625" style="2" bestFit="1" customWidth="1"/>
    <col min="2309" max="2553" width="9.109375" style="2"/>
    <col min="2554" max="2554" width="1.44140625" style="2" customWidth="1"/>
    <col min="2555" max="2556" width="0.88671875" style="2" customWidth="1"/>
    <col min="2557" max="2558" width="1.109375" style="2" customWidth="1"/>
    <col min="2559" max="2559" width="43" style="2" bestFit="1" customWidth="1"/>
    <col min="2560" max="2560" width="9.88671875" style="2" bestFit="1" customWidth="1"/>
    <col min="2561" max="2562" width="18.44140625" style="2" bestFit="1" customWidth="1"/>
    <col min="2563" max="2563" width="8.44140625" style="2" bestFit="1" customWidth="1"/>
    <col min="2564" max="2564" width="18.44140625" style="2" bestFit="1" customWidth="1"/>
    <col min="2565" max="2809" width="9.109375" style="2"/>
    <col min="2810" max="2810" width="1.44140625" style="2" customWidth="1"/>
    <col min="2811" max="2812" width="0.88671875" style="2" customWidth="1"/>
    <col min="2813" max="2814" width="1.109375" style="2" customWidth="1"/>
    <col min="2815" max="2815" width="43" style="2" bestFit="1" customWidth="1"/>
    <col min="2816" max="2816" width="9.88671875" style="2" bestFit="1" customWidth="1"/>
    <col min="2817" max="2818" width="18.44140625" style="2" bestFit="1" customWidth="1"/>
    <col min="2819" max="2819" width="8.44140625" style="2" bestFit="1" customWidth="1"/>
    <col min="2820" max="2820" width="18.44140625" style="2" bestFit="1" customWidth="1"/>
    <col min="2821" max="3065" width="9.109375" style="2"/>
    <col min="3066" max="3066" width="1.44140625" style="2" customWidth="1"/>
    <col min="3067" max="3068" width="0.88671875" style="2" customWidth="1"/>
    <col min="3069" max="3070" width="1.109375" style="2" customWidth="1"/>
    <col min="3071" max="3071" width="43" style="2" bestFit="1" customWidth="1"/>
    <col min="3072" max="3072" width="9.88671875" style="2" bestFit="1" customWidth="1"/>
    <col min="3073" max="3074" width="18.44140625" style="2" bestFit="1" customWidth="1"/>
    <col min="3075" max="3075" width="8.44140625" style="2" bestFit="1" customWidth="1"/>
    <col min="3076" max="3076" width="18.44140625" style="2" bestFit="1" customWidth="1"/>
    <col min="3077" max="3321" width="9.109375" style="2"/>
    <col min="3322" max="3322" width="1.44140625" style="2" customWidth="1"/>
    <col min="3323" max="3324" width="0.88671875" style="2" customWidth="1"/>
    <col min="3325" max="3326" width="1.109375" style="2" customWidth="1"/>
    <col min="3327" max="3327" width="43" style="2" bestFit="1" customWidth="1"/>
    <col min="3328" max="3328" width="9.88671875" style="2" bestFit="1" customWidth="1"/>
    <col min="3329" max="3330" width="18.44140625" style="2" bestFit="1" customWidth="1"/>
    <col min="3331" max="3331" width="8.44140625" style="2" bestFit="1" customWidth="1"/>
    <col min="3332" max="3332" width="18.44140625" style="2" bestFit="1" customWidth="1"/>
    <col min="3333" max="3577" width="9.109375" style="2"/>
    <col min="3578" max="3578" width="1.44140625" style="2" customWidth="1"/>
    <col min="3579" max="3580" width="0.88671875" style="2" customWidth="1"/>
    <col min="3581" max="3582" width="1.109375" style="2" customWidth="1"/>
    <col min="3583" max="3583" width="43" style="2" bestFit="1" customWidth="1"/>
    <col min="3584" max="3584" width="9.88671875" style="2" bestFit="1" customWidth="1"/>
    <col min="3585" max="3586" width="18.44140625" style="2" bestFit="1" customWidth="1"/>
    <col min="3587" max="3587" width="8.44140625" style="2" bestFit="1" customWidth="1"/>
    <col min="3588" max="3588" width="18.44140625" style="2" bestFit="1" customWidth="1"/>
    <col min="3589" max="3833" width="9.109375" style="2"/>
    <col min="3834" max="3834" width="1.44140625" style="2" customWidth="1"/>
    <col min="3835" max="3836" width="0.88671875" style="2" customWidth="1"/>
    <col min="3837" max="3838" width="1.109375" style="2" customWidth="1"/>
    <col min="3839" max="3839" width="43" style="2" bestFit="1" customWidth="1"/>
    <col min="3840" max="3840" width="9.88671875" style="2" bestFit="1" customWidth="1"/>
    <col min="3841" max="3842" width="18.44140625" style="2" bestFit="1" customWidth="1"/>
    <col min="3843" max="3843" width="8.44140625" style="2" bestFit="1" customWidth="1"/>
    <col min="3844" max="3844" width="18.44140625" style="2" bestFit="1" customWidth="1"/>
    <col min="3845" max="4089" width="9.109375" style="2"/>
    <col min="4090" max="4090" width="1.44140625" style="2" customWidth="1"/>
    <col min="4091" max="4092" width="0.88671875" style="2" customWidth="1"/>
    <col min="4093" max="4094" width="1.109375" style="2" customWidth="1"/>
    <col min="4095" max="4095" width="43" style="2" bestFit="1" customWidth="1"/>
    <col min="4096" max="4096" width="9.88671875" style="2" bestFit="1" customWidth="1"/>
    <col min="4097" max="4098" width="18.44140625" style="2" bestFit="1" customWidth="1"/>
    <col min="4099" max="4099" width="8.44140625" style="2" bestFit="1" customWidth="1"/>
    <col min="4100" max="4100" width="18.44140625" style="2" bestFit="1" customWidth="1"/>
    <col min="4101" max="4345" width="9.109375" style="2"/>
    <col min="4346" max="4346" width="1.44140625" style="2" customWidth="1"/>
    <col min="4347" max="4348" width="0.88671875" style="2" customWidth="1"/>
    <col min="4349" max="4350" width="1.109375" style="2" customWidth="1"/>
    <col min="4351" max="4351" width="43" style="2" bestFit="1" customWidth="1"/>
    <col min="4352" max="4352" width="9.88671875" style="2" bestFit="1" customWidth="1"/>
    <col min="4353" max="4354" width="18.44140625" style="2" bestFit="1" customWidth="1"/>
    <col min="4355" max="4355" width="8.44140625" style="2" bestFit="1" customWidth="1"/>
    <col min="4356" max="4356" width="18.44140625" style="2" bestFit="1" customWidth="1"/>
    <col min="4357" max="4601" width="9.109375" style="2"/>
    <col min="4602" max="4602" width="1.44140625" style="2" customWidth="1"/>
    <col min="4603" max="4604" width="0.88671875" style="2" customWidth="1"/>
    <col min="4605" max="4606" width="1.109375" style="2" customWidth="1"/>
    <col min="4607" max="4607" width="43" style="2" bestFit="1" customWidth="1"/>
    <col min="4608" max="4608" width="9.88671875" style="2" bestFit="1" customWidth="1"/>
    <col min="4609" max="4610" width="18.44140625" style="2" bestFit="1" customWidth="1"/>
    <col min="4611" max="4611" width="8.44140625" style="2" bestFit="1" customWidth="1"/>
    <col min="4612" max="4612" width="18.44140625" style="2" bestFit="1" customWidth="1"/>
    <col min="4613" max="4857" width="9.109375" style="2"/>
    <col min="4858" max="4858" width="1.44140625" style="2" customWidth="1"/>
    <col min="4859" max="4860" width="0.88671875" style="2" customWidth="1"/>
    <col min="4861" max="4862" width="1.109375" style="2" customWidth="1"/>
    <col min="4863" max="4863" width="43" style="2" bestFit="1" customWidth="1"/>
    <col min="4864" max="4864" width="9.88671875" style="2" bestFit="1" customWidth="1"/>
    <col min="4865" max="4866" width="18.44140625" style="2" bestFit="1" customWidth="1"/>
    <col min="4867" max="4867" width="8.44140625" style="2" bestFit="1" customWidth="1"/>
    <col min="4868" max="4868" width="18.44140625" style="2" bestFit="1" customWidth="1"/>
    <col min="4869" max="5113" width="9.109375" style="2"/>
    <col min="5114" max="5114" width="1.44140625" style="2" customWidth="1"/>
    <col min="5115" max="5116" width="0.88671875" style="2" customWidth="1"/>
    <col min="5117" max="5118" width="1.109375" style="2" customWidth="1"/>
    <col min="5119" max="5119" width="43" style="2" bestFit="1" customWidth="1"/>
    <col min="5120" max="5120" width="9.88671875" style="2" bestFit="1" customWidth="1"/>
    <col min="5121" max="5122" width="18.44140625" style="2" bestFit="1" customWidth="1"/>
    <col min="5123" max="5123" width="8.44140625" style="2" bestFit="1" customWidth="1"/>
    <col min="5124" max="5124" width="18.44140625" style="2" bestFit="1" customWidth="1"/>
    <col min="5125" max="5369" width="9.109375" style="2"/>
    <col min="5370" max="5370" width="1.44140625" style="2" customWidth="1"/>
    <col min="5371" max="5372" width="0.88671875" style="2" customWidth="1"/>
    <col min="5373" max="5374" width="1.109375" style="2" customWidth="1"/>
    <col min="5375" max="5375" width="43" style="2" bestFit="1" customWidth="1"/>
    <col min="5376" max="5376" width="9.88671875" style="2" bestFit="1" customWidth="1"/>
    <col min="5377" max="5378" width="18.44140625" style="2" bestFit="1" customWidth="1"/>
    <col min="5379" max="5379" width="8.44140625" style="2" bestFit="1" customWidth="1"/>
    <col min="5380" max="5380" width="18.44140625" style="2" bestFit="1" customWidth="1"/>
    <col min="5381" max="5625" width="9.109375" style="2"/>
    <col min="5626" max="5626" width="1.44140625" style="2" customWidth="1"/>
    <col min="5627" max="5628" width="0.88671875" style="2" customWidth="1"/>
    <col min="5629" max="5630" width="1.109375" style="2" customWidth="1"/>
    <col min="5631" max="5631" width="43" style="2" bestFit="1" customWidth="1"/>
    <col min="5632" max="5632" width="9.88671875" style="2" bestFit="1" customWidth="1"/>
    <col min="5633" max="5634" width="18.44140625" style="2" bestFit="1" customWidth="1"/>
    <col min="5635" max="5635" width="8.44140625" style="2" bestFit="1" customWidth="1"/>
    <col min="5636" max="5636" width="18.44140625" style="2" bestFit="1" customWidth="1"/>
    <col min="5637" max="5881" width="9.109375" style="2"/>
    <col min="5882" max="5882" width="1.44140625" style="2" customWidth="1"/>
    <col min="5883" max="5884" width="0.88671875" style="2" customWidth="1"/>
    <col min="5885" max="5886" width="1.109375" style="2" customWidth="1"/>
    <col min="5887" max="5887" width="43" style="2" bestFit="1" customWidth="1"/>
    <col min="5888" max="5888" width="9.88671875" style="2" bestFit="1" customWidth="1"/>
    <col min="5889" max="5890" width="18.44140625" style="2" bestFit="1" customWidth="1"/>
    <col min="5891" max="5891" width="8.44140625" style="2" bestFit="1" customWidth="1"/>
    <col min="5892" max="5892" width="18.44140625" style="2" bestFit="1" customWidth="1"/>
    <col min="5893" max="6137" width="9.109375" style="2"/>
    <col min="6138" max="6138" width="1.44140625" style="2" customWidth="1"/>
    <col min="6139" max="6140" width="0.88671875" style="2" customWidth="1"/>
    <col min="6141" max="6142" width="1.109375" style="2" customWidth="1"/>
    <col min="6143" max="6143" width="43" style="2" bestFit="1" customWidth="1"/>
    <col min="6144" max="6144" width="9.88671875" style="2" bestFit="1" customWidth="1"/>
    <col min="6145" max="6146" width="18.44140625" style="2" bestFit="1" customWidth="1"/>
    <col min="6147" max="6147" width="8.44140625" style="2" bestFit="1" customWidth="1"/>
    <col min="6148" max="6148" width="18.44140625" style="2" bestFit="1" customWidth="1"/>
    <col min="6149" max="6393" width="9.109375" style="2"/>
    <col min="6394" max="6394" width="1.44140625" style="2" customWidth="1"/>
    <col min="6395" max="6396" width="0.88671875" style="2" customWidth="1"/>
    <col min="6397" max="6398" width="1.109375" style="2" customWidth="1"/>
    <col min="6399" max="6399" width="43" style="2" bestFit="1" customWidth="1"/>
    <col min="6400" max="6400" width="9.88671875" style="2" bestFit="1" customWidth="1"/>
    <col min="6401" max="6402" width="18.44140625" style="2" bestFit="1" customWidth="1"/>
    <col min="6403" max="6403" width="8.44140625" style="2" bestFit="1" customWidth="1"/>
    <col min="6404" max="6404" width="18.44140625" style="2" bestFit="1" customWidth="1"/>
    <col min="6405" max="6649" width="9.109375" style="2"/>
    <col min="6650" max="6650" width="1.44140625" style="2" customWidth="1"/>
    <col min="6651" max="6652" width="0.88671875" style="2" customWidth="1"/>
    <col min="6653" max="6654" width="1.109375" style="2" customWidth="1"/>
    <col min="6655" max="6655" width="43" style="2" bestFit="1" customWidth="1"/>
    <col min="6656" max="6656" width="9.88671875" style="2" bestFit="1" customWidth="1"/>
    <col min="6657" max="6658" width="18.44140625" style="2" bestFit="1" customWidth="1"/>
    <col min="6659" max="6659" width="8.44140625" style="2" bestFit="1" customWidth="1"/>
    <col min="6660" max="6660" width="18.44140625" style="2" bestFit="1" customWidth="1"/>
    <col min="6661" max="6905" width="9.109375" style="2"/>
    <col min="6906" max="6906" width="1.44140625" style="2" customWidth="1"/>
    <col min="6907" max="6908" width="0.88671875" style="2" customWidth="1"/>
    <col min="6909" max="6910" width="1.109375" style="2" customWidth="1"/>
    <col min="6911" max="6911" width="43" style="2" bestFit="1" customWidth="1"/>
    <col min="6912" max="6912" width="9.88671875" style="2" bestFit="1" customWidth="1"/>
    <col min="6913" max="6914" width="18.44140625" style="2" bestFit="1" customWidth="1"/>
    <col min="6915" max="6915" width="8.44140625" style="2" bestFit="1" customWidth="1"/>
    <col min="6916" max="6916" width="18.44140625" style="2" bestFit="1" customWidth="1"/>
    <col min="6917" max="7161" width="9.109375" style="2"/>
    <col min="7162" max="7162" width="1.44140625" style="2" customWidth="1"/>
    <col min="7163" max="7164" width="0.88671875" style="2" customWidth="1"/>
    <col min="7165" max="7166" width="1.109375" style="2" customWidth="1"/>
    <col min="7167" max="7167" width="43" style="2" bestFit="1" customWidth="1"/>
    <col min="7168" max="7168" width="9.88671875" style="2" bestFit="1" customWidth="1"/>
    <col min="7169" max="7170" width="18.44140625" style="2" bestFit="1" customWidth="1"/>
    <col min="7171" max="7171" width="8.44140625" style="2" bestFit="1" customWidth="1"/>
    <col min="7172" max="7172" width="18.44140625" style="2" bestFit="1" customWidth="1"/>
    <col min="7173" max="7417" width="9.109375" style="2"/>
    <col min="7418" max="7418" width="1.44140625" style="2" customWidth="1"/>
    <col min="7419" max="7420" width="0.88671875" style="2" customWidth="1"/>
    <col min="7421" max="7422" width="1.109375" style="2" customWidth="1"/>
    <col min="7423" max="7423" width="43" style="2" bestFit="1" customWidth="1"/>
    <col min="7424" max="7424" width="9.88671875" style="2" bestFit="1" customWidth="1"/>
    <col min="7425" max="7426" width="18.44140625" style="2" bestFit="1" customWidth="1"/>
    <col min="7427" max="7427" width="8.44140625" style="2" bestFit="1" customWidth="1"/>
    <col min="7428" max="7428" width="18.44140625" style="2" bestFit="1" customWidth="1"/>
    <col min="7429" max="7673" width="9.109375" style="2"/>
    <col min="7674" max="7674" width="1.44140625" style="2" customWidth="1"/>
    <col min="7675" max="7676" width="0.88671875" style="2" customWidth="1"/>
    <col min="7677" max="7678" width="1.109375" style="2" customWidth="1"/>
    <col min="7679" max="7679" width="43" style="2" bestFit="1" customWidth="1"/>
    <col min="7680" max="7680" width="9.88671875" style="2" bestFit="1" customWidth="1"/>
    <col min="7681" max="7682" width="18.44140625" style="2" bestFit="1" customWidth="1"/>
    <col min="7683" max="7683" width="8.44140625" style="2" bestFit="1" customWidth="1"/>
    <col min="7684" max="7684" width="18.44140625" style="2" bestFit="1" customWidth="1"/>
    <col min="7685" max="7929" width="9.109375" style="2"/>
    <col min="7930" max="7930" width="1.44140625" style="2" customWidth="1"/>
    <col min="7931" max="7932" width="0.88671875" style="2" customWidth="1"/>
    <col min="7933" max="7934" width="1.109375" style="2" customWidth="1"/>
    <col min="7935" max="7935" width="43" style="2" bestFit="1" customWidth="1"/>
    <col min="7936" max="7936" width="9.88671875" style="2" bestFit="1" customWidth="1"/>
    <col min="7937" max="7938" width="18.44140625" style="2" bestFit="1" customWidth="1"/>
    <col min="7939" max="7939" width="8.44140625" style="2" bestFit="1" customWidth="1"/>
    <col min="7940" max="7940" width="18.44140625" style="2" bestFit="1" customWidth="1"/>
    <col min="7941" max="8185" width="9.109375" style="2"/>
    <col min="8186" max="8186" width="1.44140625" style="2" customWidth="1"/>
    <col min="8187" max="8188" width="0.88671875" style="2" customWidth="1"/>
    <col min="8189" max="8190" width="1.109375" style="2" customWidth="1"/>
    <col min="8191" max="8191" width="43" style="2" bestFit="1" customWidth="1"/>
    <col min="8192" max="8192" width="9.88671875" style="2" bestFit="1" customWidth="1"/>
    <col min="8193" max="8194" width="18.44140625" style="2" bestFit="1" customWidth="1"/>
    <col min="8195" max="8195" width="8.44140625" style="2" bestFit="1" customWidth="1"/>
    <col min="8196" max="8196" width="18.44140625" style="2" bestFit="1" customWidth="1"/>
    <col min="8197" max="8441" width="9.109375" style="2"/>
    <col min="8442" max="8442" width="1.44140625" style="2" customWidth="1"/>
    <col min="8443" max="8444" width="0.88671875" style="2" customWidth="1"/>
    <col min="8445" max="8446" width="1.109375" style="2" customWidth="1"/>
    <col min="8447" max="8447" width="43" style="2" bestFit="1" customWidth="1"/>
    <col min="8448" max="8448" width="9.88671875" style="2" bestFit="1" customWidth="1"/>
    <col min="8449" max="8450" width="18.44140625" style="2" bestFit="1" customWidth="1"/>
    <col min="8451" max="8451" width="8.44140625" style="2" bestFit="1" customWidth="1"/>
    <col min="8452" max="8452" width="18.44140625" style="2" bestFit="1" customWidth="1"/>
    <col min="8453" max="8697" width="9.109375" style="2"/>
    <col min="8698" max="8698" width="1.44140625" style="2" customWidth="1"/>
    <col min="8699" max="8700" width="0.88671875" style="2" customWidth="1"/>
    <col min="8701" max="8702" width="1.109375" style="2" customWidth="1"/>
    <col min="8703" max="8703" width="43" style="2" bestFit="1" customWidth="1"/>
    <col min="8704" max="8704" width="9.88671875" style="2" bestFit="1" customWidth="1"/>
    <col min="8705" max="8706" width="18.44140625" style="2" bestFit="1" customWidth="1"/>
    <col min="8707" max="8707" width="8.44140625" style="2" bestFit="1" customWidth="1"/>
    <col min="8708" max="8708" width="18.44140625" style="2" bestFit="1" customWidth="1"/>
    <col min="8709" max="8953" width="9.109375" style="2"/>
    <col min="8954" max="8954" width="1.44140625" style="2" customWidth="1"/>
    <col min="8955" max="8956" width="0.88671875" style="2" customWidth="1"/>
    <col min="8957" max="8958" width="1.109375" style="2" customWidth="1"/>
    <col min="8959" max="8959" width="43" style="2" bestFit="1" customWidth="1"/>
    <col min="8960" max="8960" width="9.88671875" style="2" bestFit="1" customWidth="1"/>
    <col min="8961" max="8962" width="18.44140625" style="2" bestFit="1" customWidth="1"/>
    <col min="8963" max="8963" width="8.44140625" style="2" bestFit="1" customWidth="1"/>
    <col min="8964" max="8964" width="18.44140625" style="2" bestFit="1" customWidth="1"/>
    <col min="8965" max="9209" width="9.109375" style="2"/>
    <col min="9210" max="9210" width="1.44140625" style="2" customWidth="1"/>
    <col min="9211" max="9212" width="0.88671875" style="2" customWidth="1"/>
    <col min="9213" max="9214" width="1.109375" style="2" customWidth="1"/>
    <col min="9215" max="9215" width="43" style="2" bestFit="1" customWidth="1"/>
    <col min="9216" max="9216" width="9.88671875" style="2" bestFit="1" customWidth="1"/>
    <col min="9217" max="9218" width="18.44140625" style="2" bestFit="1" customWidth="1"/>
    <col min="9219" max="9219" width="8.44140625" style="2" bestFit="1" customWidth="1"/>
    <col min="9220" max="9220" width="18.44140625" style="2" bestFit="1" customWidth="1"/>
    <col min="9221" max="9465" width="9.109375" style="2"/>
    <col min="9466" max="9466" width="1.44140625" style="2" customWidth="1"/>
    <col min="9467" max="9468" width="0.88671875" style="2" customWidth="1"/>
    <col min="9469" max="9470" width="1.109375" style="2" customWidth="1"/>
    <col min="9471" max="9471" width="43" style="2" bestFit="1" customWidth="1"/>
    <col min="9472" max="9472" width="9.88671875" style="2" bestFit="1" customWidth="1"/>
    <col min="9473" max="9474" width="18.44140625" style="2" bestFit="1" customWidth="1"/>
    <col min="9475" max="9475" width="8.44140625" style="2" bestFit="1" customWidth="1"/>
    <col min="9476" max="9476" width="18.44140625" style="2" bestFit="1" customWidth="1"/>
    <col min="9477" max="9721" width="9.109375" style="2"/>
    <col min="9722" max="9722" width="1.44140625" style="2" customWidth="1"/>
    <col min="9723" max="9724" width="0.88671875" style="2" customWidth="1"/>
    <col min="9725" max="9726" width="1.109375" style="2" customWidth="1"/>
    <col min="9727" max="9727" width="43" style="2" bestFit="1" customWidth="1"/>
    <col min="9728" max="9728" width="9.88671875" style="2" bestFit="1" customWidth="1"/>
    <col min="9729" max="9730" width="18.44140625" style="2" bestFit="1" customWidth="1"/>
    <col min="9731" max="9731" width="8.44140625" style="2" bestFit="1" customWidth="1"/>
    <col min="9732" max="9732" width="18.44140625" style="2" bestFit="1" customWidth="1"/>
    <col min="9733" max="9977" width="9.109375" style="2"/>
    <col min="9978" max="9978" width="1.44140625" style="2" customWidth="1"/>
    <col min="9979" max="9980" width="0.88671875" style="2" customWidth="1"/>
    <col min="9981" max="9982" width="1.109375" style="2" customWidth="1"/>
    <col min="9983" max="9983" width="43" style="2" bestFit="1" customWidth="1"/>
    <col min="9984" max="9984" width="9.88671875" style="2" bestFit="1" customWidth="1"/>
    <col min="9985" max="9986" width="18.44140625" style="2" bestFit="1" customWidth="1"/>
    <col min="9987" max="9987" width="8.44140625" style="2" bestFit="1" customWidth="1"/>
    <col min="9988" max="9988" width="18.44140625" style="2" bestFit="1" customWidth="1"/>
    <col min="9989" max="10233" width="9.109375" style="2"/>
    <col min="10234" max="10234" width="1.44140625" style="2" customWidth="1"/>
    <col min="10235" max="10236" width="0.88671875" style="2" customWidth="1"/>
    <col min="10237" max="10238" width="1.109375" style="2" customWidth="1"/>
    <col min="10239" max="10239" width="43" style="2" bestFit="1" customWidth="1"/>
    <col min="10240" max="10240" width="9.88671875" style="2" bestFit="1" customWidth="1"/>
    <col min="10241" max="10242" width="18.44140625" style="2" bestFit="1" customWidth="1"/>
    <col min="10243" max="10243" width="8.44140625" style="2" bestFit="1" customWidth="1"/>
    <col min="10244" max="10244" width="18.44140625" style="2" bestFit="1" customWidth="1"/>
    <col min="10245" max="10489" width="9.109375" style="2"/>
    <col min="10490" max="10490" width="1.44140625" style="2" customWidth="1"/>
    <col min="10491" max="10492" width="0.88671875" style="2" customWidth="1"/>
    <col min="10493" max="10494" width="1.109375" style="2" customWidth="1"/>
    <col min="10495" max="10495" width="43" style="2" bestFit="1" customWidth="1"/>
    <col min="10496" max="10496" width="9.88671875" style="2" bestFit="1" customWidth="1"/>
    <col min="10497" max="10498" width="18.44140625" style="2" bestFit="1" customWidth="1"/>
    <col min="10499" max="10499" width="8.44140625" style="2" bestFit="1" customWidth="1"/>
    <col min="10500" max="10500" width="18.44140625" style="2" bestFit="1" customWidth="1"/>
    <col min="10501" max="10745" width="9.109375" style="2"/>
    <col min="10746" max="10746" width="1.44140625" style="2" customWidth="1"/>
    <col min="10747" max="10748" width="0.88671875" style="2" customWidth="1"/>
    <col min="10749" max="10750" width="1.109375" style="2" customWidth="1"/>
    <col min="10751" max="10751" width="43" style="2" bestFit="1" customWidth="1"/>
    <col min="10752" max="10752" width="9.88671875" style="2" bestFit="1" customWidth="1"/>
    <col min="10753" max="10754" width="18.44140625" style="2" bestFit="1" customWidth="1"/>
    <col min="10755" max="10755" width="8.44140625" style="2" bestFit="1" customWidth="1"/>
    <col min="10756" max="10756" width="18.44140625" style="2" bestFit="1" customWidth="1"/>
    <col min="10757" max="11001" width="9.109375" style="2"/>
    <col min="11002" max="11002" width="1.44140625" style="2" customWidth="1"/>
    <col min="11003" max="11004" width="0.88671875" style="2" customWidth="1"/>
    <col min="11005" max="11006" width="1.109375" style="2" customWidth="1"/>
    <col min="11007" max="11007" width="43" style="2" bestFit="1" customWidth="1"/>
    <col min="11008" max="11008" width="9.88671875" style="2" bestFit="1" customWidth="1"/>
    <col min="11009" max="11010" width="18.44140625" style="2" bestFit="1" customWidth="1"/>
    <col min="11011" max="11011" width="8.44140625" style="2" bestFit="1" customWidth="1"/>
    <col min="11012" max="11012" width="18.44140625" style="2" bestFit="1" customWidth="1"/>
    <col min="11013" max="11257" width="9.109375" style="2"/>
    <col min="11258" max="11258" width="1.44140625" style="2" customWidth="1"/>
    <col min="11259" max="11260" width="0.88671875" style="2" customWidth="1"/>
    <col min="11261" max="11262" width="1.109375" style="2" customWidth="1"/>
    <col min="11263" max="11263" width="43" style="2" bestFit="1" customWidth="1"/>
    <col min="11264" max="11264" width="9.88671875" style="2" bestFit="1" customWidth="1"/>
    <col min="11265" max="11266" width="18.44140625" style="2" bestFit="1" customWidth="1"/>
    <col min="11267" max="11267" width="8.44140625" style="2" bestFit="1" customWidth="1"/>
    <col min="11268" max="11268" width="18.44140625" style="2" bestFit="1" customWidth="1"/>
    <col min="11269" max="11513" width="9.109375" style="2"/>
    <col min="11514" max="11514" width="1.44140625" style="2" customWidth="1"/>
    <col min="11515" max="11516" width="0.88671875" style="2" customWidth="1"/>
    <col min="11517" max="11518" width="1.109375" style="2" customWidth="1"/>
    <col min="11519" max="11519" width="43" style="2" bestFit="1" customWidth="1"/>
    <col min="11520" max="11520" width="9.88671875" style="2" bestFit="1" customWidth="1"/>
    <col min="11521" max="11522" width="18.44140625" style="2" bestFit="1" customWidth="1"/>
    <col min="11523" max="11523" width="8.44140625" style="2" bestFit="1" customWidth="1"/>
    <col min="11524" max="11524" width="18.44140625" style="2" bestFit="1" customWidth="1"/>
    <col min="11525" max="11769" width="9.109375" style="2"/>
    <col min="11770" max="11770" width="1.44140625" style="2" customWidth="1"/>
    <col min="11771" max="11772" width="0.88671875" style="2" customWidth="1"/>
    <col min="11773" max="11774" width="1.109375" style="2" customWidth="1"/>
    <col min="11775" max="11775" width="43" style="2" bestFit="1" customWidth="1"/>
    <col min="11776" max="11776" width="9.88671875" style="2" bestFit="1" customWidth="1"/>
    <col min="11777" max="11778" width="18.44140625" style="2" bestFit="1" customWidth="1"/>
    <col min="11779" max="11779" width="8.44140625" style="2" bestFit="1" customWidth="1"/>
    <col min="11780" max="11780" width="18.44140625" style="2" bestFit="1" customWidth="1"/>
    <col min="11781" max="12025" width="9.109375" style="2"/>
    <col min="12026" max="12026" width="1.44140625" style="2" customWidth="1"/>
    <col min="12027" max="12028" width="0.88671875" style="2" customWidth="1"/>
    <col min="12029" max="12030" width="1.109375" style="2" customWidth="1"/>
    <col min="12031" max="12031" width="43" style="2" bestFit="1" customWidth="1"/>
    <col min="12032" max="12032" width="9.88671875" style="2" bestFit="1" customWidth="1"/>
    <col min="12033" max="12034" width="18.44140625" style="2" bestFit="1" customWidth="1"/>
    <col min="12035" max="12035" width="8.44140625" style="2" bestFit="1" customWidth="1"/>
    <col min="12036" max="12036" width="18.44140625" style="2" bestFit="1" customWidth="1"/>
    <col min="12037" max="12281" width="9.109375" style="2"/>
    <col min="12282" max="12282" width="1.44140625" style="2" customWidth="1"/>
    <col min="12283" max="12284" width="0.88671875" style="2" customWidth="1"/>
    <col min="12285" max="12286" width="1.109375" style="2" customWidth="1"/>
    <col min="12287" max="12287" width="43" style="2" bestFit="1" customWidth="1"/>
    <col min="12288" max="12288" width="9.88671875" style="2" bestFit="1" customWidth="1"/>
    <col min="12289" max="12290" width="18.44140625" style="2" bestFit="1" customWidth="1"/>
    <col min="12291" max="12291" width="8.44140625" style="2" bestFit="1" customWidth="1"/>
    <col min="12292" max="12292" width="18.44140625" style="2" bestFit="1" customWidth="1"/>
    <col min="12293" max="12537" width="9.109375" style="2"/>
    <col min="12538" max="12538" width="1.44140625" style="2" customWidth="1"/>
    <col min="12539" max="12540" width="0.88671875" style="2" customWidth="1"/>
    <col min="12541" max="12542" width="1.109375" style="2" customWidth="1"/>
    <col min="12543" max="12543" width="43" style="2" bestFit="1" customWidth="1"/>
    <col min="12544" max="12544" width="9.88671875" style="2" bestFit="1" customWidth="1"/>
    <col min="12545" max="12546" width="18.44140625" style="2" bestFit="1" customWidth="1"/>
    <col min="12547" max="12547" width="8.44140625" style="2" bestFit="1" customWidth="1"/>
    <col min="12548" max="12548" width="18.44140625" style="2" bestFit="1" customWidth="1"/>
    <col min="12549" max="12793" width="9.109375" style="2"/>
    <col min="12794" max="12794" width="1.44140625" style="2" customWidth="1"/>
    <col min="12795" max="12796" width="0.88671875" style="2" customWidth="1"/>
    <col min="12797" max="12798" width="1.109375" style="2" customWidth="1"/>
    <col min="12799" max="12799" width="43" style="2" bestFit="1" customWidth="1"/>
    <col min="12800" max="12800" width="9.88671875" style="2" bestFit="1" customWidth="1"/>
    <col min="12801" max="12802" width="18.44140625" style="2" bestFit="1" customWidth="1"/>
    <col min="12803" max="12803" width="8.44140625" style="2" bestFit="1" customWidth="1"/>
    <col min="12804" max="12804" width="18.44140625" style="2" bestFit="1" customWidth="1"/>
    <col min="12805" max="13049" width="9.109375" style="2"/>
    <col min="13050" max="13050" width="1.44140625" style="2" customWidth="1"/>
    <col min="13051" max="13052" width="0.88671875" style="2" customWidth="1"/>
    <col min="13053" max="13054" width="1.109375" style="2" customWidth="1"/>
    <col min="13055" max="13055" width="43" style="2" bestFit="1" customWidth="1"/>
    <col min="13056" max="13056" width="9.88671875" style="2" bestFit="1" customWidth="1"/>
    <col min="13057" max="13058" width="18.44140625" style="2" bestFit="1" customWidth="1"/>
    <col min="13059" max="13059" width="8.44140625" style="2" bestFit="1" customWidth="1"/>
    <col min="13060" max="13060" width="18.44140625" style="2" bestFit="1" customWidth="1"/>
    <col min="13061" max="13305" width="9.109375" style="2"/>
    <col min="13306" max="13306" width="1.44140625" style="2" customWidth="1"/>
    <col min="13307" max="13308" width="0.88671875" style="2" customWidth="1"/>
    <col min="13309" max="13310" width="1.109375" style="2" customWidth="1"/>
    <col min="13311" max="13311" width="43" style="2" bestFit="1" customWidth="1"/>
    <col min="13312" max="13312" width="9.88671875" style="2" bestFit="1" customWidth="1"/>
    <col min="13313" max="13314" width="18.44140625" style="2" bestFit="1" customWidth="1"/>
    <col min="13315" max="13315" width="8.44140625" style="2" bestFit="1" customWidth="1"/>
    <col min="13316" max="13316" width="18.44140625" style="2" bestFit="1" customWidth="1"/>
    <col min="13317" max="13561" width="9.109375" style="2"/>
    <col min="13562" max="13562" width="1.44140625" style="2" customWidth="1"/>
    <col min="13563" max="13564" width="0.88671875" style="2" customWidth="1"/>
    <col min="13565" max="13566" width="1.109375" style="2" customWidth="1"/>
    <col min="13567" max="13567" width="43" style="2" bestFit="1" customWidth="1"/>
    <col min="13568" max="13568" width="9.88671875" style="2" bestFit="1" customWidth="1"/>
    <col min="13569" max="13570" width="18.44140625" style="2" bestFit="1" customWidth="1"/>
    <col min="13571" max="13571" width="8.44140625" style="2" bestFit="1" customWidth="1"/>
    <col min="13572" max="13572" width="18.44140625" style="2" bestFit="1" customWidth="1"/>
    <col min="13573" max="13817" width="9.109375" style="2"/>
    <col min="13818" max="13818" width="1.44140625" style="2" customWidth="1"/>
    <col min="13819" max="13820" width="0.88671875" style="2" customWidth="1"/>
    <col min="13821" max="13822" width="1.109375" style="2" customWidth="1"/>
    <col min="13823" max="13823" width="43" style="2" bestFit="1" customWidth="1"/>
    <col min="13824" max="13824" width="9.88671875" style="2" bestFit="1" customWidth="1"/>
    <col min="13825" max="13826" width="18.44140625" style="2" bestFit="1" customWidth="1"/>
    <col min="13827" max="13827" width="8.44140625" style="2" bestFit="1" customWidth="1"/>
    <col min="13828" max="13828" width="18.44140625" style="2" bestFit="1" customWidth="1"/>
    <col min="13829" max="14073" width="9.109375" style="2"/>
    <col min="14074" max="14074" width="1.44140625" style="2" customWidth="1"/>
    <col min="14075" max="14076" width="0.88671875" style="2" customWidth="1"/>
    <col min="14077" max="14078" width="1.109375" style="2" customWidth="1"/>
    <col min="14079" max="14079" width="43" style="2" bestFit="1" customWidth="1"/>
    <col min="14080" max="14080" width="9.88671875" style="2" bestFit="1" customWidth="1"/>
    <col min="14081" max="14082" width="18.44140625" style="2" bestFit="1" customWidth="1"/>
    <col min="14083" max="14083" width="8.44140625" style="2" bestFit="1" customWidth="1"/>
    <col min="14084" max="14084" width="18.44140625" style="2" bestFit="1" customWidth="1"/>
    <col min="14085" max="14329" width="9.109375" style="2"/>
    <col min="14330" max="14330" width="1.44140625" style="2" customWidth="1"/>
    <col min="14331" max="14332" width="0.88671875" style="2" customWidth="1"/>
    <col min="14333" max="14334" width="1.109375" style="2" customWidth="1"/>
    <col min="14335" max="14335" width="43" style="2" bestFit="1" customWidth="1"/>
    <col min="14336" max="14336" width="9.88671875" style="2" bestFit="1" customWidth="1"/>
    <col min="14337" max="14338" width="18.44140625" style="2" bestFit="1" customWidth="1"/>
    <col min="14339" max="14339" width="8.44140625" style="2" bestFit="1" customWidth="1"/>
    <col min="14340" max="14340" width="18.44140625" style="2" bestFit="1" customWidth="1"/>
    <col min="14341" max="14585" width="9.109375" style="2"/>
    <col min="14586" max="14586" width="1.44140625" style="2" customWidth="1"/>
    <col min="14587" max="14588" width="0.88671875" style="2" customWidth="1"/>
    <col min="14589" max="14590" width="1.109375" style="2" customWidth="1"/>
    <col min="14591" max="14591" width="43" style="2" bestFit="1" customWidth="1"/>
    <col min="14592" max="14592" width="9.88671875" style="2" bestFit="1" customWidth="1"/>
    <col min="14593" max="14594" width="18.44140625" style="2" bestFit="1" customWidth="1"/>
    <col min="14595" max="14595" width="8.44140625" style="2" bestFit="1" customWidth="1"/>
    <col min="14596" max="14596" width="18.44140625" style="2" bestFit="1" customWidth="1"/>
    <col min="14597" max="14841" width="9.109375" style="2"/>
    <col min="14842" max="14842" width="1.44140625" style="2" customWidth="1"/>
    <col min="14843" max="14844" width="0.88671875" style="2" customWidth="1"/>
    <col min="14845" max="14846" width="1.109375" style="2" customWidth="1"/>
    <col min="14847" max="14847" width="43" style="2" bestFit="1" customWidth="1"/>
    <col min="14848" max="14848" width="9.88671875" style="2" bestFit="1" customWidth="1"/>
    <col min="14849" max="14850" width="18.44140625" style="2" bestFit="1" customWidth="1"/>
    <col min="14851" max="14851" width="8.44140625" style="2" bestFit="1" customWidth="1"/>
    <col min="14852" max="14852" width="18.44140625" style="2" bestFit="1" customWidth="1"/>
    <col min="14853" max="15097" width="9.109375" style="2"/>
    <col min="15098" max="15098" width="1.44140625" style="2" customWidth="1"/>
    <col min="15099" max="15100" width="0.88671875" style="2" customWidth="1"/>
    <col min="15101" max="15102" width="1.109375" style="2" customWidth="1"/>
    <col min="15103" max="15103" width="43" style="2" bestFit="1" customWidth="1"/>
    <col min="15104" max="15104" width="9.88671875" style="2" bestFit="1" customWidth="1"/>
    <col min="15105" max="15106" width="18.44140625" style="2" bestFit="1" customWidth="1"/>
    <col min="15107" max="15107" width="8.44140625" style="2" bestFit="1" customWidth="1"/>
    <col min="15108" max="15108" width="18.44140625" style="2" bestFit="1" customWidth="1"/>
    <col min="15109" max="15353" width="9.109375" style="2"/>
    <col min="15354" max="15354" width="1.44140625" style="2" customWidth="1"/>
    <col min="15355" max="15356" width="0.88671875" style="2" customWidth="1"/>
    <col min="15357" max="15358" width="1.109375" style="2" customWidth="1"/>
    <col min="15359" max="15359" width="43" style="2" bestFit="1" customWidth="1"/>
    <col min="15360" max="15360" width="9.88671875" style="2" bestFit="1" customWidth="1"/>
    <col min="15361" max="15362" width="18.44140625" style="2" bestFit="1" customWidth="1"/>
    <col min="15363" max="15363" width="8.44140625" style="2" bestFit="1" customWidth="1"/>
    <col min="15364" max="15364" width="18.44140625" style="2" bestFit="1" customWidth="1"/>
    <col min="15365" max="15609" width="9.109375" style="2"/>
    <col min="15610" max="15610" width="1.44140625" style="2" customWidth="1"/>
    <col min="15611" max="15612" width="0.88671875" style="2" customWidth="1"/>
    <col min="15613" max="15614" width="1.109375" style="2" customWidth="1"/>
    <col min="15615" max="15615" width="43" style="2" bestFit="1" customWidth="1"/>
    <col min="15616" max="15616" width="9.88671875" style="2" bestFit="1" customWidth="1"/>
    <col min="15617" max="15618" width="18.44140625" style="2" bestFit="1" customWidth="1"/>
    <col min="15619" max="15619" width="8.44140625" style="2" bestFit="1" customWidth="1"/>
    <col min="15620" max="15620" width="18.44140625" style="2" bestFit="1" customWidth="1"/>
    <col min="15621" max="15865" width="9.109375" style="2"/>
    <col min="15866" max="15866" width="1.44140625" style="2" customWidth="1"/>
    <col min="15867" max="15868" width="0.88671875" style="2" customWidth="1"/>
    <col min="15869" max="15870" width="1.109375" style="2" customWidth="1"/>
    <col min="15871" max="15871" width="43" style="2" bestFit="1" customWidth="1"/>
    <col min="15872" max="15872" width="9.88671875" style="2" bestFit="1" customWidth="1"/>
    <col min="15873" max="15874" width="18.44140625" style="2" bestFit="1" customWidth="1"/>
    <col min="15875" max="15875" width="8.44140625" style="2" bestFit="1" customWidth="1"/>
    <col min="15876" max="15876" width="18.44140625" style="2" bestFit="1" customWidth="1"/>
    <col min="15877" max="16121" width="9.109375" style="2"/>
    <col min="16122" max="16122" width="1.44140625" style="2" customWidth="1"/>
    <col min="16123" max="16124" width="0.88671875" style="2" customWidth="1"/>
    <col min="16125" max="16126" width="1.109375" style="2" customWidth="1"/>
    <col min="16127" max="16127" width="43" style="2" bestFit="1" customWidth="1"/>
    <col min="16128" max="16128" width="9.88671875" style="2" bestFit="1" customWidth="1"/>
    <col min="16129" max="16130" width="18.44140625" style="2" bestFit="1" customWidth="1"/>
    <col min="16131" max="16131" width="8.44140625" style="2" bestFit="1" customWidth="1"/>
    <col min="16132" max="16132" width="18.44140625" style="2" bestFit="1" customWidth="1"/>
    <col min="16133" max="16384" width="9.109375" style="2"/>
  </cols>
  <sheetData>
    <row r="1" spans="1:10" ht="14.85" customHeight="1" x14ac:dyDescent="0.3">
      <c r="A1" s="251"/>
      <c r="B1" s="251"/>
      <c r="C1" s="251"/>
      <c r="D1" s="251"/>
      <c r="E1" s="251"/>
      <c r="F1" s="251"/>
    </row>
    <row r="2" spans="1:10" x14ac:dyDescent="0.3">
      <c r="A2" s="251"/>
      <c r="B2" s="251"/>
      <c r="C2" s="251"/>
      <c r="D2" s="251"/>
      <c r="E2" s="251"/>
      <c r="F2" s="251"/>
    </row>
    <row r="3" spans="1:10" x14ac:dyDescent="0.3">
      <c r="A3" s="251"/>
      <c r="B3" s="251"/>
      <c r="C3" s="251"/>
      <c r="D3" s="251"/>
      <c r="E3" s="251"/>
      <c r="F3" s="251"/>
    </row>
    <row r="4" spans="1:10" x14ac:dyDescent="0.3">
      <c r="A4" s="251"/>
      <c r="B4" s="251"/>
      <c r="C4" s="251"/>
      <c r="D4" s="251"/>
      <c r="E4" s="251"/>
      <c r="F4" s="251"/>
    </row>
    <row r="5" spans="1:10" x14ac:dyDescent="0.3">
      <c r="A5" s="251"/>
      <c r="B5" s="251"/>
      <c r="C5" s="251"/>
      <c r="D5" s="251"/>
      <c r="E5" s="251"/>
      <c r="F5" s="251"/>
    </row>
    <row r="6" spans="1:10" x14ac:dyDescent="0.3">
      <c r="A6" s="251"/>
      <c r="B6" s="251"/>
      <c r="C6" s="251"/>
      <c r="D6" s="251"/>
      <c r="E6" s="251"/>
      <c r="F6" s="251"/>
    </row>
    <row r="7" spans="1:10" x14ac:dyDescent="0.3">
      <c r="A7" s="252" t="s">
        <v>411</v>
      </c>
      <c r="B7" s="252"/>
      <c r="C7" s="252"/>
      <c r="D7" s="252"/>
      <c r="E7" s="252"/>
      <c r="F7" s="252"/>
    </row>
    <row r="8" spans="1:10" x14ac:dyDescent="0.3">
      <c r="A8" s="252" t="s">
        <v>0</v>
      </c>
      <c r="B8" s="252"/>
      <c r="C8" s="252"/>
      <c r="D8" s="252"/>
      <c r="E8" s="252"/>
      <c r="F8" s="252"/>
    </row>
    <row r="9" spans="1:10" x14ac:dyDescent="0.3">
      <c r="A9" s="252" t="s">
        <v>412</v>
      </c>
      <c r="B9" s="252"/>
      <c r="C9" s="252"/>
      <c r="D9" s="252"/>
      <c r="E9" s="252"/>
      <c r="F9" s="252"/>
    </row>
    <row r="10" spans="1:10" s="4" customFormat="1" x14ac:dyDescent="0.3">
      <c r="A10" s="253"/>
      <c r="B10" s="253"/>
      <c r="C10" s="253"/>
      <c r="D10" s="253"/>
      <c r="E10" s="253"/>
      <c r="F10" s="253"/>
      <c r="G10" s="3"/>
      <c r="H10" s="3"/>
      <c r="I10" s="3"/>
    </row>
    <row r="11" spans="1:10" s="4" customFormat="1" x14ac:dyDescent="0.3">
      <c r="A11" s="254"/>
      <c r="B11" s="254"/>
      <c r="C11" s="254"/>
      <c r="D11" s="254"/>
      <c r="E11" s="254"/>
      <c r="F11" s="254"/>
      <c r="G11" s="3"/>
      <c r="H11" s="248"/>
      <c r="I11" s="248"/>
    </row>
    <row r="12" spans="1:10" ht="26.1" customHeight="1" x14ac:dyDescent="0.3">
      <c r="A12" s="5" t="s">
        <v>1</v>
      </c>
      <c r="B12" s="6" t="s">
        <v>2</v>
      </c>
      <c r="C12" s="7" t="s">
        <v>413</v>
      </c>
      <c r="D12" s="7" t="s">
        <v>414</v>
      </c>
      <c r="E12" s="7" t="s">
        <v>3</v>
      </c>
      <c r="F12" s="6" t="s">
        <v>415</v>
      </c>
      <c r="H12" s="8"/>
      <c r="I12" s="9"/>
    </row>
    <row r="13" spans="1:10" ht="14.4" x14ac:dyDescent="0.3">
      <c r="A13" s="10"/>
      <c r="B13" s="11"/>
      <c r="C13" s="12"/>
      <c r="D13" s="13"/>
      <c r="E13" s="14"/>
      <c r="F13" s="15"/>
      <c r="H13" s="8"/>
      <c r="I13" s="9"/>
    </row>
    <row r="14" spans="1:10" ht="14.4" x14ac:dyDescent="0.3">
      <c r="A14" s="16" t="s">
        <v>4</v>
      </c>
      <c r="B14" s="17" t="s">
        <v>210</v>
      </c>
      <c r="C14" s="18">
        <v>1915023725191</v>
      </c>
      <c r="D14" s="18">
        <v>2881719292670.9399</v>
      </c>
      <c r="E14" s="18">
        <v>150.47999999999999</v>
      </c>
      <c r="F14" s="18">
        <v>2191893631484.8101</v>
      </c>
      <c r="H14" s="19"/>
      <c r="I14" s="20"/>
      <c r="J14" s="21"/>
    </row>
    <row r="15" spans="1:10" x14ac:dyDescent="0.3">
      <c r="A15" s="22"/>
      <c r="B15" s="23"/>
      <c r="C15" s="24"/>
      <c r="D15" s="24"/>
      <c r="E15" s="24"/>
      <c r="F15" s="24"/>
      <c r="J15" s="21"/>
    </row>
    <row r="16" spans="1:10" ht="14.4" x14ac:dyDescent="0.3">
      <c r="A16" s="25" t="s">
        <v>5</v>
      </c>
      <c r="B16" s="26" t="s">
        <v>211</v>
      </c>
      <c r="C16" s="27">
        <v>160602204724</v>
      </c>
      <c r="D16" s="27">
        <v>231512814322.44</v>
      </c>
      <c r="E16" s="27">
        <v>144.15</v>
      </c>
      <c r="F16" s="27">
        <v>210870524801.81</v>
      </c>
      <c r="H16" s="19"/>
      <c r="I16" s="20"/>
      <c r="J16" s="21"/>
    </row>
    <row r="17" spans="1:10" ht="14.4" x14ac:dyDescent="0.3">
      <c r="A17" s="28" t="s">
        <v>6</v>
      </c>
      <c r="B17" s="29" t="s">
        <v>212</v>
      </c>
      <c r="C17" s="30">
        <v>91523000000</v>
      </c>
      <c r="D17" s="30">
        <v>116547605456</v>
      </c>
      <c r="E17" s="30">
        <v>127.34</v>
      </c>
      <c r="F17" s="30">
        <v>106869886739</v>
      </c>
      <c r="H17"/>
      <c r="I17" s="31"/>
      <c r="J17" s="21"/>
    </row>
    <row r="18" spans="1:10" ht="14.4" x14ac:dyDescent="0.3">
      <c r="A18" s="28" t="s">
        <v>7</v>
      </c>
      <c r="B18" s="29" t="s">
        <v>213</v>
      </c>
      <c r="C18" s="30">
        <v>8100424000</v>
      </c>
      <c r="D18" s="30">
        <v>12110315742</v>
      </c>
      <c r="E18" s="30">
        <v>149.5</v>
      </c>
      <c r="F18" s="30">
        <v>8061317063</v>
      </c>
      <c r="H18"/>
      <c r="I18" s="31"/>
      <c r="J18" s="21"/>
    </row>
    <row r="19" spans="1:10" ht="14.4" x14ac:dyDescent="0.3">
      <c r="A19" s="28" t="s">
        <v>8</v>
      </c>
      <c r="B19" s="29" t="s">
        <v>214</v>
      </c>
      <c r="C19" s="30">
        <v>5870000000</v>
      </c>
      <c r="D19" s="30">
        <v>7754789855</v>
      </c>
      <c r="E19" s="30">
        <v>132.11000000000001</v>
      </c>
      <c r="F19" s="30">
        <v>7673963553</v>
      </c>
      <c r="H19"/>
      <c r="I19" s="31"/>
      <c r="J19" s="21"/>
    </row>
    <row r="20" spans="1:10" ht="14.4" x14ac:dyDescent="0.3">
      <c r="A20" s="28" t="s">
        <v>9</v>
      </c>
      <c r="B20" s="29" t="s">
        <v>215</v>
      </c>
      <c r="C20" s="30">
        <v>55108780724</v>
      </c>
      <c r="D20" s="32">
        <v>95100103269.440002</v>
      </c>
      <c r="E20" s="32">
        <v>172.57</v>
      </c>
      <c r="F20" s="32">
        <v>88265357446.809998</v>
      </c>
      <c r="H20"/>
      <c r="I20" s="31"/>
      <c r="J20" s="21"/>
    </row>
    <row r="21" spans="1:10" ht="14.4" x14ac:dyDescent="0.3">
      <c r="A21" s="33"/>
      <c r="B21" s="34"/>
      <c r="C21" s="30"/>
      <c r="D21" s="30"/>
      <c r="E21" s="30"/>
      <c r="F21" s="30"/>
      <c r="H21" s="19"/>
      <c r="I21" s="20"/>
      <c r="J21" s="21"/>
    </row>
    <row r="22" spans="1:10" ht="14.4" x14ac:dyDescent="0.3">
      <c r="A22" s="25" t="s">
        <v>10</v>
      </c>
      <c r="B22" s="26" t="s">
        <v>216</v>
      </c>
      <c r="C22" s="27">
        <v>1461553605467</v>
      </c>
      <c r="D22" s="27">
        <v>2351734703221</v>
      </c>
      <c r="E22" s="27">
        <v>160.91</v>
      </c>
      <c r="F22" s="27">
        <v>1145064864572</v>
      </c>
      <c r="H22" s="19"/>
      <c r="I22" s="20"/>
      <c r="J22" s="21"/>
    </row>
    <row r="23" spans="1:10" ht="14.4" x14ac:dyDescent="0.3">
      <c r="A23" s="35" t="s">
        <v>11</v>
      </c>
      <c r="B23" s="36" t="s">
        <v>217</v>
      </c>
      <c r="C23" s="37">
        <v>1419600605467</v>
      </c>
      <c r="D23" s="37">
        <v>2282648598101</v>
      </c>
      <c r="E23" s="37">
        <v>160.80000000000001</v>
      </c>
      <c r="F23" s="38">
        <v>1020370894861</v>
      </c>
      <c r="H23" s="19"/>
      <c r="I23" s="20"/>
      <c r="J23" s="21"/>
    </row>
    <row r="24" spans="1:10" ht="14.4" customHeight="1" x14ac:dyDescent="0.3">
      <c r="A24" s="39" t="s">
        <v>12</v>
      </c>
      <c r="B24" s="34" t="s">
        <v>219</v>
      </c>
      <c r="C24" s="230">
        <v>0</v>
      </c>
      <c r="D24" s="230">
        <v>0</v>
      </c>
      <c r="E24" s="230">
        <v>0</v>
      </c>
      <c r="F24" s="30">
        <v>936083314361</v>
      </c>
      <c r="H24"/>
      <c r="I24" s="31"/>
      <c r="J24" s="21"/>
    </row>
    <row r="25" spans="1:10" ht="14.4" customHeight="1" x14ac:dyDescent="0.3">
      <c r="A25" s="39" t="s">
        <v>13</v>
      </c>
      <c r="B25" s="34" t="s">
        <v>220</v>
      </c>
      <c r="C25" s="30">
        <v>49739841000</v>
      </c>
      <c r="D25" s="30">
        <v>49739841000</v>
      </c>
      <c r="E25" s="30">
        <v>100</v>
      </c>
      <c r="F25" s="30">
        <v>51242247500</v>
      </c>
      <c r="H25"/>
      <c r="I25" s="31"/>
      <c r="J25" s="21"/>
    </row>
    <row r="26" spans="1:10" ht="14.4" customHeight="1" x14ac:dyDescent="0.3">
      <c r="A26" s="39" t="s">
        <v>14</v>
      </c>
      <c r="B26" s="34" t="s">
        <v>221</v>
      </c>
      <c r="C26" s="30">
        <v>13112385000</v>
      </c>
      <c r="D26" s="30">
        <v>13112385000</v>
      </c>
      <c r="E26" s="30">
        <v>100</v>
      </c>
      <c r="F26" s="30">
        <v>33045333000</v>
      </c>
      <c r="H26"/>
      <c r="I26" s="31"/>
      <c r="J26" s="21"/>
    </row>
    <row r="27" spans="1:10" ht="14.4" customHeight="1" x14ac:dyDescent="0.3">
      <c r="A27" s="39" t="s">
        <v>15</v>
      </c>
      <c r="B27" s="34" t="s">
        <v>222</v>
      </c>
      <c r="C27" s="30">
        <v>792317240467</v>
      </c>
      <c r="D27" s="30">
        <v>1602365569533</v>
      </c>
      <c r="E27" s="30">
        <v>202.24</v>
      </c>
      <c r="F27" s="230">
        <v>0</v>
      </c>
      <c r="H27"/>
      <c r="I27" s="31"/>
      <c r="J27" s="21"/>
    </row>
    <row r="28" spans="1:10" ht="14.4" customHeight="1" x14ac:dyDescent="0.3">
      <c r="A28" s="39" t="s">
        <v>16</v>
      </c>
      <c r="B28" s="34" t="s">
        <v>223</v>
      </c>
      <c r="C28" s="30">
        <v>450095172000</v>
      </c>
      <c r="D28" s="30">
        <v>505791650617</v>
      </c>
      <c r="E28" s="30">
        <v>112.37</v>
      </c>
      <c r="F28" s="230">
        <v>0</v>
      </c>
      <c r="H28"/>
      <c r="I28" s="31"/>
      <c r="J28" s="21"/>
    </row>
    <row r="29" spans="1:10" ht="14.4" customHeight="1" x14ac:dyDescent="0.3">
      <c r="A29" s="39" t="s">
        <v>17</v>
      </c>
      <c r="B29" s="34" t="s">
        <v>224</v>
      </c>
      <c r="C29" s="30">
        <v>114335967000</v>
      </c>
      <c r="D29" s="30">
        <v>111639151951</v>
      </c>
      <c r="E29" s="30">
        <v>97.64</v>
      </c>
      <c r="F29" s="230">
        <v>0</v>
      </c>
      <c r="H29"/>
      <c r="I29" s="31"/>
      <c r="J29" s="21"/>
    </row>
    <row r="30" spans="1:10" ht="14.4" x14ac:dyDescent="0.3">
      <c r="A30" s="35" t="s">
        <v>18</v>
      </c>
      <c r="B30" s="36" t="s">
        <v>218</v>
      </c>
      <c r="C30" s="37">
        <v>41953000000</v>
      </c>
      <c r="D30" s="38">
        <v>69086105120</v>
      </c>
      <c r="E30" s="37">
        <v>164.68</v>
      </c>
      <c r="F30" s="38">
        <v>124693969711</v>
      </c>
      <c r="H30"/>
      <c r="I30" s="31"/>
      <c r="J30" s="21"/>
    </row>
    <row r="31" spans="1:10" ht="14.4" customHeight="1" x14ac:dyDescent="0.3">
      <c r="A31" s="39" t="s">
        <v>19</v>
      </c>
      <c r="B31" s="34" t="s">
        <v>225</v>
      </c>
      <c r="C31" s="30">
        <v>41953000000</v>
      </c>
      <c r="D31" s="32">
        <v>69021105120</v>
      </c>
      <c r="E31" s="32">
        <v>164.52</v>
      </c>
      <c r="F31" s="32">
        <v>124693969711</v>
      </c>
      <c r="H31"/>
      <c r="I31" s="31"/>
      <c r="J31" s="21"/>
    </row>
    <row r="32" spans="1:10" ht="14.4" customHeight="1" x14ac:dyDescent="0.3">
      <c r="A32" s="39" t="s">
        <v>20</v>
      </c>
      <c r="B32" s="34" t="s">
        <v>226</v>
      </c>
      <c r="C32" s="230">
        <v>0</v>
      </c>
      <c r="D32" s="32">
        <v>65000000</v>
      </c>
      <c r="E32" s="230">
        <v>0</v>
      </c>
      <c r="F32" s="230">
        <v>0</v>
      </c>
      <c r="H32"/>
      <c r="I32" s="31"/>
      <c r="J32" s="21"/>
    </row>
    <row r="33" spans="1:10" ht="14.4" x14ac:dyDescent="0.3">
      <c r="A33" s="33"/>
      <c r="B33" s="34"/>
      <c r="C33" s="30"/>
      <c r="D33" s="30"/>
      <c r="E33" s="30"/>
      <c r="F33" s="30"/>
      <c r="H33" s="19"/>
      <c r="I33" s="20"/>
      <c r="J33" s="21"/>
    </row>
    <row r="34" spans="1:10" ht="14.4" x14ac:dyDescent="0.3">
      <c r="A34" s="25" t="s">
        <v>21</v>
      </c>
      <c r="B34" s="26" t="s">
        <v>227</v>
      </c>
      <c r="C34" s="27">
        <v>292867915000</v>
      </c>
      <c r="D34" s="27">
        <v>298471775127.5</v>
      </c>
      <c r="E34" s="27">
        <v>101.91</v>
      </c>
      <c r="F34" s="27">
        <v>835958242111</v>
      </c>
      <c r="H34" s="19"/>
      <c r="I34" s="20"/>
      <c r="J34" s="21"/>
    </row>
    <row r="35" spans="1:10" ht="14.4" x14ac:dyDescent="0.3">
      <c r="A35" s="28" t="s">
        <v>22</v>
      </c>
      <c r="B35" s="34" t="s">
        <v>228</v>
      </c>
      <c r="C35" s="30">
        <v>5000000</v>
      </c>
      <c r="D35" s="230">
        <v>0</v>
      </c>
      <c r="E35" s="230">
        <v>0</v>
      </c>
      <c r="F35" s="32">
        <v>8828000</v>
      </c>
      <c r="H35"/>
      <c r="I35" s="31"/>
      <c r="J35" s="21"/>
    </row>
    <row r="36" spans="1:10" ht="27.6" x14ac:dyDescent="0.3">
      <c r="A36" s="28" t="s">
        <v>23</v>
      </c>
      <c r="B36" s="34" t="s">
        <v>229</v>
      </c>
      <c r="C36" s="30">
        <v>292862915000</v>
      </c>
      <c r="D36" s="32">
        <v>298471775127.5</v>
      </c>
      <c r="E36" s="32">
        <v>101.92</v>
      </c>
      <c r="F36" s="32">
        <v>835949414111</v>
      </c>
      <c r="H36"/>
      <c r="I36" s="31"/>
      <c r="J36" s="21"/>
    </row>
    <row r="37" spans="1:10" x14ac:dyDescent="0.3">
      <c r="A37" s="40"/>
      <c r="B37" s="41"/>
      <c r="C37" s="30"/>
      <c r="D37" s="30"/>
      <c r="E37" s="30"/>
      <c r="F37" s="30"/>
      <c r="J37" s="21"/>
    </row>
    <row r="38" spans="1:10" ht="14.4" x14ac:dyDescent="0.3">
      <c r="A38" s="16" t="s">
        <v>24</v>
      </c>
      <c r="B38" s="17" t="s">
        <v>230</v>
      </c>
      <c r="C38" s="18">
        <v>2236268153253.02</v>
      </c>
      <c r="D38" s="18">
        <v>2059441626960.97</v>
      </c>
      <c r="E38" s="18">
        <v>92.09</v>
      </c>
      <c r="F38" s="18">
        <v>2039044535411.73</v>
      </c>
      <c r="H38" s="19"/>
      <c r="I38" s="20"/>
      <c r="J38" s="21"/>
    </row>
    <row r="39" spans="1:10" x14ac:dyDescent="0.3">
      <c r="A39" s="40"/>
      <c r="B39" s="41"/>
      <c r="C39" s="30"/>
      <c r="D39" s="30"/>
      <c r="E39" s="30"/>
      <c r="F39" s="30"/>
      <c r="J39" s="21"/>
    </row>
    <row r="40" spans="1:10" ht="14.4" x14ac:dyDescent="0.3">
      <c r="A40" s="25" t="s">
        <v>25</v>
      </c>
      <c r="B40" s="26" t="s">
        <v>231</v>
      </c>
      <c r="C40" s="27">
        <v>1423928449949.22</v>
      </c>
      <c r="D40" s="27">
        <v>1314972010761.97</v>
      </c>
      <c r="E40" s="27">
        <v>92.35</v>
      </c>
      <c r="F40" s="27">
        <v>1176512372702.73</v>
      </c>
      <c r="H40" s="19"/>
      <c r="I40" s="20"/>
      <c r="J40" s="21"/>
    </row>
    <row r="41" spans="1:10" ht="14.4" x14ac:dyDescent="0.3">
      <c r="A41" s="28" t="s">
        <v>26</v>
      </c>
      <c r="B41" s="29" t="s">
        <v>232</v>
      </c>
      <c r="C41" s="30">
        <v>647589873704.51001</v>
      </c>
      <c r="D41" s="32">
        <v>587895147363</v>
      </c>
      <c r="E41" s="32">
        <v>90.78</v>
      </c>
      <c r="F41" s="32">
        <v>504599443369.97998</v>
      </c>
      <c r="H41"/>
      <c r="I41" s="31"/>
      <c r="J41" s="21"/>
    </row>
    <row r="42" spans="1:10" ht="14.4" x14ac:dyDescent="0.3">
      <c r="A42" s="28" t="s">
        <v>27</v>
      </c>
      <c r="B42" s="29" t="s">
        <v>233</v>
      </c>
      <c r="C42" s="30">
        <v>703795186327.25</v>
      </c>
      <c r="D42" s="32">
        <v>658266899846.96997</v>
      </c>
      <c r="E42" s="32">
        <v>93.53</v>
      </c>
      <c r="F42" s="32">
        <v>590036550619.75</v>
      </c>
      <c r="H42">
        <v>668474820647.97998</v>
      </c>
      <c r="I42" s="31">
        <v>10207920801.01001</v>
      </c>
      <c r="J42" s="21"/>
    </row>
    <row r="43" spans="1:10" ht="14.4" x14ac:dyDescent="0.3">
      <c r="A43" s="28" t="s">
        <v>28</v>
      </c>
      <c r="B43" s="29" t="s">
        <v>234</v>
      </c>
      <c r="C43" s="30">
        <v>57692289917.459999</v>
      </c>
      <c r="D43" s="32">
        <v>54495863552</v>
      </c>
      <c r="E43" s="32">
        <v>94.46</v>
      </c>
      <c r="F43" s="32">
        <v>60030578713</v>
      </c>
      <c r="H43"/>
      <c r="I43" s="31"/>
      <c r="J43" s="21"/>
    </row>
    <row r="44" spans="1:10" ht="14.4" x14ac:dyDescent="0.3">
      <c r="A44" s="28" t="s">
        <v>29</v>
      </c>
      <c r="B44" s="29" t="s">
        <v>235</v>
      </c>
      <c r="C44" s="30">
        <v>14851100000</v>
      </c>
      <c r="D44" s="32">
        <v>14314100000</v>
      </c>
      <c r="E44" s="32">
        <v>96.38</v>
      </c>
      <c r="F44" s="32">
        <v>21845800000</v>
      </c>
      <c r="H44"/>
      <c r="I44" s="31"/>
      <c r="J44" s="21"/>
    </row>
    <row r="45" spans="1:10" ht="14.4" x14ac:dyDescent="0.3">
      <c r="A45" s="40"/>
      <c r="B45" s="42"/>
      <c r="C45" s="30"/>
      <c r="D45" s="30"/>
      <c r="E45" s="30"/>
      <c r="F45" s="30"/>
      <c r="H45" s="19"/>
      <c r="I45" s="20"/>
      <c r="J45" s="21"/>
    </row>
    <row r="46" spans="1:10" ht="14.4" x14ac:dyDescent="0.3">
      <c r="A46" s="25" t="s">
        <v>30</v>
      </c>
      <c r="B46" s="26" t="s">
        <v>236</v>
      </c>
      <c r="C46" s="27">
        <v>625958452087.80005</v>
      </c>
      <c r="D46" s="27">
        <v>560821472639</v>
      </c>
      <c r="E46" s="27">
        <v>89.59</v>
      </c>
      <c r="F46" s="27">
        <v>687563721966</v>
      </c>
      <c r="H46" s="19"/>
      <c r="I46" s="20"/>
      <c r="J46" s="21"/>
    </row>
    <row r="47" spans="1:10" ht="14.4" x14ac:dyDescent="0.3">
      <c r="A47" s="28" t="s">
        <v>31</v>
      </c>
      <c r="B47" s="29" t="s">
        <v>237</v>
      </c>
      <c r="C47" s="30">
        <v>44869422924.800003</v>
      </c>
      <c r="D47" s="32">
        <v>14918666272</v>
      </c>
      <c r="E47" s="32">
        <v>33.25</v>
      </c>
      <c r="F47" s="32">
        <v>64694958117</v>
      </c>
      <c r="H47"/>
      <c r="I47" s="31"/>
      <c r="J47" s="21"/>
    </row>
    <row r="48" spans="1:10" ht="14.4" x14ac:dyDescent="0.3">
      <c r="A48" s="28" t="s">
        <v>32</v>
      </c>
      <c r="B48" s="29" t="s">
        <v>238</v>
      </c>
      <c r="C48" s="30">
        <v>107739357458</v>
      </c>
      <c r="D48" s="32">
        <v>104519745081</v>
      </c>
      <c r="E48" s="32">
        <v>97.01</v>
      </c>
      <c r="F48" s="32">
        <v>100320013039</v>
      </c>
      <c r="H48"/>
      <c r="I48" s="31"/>
      <c r="J48" s="21"/>
    </row>
    <row r="49" spans="1:10" ht="14.4" x14ac:dyDescent="0.3">
      <c r="A49" s="28" t="s">
        <v>33</v>
      </c>
      <c r="B49" s="29" t="s">
        <v>239</v>
      </c>
      <c r="C49" s="30">
        <v>139154966157.5</v>
      </c>
      <c r="D49" s="32">
        <v>117608552753</v>
      </c>
      <c r="E49" s="32">
        <v>84.52</v>
      </c>
      <c r="F49" s="32">
        <v>138034850857</v>
      </c>
      <c r="H49"/>
      <c r="I49" s="31"/>
      <c r="J49" s="21"/>
    </row>
    <row r="50" spans="1:10" ht="14.4" x14ac:dyDescent="0.3">
      <c r="A50" s="28" t="s">
        <v>34</v>
      </c>
      <c r="B50" s="29" t="s">
        <v>240</v>
      </c>
      <c r="C50" s="30">
        <v>327994544723.5</v>
      </c>
      <c r="D50" s="32">
        <v>317616860031</v>
      </c>
      <c r="E50" s="32">
        <v>96.84</v>
      </c>
      <c r="F50" s="32">
        <v>380208673163</v>
      </c>
      <c r="H50"/>
      <c r="I50" s="31"/>
      <c r="J50" s="21"/>
    </row>
    <row r="51" spans="1:10" ht="14.4" x14ac:dyDescent="0.3">
      <c r="A51" s="28" t="s">
        <v>35</v>
      </c>
      <c r="B51" s="29" t="s">
        <v>241</v>
      </c>
      <c r="C51" s="30">
        <v>4245160824</v>
      </c>
      <c r="D51" s="32">
        <v>4206116502</v>
      </c>
      <c r="E51" s="32">
        <v>99.08</v>
      </c>
      <c r="F51" s="32">
        <v>4224281790</v>
      </c>
      <c r="H51"/>
      <c r="I51" s="31"/>
      <c r="J51" s="21"/>
    </row>
    <row r="52" spans="1:10" ht="14.4" x14ac:dyDescent="0.3">
      <c r="A52" s="28" t="s">
        <v>36</v>
      </c>
      <c r="B52" s="29" t="s">
        <v>242</v>
      </c>
      <c r="C52" s="30">
        <v>1955000000</v>
      </c>
      <c r="D52" s="32">
        <v>1951532000</v>
      </c>
      <c r="E52" s="32">
        <v>99.82</v>
      </c>
      <c r="F52" s="32">
        <v>80945000</v>
      </c>
      <c r="H52"/>
      <c r="I52" s="31"/>
      <c r="J52" s="21"/>
    </row>
    <row r="53" spans="1:10" ht="14.4" x14ac:dyDescent="0.3">
      <c r="A53" s="43"/>
      <c r="B53" s="41"/>
      <c r="C53" s="30"/>
      <c r="D53" s="30"/>
      <c r="E53" s="30"/>
      <c r="F53" s="30"/>
      <c r="H53"/>
      <c r="I53" s="31"/>
      <c r="J53" s="21"/>
    </row>
    <row r="54" spans="1:10" ht="14.4" x14ac:dyDescent="0.3">
      <c r="A54" s="25" t="s">
        <v>37</v>
      </c>
      <c r="B54" s="26" t="s">
        <v>243</v>
      </c>
      <c r="C54" s="27">
        <v>4703433816</v>
      </c>
      <c r="D54" s="27">
        <v>2043118598</v>
      </c>
      <c r="E54" s="27">
        <v>43.44</v>
      </c>
      <c r="F54" s="27">
        <v>3364608300</v>
      </c>
      <c r="H54" s="19"/>
      <c r="I54" s="20"/>
      <c r="J54" s="21"/>
    </row>
    <row r="55" spans="1:10" ht="14.4" x14ac:dyDescent="0.3">
      <c r="A55" s="28" t="s">
        <v>38</v>
      </c>
      <c r="B55" s="34" t="s">
        <v>244</v>
      </c>
      <c r="C55" s="30">
        <v>4703433816</v>
      </c>
      <c r="D55" s="32">
        <v>2043118598</v>
      </c>
      <c r="E55" s="32">
        <v>43.44</v>
      </c>
      <c r="F55" s="32">
        <v>3364608300</v>
      </c>
      <c r="H55"/>
      <c r="I55" s="31"/>
      <c r="J55" s="21"/>
    </row>
    <row r="56" spans="1:10" ht="14.4" x14ac:dyDescent="0.3">
      <c r="A56" s="43"/>
      <c r="B56" s="41"/>
      <c r="C56" s="30"/>
      <c r="D56" s="30"/>
      <c r="E56" s="30"/>
      <c r="F56" s="30"/>
      <c r="H56" s="19"/>
      <c r="I56" s="20"/>
      <c r="J56" s="21"/>
    </row>
    <row r="57" spans="1:10" ht="14.4" x14ac:dyDescent="0.3">
      <c r="A57" s="25" t="s">
        <v>39</v>
      </c>
      <c r="B57" s="26" t="s">
        <v>245</v>
      </c>
      <c r="C57" s="27">
        <v>181677817400</v>
      </c>
      <c r="D57" s="27">
        <v>181605024962</v>
      </c>
      <c r="E57" s="27">
        <v>99.96</v>
      </c>
      <c r="F57" s="27">
        <v>171603832443</v>
      </c>
      <c r="H57" s="19"/>
      <c r="I57" s="20"/>
      <c r="J57" s="21"/>
    </row>
    <row r="58" spans="1:10" ht="14.4" x14ac:dyDescent="0.3">
      <c r="A58" s="35" t="s">
        <v>40</v>
      </c>
      <c r="B58" s="36" t="s">
        <v>246</v>
      </c>
      <c r="C58" s="37">
        <v>9962342400</v>
      </c>
      <c r="D58" s="38">
        <v>9960296381</v>
      </c>
      <c r="E58" s="37">
        <v>99.98</v>
      </c>
      <c r="F58" s="38">
        <v>10552527397</v>
      </c>
      <c r="H58" s="19"/>
      <c r="I58" s="20"/>
      <c r="J58" s="21"/>
    </row>
    <row r="59" spans="1:10" ht="27.6" x14ac:dyDescent="0.3">
      <c r="A59" s="39" t="s">
        <v>41</v>
      </c>
      <c r="B59" s="34" t="s">
        <v>249</v>
      </c>
      <c r="C59" s="30">
        <v>9962342400</v>
      </c>
      <c r="D59" s="30">
        <v>9960296381</v>
      </c>
      <c r="E59" s="30">
        <v>99.98</v>
      </c>
      <c r="F59" s="30">
        <v>10552527397</v>
      </c>
      <c r="H59"/>
      <c r="I59" s="31"/>
      <c r="J59" s="21"/>
    </row>
    <row r="60" spans="1:10" ht="14.4" x14ac:dyDescent="0.3">
      <c r="A60" s="35" t="s">
        <v>42</v>
      </c>
      <c r="B60" s="36" t="s">
        <v>247</v>
      </c>
      <c r="C60" s="37">
        <v>171715475000</v>
      </c>
      <c r="D60" s="38">
        <v>171644728581</v>
      </c>
      <c r="E60" s="37">
        <v>99.96</v>
      </c>
      <c r="F60" s="38">
        <v>161051305046</v>
      </c>
      <c r="H60"/>
      <c r="I60" s="31"/>
      <c r="J60" s="21"/>
    </row>
    <row r="61" spans="1:10" ht="27.6" x14ac:dyDescent="0.3">
      <c r="A61" s="39" t="s">
        <v>43</v>
      </c>
      <c r="B61" s="34" t="s">
        <v>248</v>
      </c>
      <c r="C61" s="30">
        <v>171715475000</v>
      </c>
      <c r="D61" s="30">
        <v>171644728581</v>
      </c>
      <c r="E61" s="30">
        <v>99.96</v>
      </c>
      <c r="F61" s="30">
        <v>161051305046</v>
      </c>
      <c r="H61" s="19"/>
      <c r="I61" s="20"/>
      <c r="J61" s="21"/>
    </row>
    <row r="62" spans="1:10" ht="14.4" x14ac:dyDescent="0.3">
      <c r="A62" s="40"/>
      <c r="B62" s="41"/>
      <c r="C62" s="30"/>
      <c r="D62" s="30"/>
      <c r="E62" s="30"/>
      <c r="F62" s="30"/>
      <c r="H62"/>
      <c r="I62" s="31"/>
      <c r="J62" s="21"/>
    </row>
    <row r="63" spans="1:10" ht="14.4" x14ac:dyDescent="0.3">
      <c r="A63" s="44" t="s">
        <v>44</v>
      </c>
      <c r="B63" s="45"/>
      <c r="C63" s="46">
        <v>-321244428062.02002</v>
      </c>
      <c r="D63" s="46">
        <v>822277665709.96997</v>
      </c>
      <c r="E63" s="46">
        <v>-255.97</v>
      </c>
      <c r="F63" s="46">
        <v>152849096073.08008</v>
      </c>
      <c r="H63" s="19"/>
      <c r="I63" s="20"/>
      <c r="J63" s="21"/>
    </row>
    <row r="64" spans="1:10" ht="14.4" x14ac:dyDescent="0.3">
      <c r="A64" s="47"/>
      <c r="B64" s="48"/>
      <c r="C64" s="24"/>
      <c r="D64" s="24"/>
      <c r="E64" s="24"/>
      <c r="F64" s="30"/>
      <c r="H64" s="19"/>
      <c r="I64" s="20"/>
      <c r="J64" s="21"/>
    </row>
    <row r="65" spans="1:10" ht="14.4" x14ac:dyDescent="0.3">
      <c r="A65" s="16" t="s">
        <v>45</v>
      </c>
      <c r="B65" s="17" t="s">
        <v>250</v>
      </c>
      <c r="C65" s="18">
        <v>321244428062.02002</v>
      </c>
      <c r="D65" s="18">
        <v>322451709222.02002</v>
      </c>
      <c r="E65" s="18">
        <v>100.38</v>
      </c>
      <c r="F65" s="18">
        <v>178752051988.94</v>
      </c>
      <c r="H65" s="19"/>
      <c r="I65" s="20"/>
      <c r="J65" s="21"/>
    </row>
    <row r="66" spans="1:10" ht="14.4" x14ac:dyDescent="0.3">
      <c r="A66" s="40"/>
      <c r="B66" s="41"/>
      <c r="C66" s="30"/>
      <c r="D66" s="30"/>
      <c r="E66" s="30"/>
      <c r="F66" s="30"/>
      <c r="H66" s="19"/>
      <c r="I66" s="20"/>
      <c r="J66" s="21"/>
    </row>
    <row r="67" spans="1:10" ht="14.4" x14ac:dyDescent="0.3">
      <c r="A67" s="25" t="s">
        <v>46</v>
      </c>
      <c r="B67" s="26" t="s">
        <v>251</v>
      </c>
      <c r="C67" s="27">
        <v>331601148062.02002</v>
      </c>
      <c r="D67" s="27">
        <v>332808429222.02002</v>
      </c>
      <c r="E67" s="27">
        <v>100.36</v>
      </c>
      <c r="F67" s="27">
        <v>228752051988.94</v>
      </c>
      <c r="H67" s="19"/>
      <c r="I67" s="20"/>
      <c r="J67" s="21"/>
    </row>
    <row r="68" spans="1:10" ht="14.4" x14ac:dyDescent="0.3">
      <c r="A68" s="28" t="s">
        <v>47</v>
      </c>
      <c r="B68" s="34" t="s">
        <v>253</v>
      </c>
      <c r="C68" s="30">
        <v>331601148062.02002</v>
      </c>
      <c r="D68" s="32">
        <v>331614733062.02002</v>
      </c>
      <c r="E68" s="32">
        <v>100</v>
      </c>
      <c r="F68" s="32">
        <v>228221355096.94</v>
      </c>
      <c r="H68"/>
      <c r="I68" s="31"/>
      <c r="J68" s="21"/>
    </row>
    <row r="69" spans="1:10" x14ac:dyDescent="0.3">
      <c r="A69" s="28" t="s">
        <v>48</v>
      </c>
      <c r="B69" s="34" t="s">
        <v>254</v>
      </c>
      <c r="C69" s="230">
        <v>0</v>
      </c>
      <c r="D69" s="32">
        <v>1193696160</v>
      </c>
      <c r="E69" s="230">
        <v>0</v>
      </c>
      <c r="F69" s="32">
        <v>530696892</v>
      </c>
      <c r="J69" s="21"/>
    </row>
    <row r="70" spans="1:10" x14ac:dyDescent="0.3">
      <c r="A70" s="50"/>
      <c r="B70" s="49"/>
      <c r="C70" s="30"/>
      <c r="D70" s="30"/>
      <c r="E70" s="30"/>
      <c r="F70" s="30"/>
      <c r="J70" s="21"/>
    </row>
    <row r="71" spans="1:10" ht="14.4" x14ac:dyDescent="0.3">
      <c r="A71" s="25" t="s">
        <v>49</v>
      </c>
      <c r="B71" s="26" t="s">
        <v>252</v>
      </c>
      <c r="C71" s="27">
        <v>10356720000</v>
      </c>
      <c r="D71" s="27">
        <v>10356720000</v>
      </c>
      <c r="E71" s="27">
        <v>100</v>
      </c>
      <c r="F71" s="27">
        <v>50000000000</v>
      </c>
      <c r="H71" s="19"/>
      <c r="I71" s="20"/>
      <c r="J71" s="21"/>
    </row>
    <row r="72" spans="1:10" ht="14.4" x14ac:dyDescent="0.3">
      <c r="A72" s="28" t="s">
        <v>50</v>
      </c>
      <c r="B72" s="34" t="s">
        <v>255</v>
      </c>
      <c r="C72" s="30">
        <v>10356720000</v>
      </c>
      <c r="D72" s="32">
        <v>10356720000</v>
      </c>
      <c r="E72" s="32">
        <v>100</v>
      </c>
      <c r="F72" s="32">
        <v>50000000000</v>
      </c>
      <c r="H72"/>
      <c r="I72" s="31"/>
      <c r="J72" s="21"/>
    </row>
    <row r="73" spans="1:10" x14ac:dyDescent="0.3">
      <c r="A73" s="43"/>
      <c r="B73" s="41"/>
      <c r="C73" s="30"/>
      <c r="D73" s="30"/>
      <c r="E73" s="30"/>
      <c r="F73" s="51"/>
      <c r="I73" s="52"/>
      <c r="J73" s="21"/>
    </row>
    <row r="74" spans="1:10" ht="14.4" x14ac:dyDescent="0.3">
      <c r="A74" s="44" t="s">
        <v>51</v>
      </c>
      <c r="B74" s="45"/>
      <c r="C74" s="46">
        <v>321244428062.02002</v>
      </c>
      <c r="D74" s="46">
        <v>322451709222.02002</v>
      </c>
      <c r="E74" s="46">
        <v>100.38</v>
      </c>
      <c r="F74" s="46">
        <v>178752051988.94</v>
      </c>
      <c r="H74" s="19"/>
      <c r="I74" s="20"/>
      <c r="J74" s="21"/>
    </row>
    <row r="75" spans="1:10" ht="14.4" x14ac:dyDescent="0.3">
      <c r="A75" s="28"/>
      <c r="B75" s="34"/>
      <c r="C75" s="30"/>
      <c r="D75" s="32"/>
      <c r="E75" s="32"/>
      <c r="F75" s="32"/>
      <c r="H75" s="19"/>
      <c r="I75" s="20"/>
      <c r="J75" s="21"/>
    </row>
    <row r="76" spans="1:10" ht="27.6" x14ac:dyDescent="0.3">
      <c r="A76" s="44" t="s">
        <v>52</v>
      </c>
      <c r="B76" s="45" t="s">
        <v>256</v>
      </c>
      <c r="C76" s="231">
        <v>0</v>
      </c>
      <c r="D76" s="46">
        <v>1144729374931.99</v>
      </c>
      <c r="E76" s="231">
        <v>0</v>
      </c>
      <c r="F76" s="46">
        <v>331601148062.02008</v>
      </c>
      <c r="H76" s="19"/>
      <c r="I76" s="20"/>
      <c r="J76" s="21"/>
    </row>
    <row r="77" spans="1:10" ht="14.4" x14ac:dyDescent="0.3">
      <c r="A77" s="28"/>
      <c r="B77" s="34"/>
      <c r="C77" s="30"/>
      <c r="D77" s="32"/>
      <c r="E77" s="32"/>
      <c r="F77" s="32"/>
      <c r="H77" s="19"/>
      <c r="I77" s="20"/>
      <c r="J77" s="21"/>
    </row>
    <row r="78" spans="1:10" ht="14.4" x14ac:dyDescent="0.3">
      <c r="A78" s="53" t="s">
        <v>53</v>
      </c>
      <c r="B78" s="45"/>
      <c r="C78" s="231">
        <v>0</v>
      </c>
      <c r="D78" s="231">
        <v>0</v>
      </c>
      <c r="E78" s="231">
        <v>0</v>
      </c>
      <c r="F78" s="231">
        <v>0</v>
      </c>
      <c r="H78" s="19"/>
      <c r="I78" s="20"/>
      <c r="J78" s="21"/>
    </row>
    <row r="79" spans="1:10" ht="14.4" x14ac:dyDescent="0.3">
      <c r="A79" s="28"/>
      <c r="B79" s="34"/>
      <c r="C79" s="30"/>
      <c r="D79" s="32"/>
      <c r="E79" s="32"/>
      <c r="F79" s="32"/>
      <c r="H79" s="19"/>
      <c r="I79" s="20"/>
      <c r="J79" s="21"/>
    </row>
    <row r="80" spans="1:10" ht="47.1" customHeight="1" x14ac:dyDescent="0.3">
      <c r="A80" s="54" t="s">
        <v>54</v>
      </c>
      <c r="B80" s="55"/>
      <c r="C80" s="232">
        <v>0</v>
      </c>
      <c r="D80" s="56">
        <v>1144729374931.99</v>
      </c>
      <c r="E80" s="232">
        <v>0</v>
      </c>
      <c r="F80" s="56">
        <v>331601148062.02008</v>
      </c>
      <c r="H80" s="19"/>
      <c r="I80" s="20"/>
      <c r="J80" s="21"/>
    </row>
    <row r="81" spans="1:6" ht="5.0999999999999996" customHeight="1" x14ac:dyDescent="0.3">
      <c r="A81" s="57"/>
      <c r="B81" s="58"/>
      <c r="C81" s="59"/>
      <c r="D81" s="59"/>
      <c r="E81" s="60"/>
      <c r="F81" s="61"/>
    </row>
    <row r="82" spans="1:6" x14ac:dyDescent="0.3">
      <c r="A82" s="249" t="s">
        <v>55</v>
      </c>
      <c r="B82" s="249"/>
      <c r="C82" s="249"/>
      <c r="D82" s="249"/>
      <c r="E82" s="249"/>
      <c r="F82" s="249"/>
    </row>
    <row r="83" spans="1:6" x14ac:dyDescent="0.3">
      <c r="A83" s="249"/>
      <c r="B83" s="249"/>
      <c r="C83" s="249"/>
      <c r="D83" s="249"/>
      <c r="E83" s="249"/>
      <c r="F83" s="249"/>
    </row>
    <row r="84" spans="1:6" x14ac:dyDescent="0.3">
      <c r="A84" s="57"/>
      <c r="B84" s="58"/>
      <c r="C84" s="59"/>
      <c r="D84" s="59"/>
      <c r="E84" s="60"/>
      <c r="F84" s="61"/>
    </row>
    <row r="85" spans="1:6" ht="17.399999999999999" x14ac:dyDescent="0.3">
      <c r="A85" s="57"/>
      <c r="B85" s="58"/>
      <c r="C85" s="59"/>
      <c r="D85" s="250" t="s">
        <v>416</v>
      </c>
      <c r="E85" s="250"/>
      <c r="F85" s="250"/>
    </row>
    <row r="86" spans="1:6" ht="17.399999999999999" x14ac:dyDescent="0.3">
      <c r="A86" s="57"/>
      <c r="B86" s="58"/>
      <c r="C86" s="59"/>
      <c r="D86" s="62"/>
      <c r="E86" s="63"/>
      <c r="F86" s="64"/>
    </row>
    <row r="87" spans="1:6" ht="17.399999999999999" x14ac:dyDescent="0.3">
      <c r="A87" s="57"/>
      <c r="B87" s="58"/>
      <c r="C87" s="59"/>
      <c r="D87" s="62"/>
      <c r="E87" s="63"/>
      <c r="F87" s="64"/>
    </row>
    <row r="88" spans="1:6" ht="17.399999999999999" x14ac:dyDescent="0.3">
      <c r="A88" s="57"/>
      <c r="B88" s="58"/>
      <c r="C88" s="59"/>
      <c r="D88" s="62"/>
      <c r="E88" s="63"/>
      <c r="F88" s="64"/>
    </row>
    <row r="89" spans="1:6" ht="17.399999999999999" x14ac:dyDescent="0.3">
      <c r="A89" s="57"/>
      <c r="B89" s="58"/>
      <c r="C89" s="59"/>
      <c r="D89" s="62"/>
      <c r="E89" s="63"/>
      <c r="F89" s="64"/>
    </row>
    <row r="90" spans="1:6" ht="17.399999999999999" x14ac:dyDescent="0.3">
      <c r="A90" s="57"/>
      <c r="B90" s="58"/>
      <c r="C90" s="59"/>
      <c r="D90" s="250" t="s">
        <v>417</v>
      </c>
      <c r="E90" s="250"/>
      <c r="F90" s="250"/>
    </row>
    <row r="91" spans="1:6" x14ac:dyDescent="0.3">
      <c r="A91" s="57"/>
      <c r="B91" s="58"/>
      <c r="C91" s="65"/>
      <c r="D91" s="66"/>
      <c r="F91" s="61"/>
    </row>
  </sheetData>
  <sheetProtection formatCells="0" formatColumns="0" formatRows="0"/>
  <mergeCells count="10">
    <mergeCell ref="H11:I11"/>
    <mergeCell ref="A82:F83"/>
    <mergeCell ref="D85:F85"/>
    <mergeCell ref="D90:F90"/>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6" fitToHeight="0" orientation="portrait" useFirstPageNumber="1" r:id="rId1"/>
  <headerFooter scaleWithDoc="0"/>
  <rowBreaks count="1" manualBreakCount="1">
    <brk id="63"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BB40-7C30-41E4-801A-ACCB7EA8752D}">
  <sheetPr codeName="Sheet18">
    <tabColor rgb="FF1B6744"/>
    <pageSetUpPr fitToPage="1"/>
  </sheetPr>
  <dimension ref="A1:I47"/>
  <sheetViews>
    <sheetView view="pageBreakPreview" topLeftCell="A7" zoomScaleNormal="100" zoomScaleSheetLayoutView="100" workbookViewId="0">
      <selection activeCell="A39" sqref="A39"/>
    </sheetView>
  </sheetViews>
  <sheetFormatPr defaultColWidth="8.88671875" defaultRowHeight="13.8" x14ac:dyDescent="0.3"/>
  <cols>
    <col min="1" max="1" width="40.109375" style="71" customWidth="1"/>
    <col min="2" max="2" width="13.44140625" style="71" customWidth="1"/>
    <col min="3" max="3" width="22.44140625" style="71" bestFit="1" customWidth="1"/>
    <col min="4" max="4" width="23.109375" style="71" bestFit="1" customWidth="1"/>
    <col min="5" max="5" width="8.88671875" style="71"/>
    <col min="6" max="6" width="19.88671875" style="72" bestFit="1" customWidth="1"/>
    <col min="7" max="7" width="21.44140625" style="72" bestFit="1" customWidth="1"/>
    <col min="8" max="9" width="20.109375" style="71" bestFit="1" customWidth="1"/>
    <col min="10" max="256" width="8.88671875" style="71"/>
    <col min="257" max="257" width="68.44140625" style="71" customWidth="1"/>
    <col min="258" max="258" width="8.88671875" style="71"/>
    <col min="259" max="260" width="18.109375" style="71" bestFit="1" customWidth="1"/>
    <col min="261" max="261" width="8.88671875" style="71"/>
    <col min="262" max="262" width="18.88671875" style="71" bestFit="1" customWidth="1"/>
    <col min="263" max="263" width="15" style="71" bestFit="1" customWidth="1"/>
    <col min="264" max="512" width="8.88671875" style="71"/>
    <col min="513" max="513" width="68.44140625" style="71" customWidth="1"/>
    <col min="514" max="514" width="8.88671875" style="71"/>
    <col min="515" max="516" width="18.109375" style="71" bestFit="1" customWidth="1"/>
    <col min="517" max="517" width="8.88671875" style="71"/>
    <col min="518" max="518" width="18.88671875" style="71" bestFit="1" customWidth="1"/>
    <col min="519" max="519" width="15" style="71" bestFit="1" customWidth="1"/>
    <col min="520" max="768" width="8.88671875" style="71"/>
    <col min="769" max="769" width="68.44140625" style="71" customWidth="1"/>
    <col min="770" max="770" width="8.88671875" style="71"/>
    <col min="771" max="772" width="18.109375" style="71" bestFit="1" customWidth="1"/>
    <col min="773" max="773" width="8.88671875" style="71"/>
    <col min="774" max="774" width="18.88671875" style="71" bestFit="1" customWidth="1"/>
    <col min="775" max="775" width="15" style="71" bestFit="1" customWidth="1"/>
    <col min="776" max="1024" width="8.88671875" style="71"/>
    <col min="1025" max="1025" width="68.44140625" style="71" customWidth="1"/>
    <col min="1026" max="1026" width="8.88671875" style="71"/>
    <col min="1027" max="1028" width="18.109375" style="71" bestFit="1" customWidth="1"/>
    <col min="1029" max="1029" width="8.88671875" style="71"/>
    <col min="1030" max="1030" width="18.88671875" style="71" bestFit="1" customWidth="1"/>
    <col min="1031" max="1031" width="15" style="71" bestFit="1" customWidth="1"/>
    <col min="1032" max="1280" width="8.88671875" style="71"/>
    <col min="1281" max="1281" width="68.44140625" style="71" customWidth="1"/>
    <col min="1282" max="1282" width="8.88671875" style="71"/>
    <col min="1283" max="1284" width="18.109375" style="71" bestFit="1" customWidth="1"/>
    <col min="1285" max="1285" width="8.88671875" style="71"/>
    <col min="1286" max="1286" width="18.88671875" style="71" bestFit="1" customWidth="1"/>
    <col min="1287" max="1287" width="15" style="71" bestFit="1" customWidth="1"/>
    <col min="1288" max="1536" width="8.88671875" style="71"/>
    <col min="1537" max="1537" width="68.44140625" style="71" customWidth="1"/>
    <col min="1538" max="1538" width="8.88671875" style="71"/>
    <col min="1539" max="1540" width="18.109375" style="71" bestFit="1" customWidth="1"/>
    <col min="1541" max="1541" width="8.88671875" style="71"/>
    <col min="1542" max="1542" width="18.88671875" style="71" bestFit="1" customWidth="1"/>
    <col min="1543" max="1543" width="15" style="71" bestFit="1" customWidth="1"/>
    <col min="1544" max="1792" width="8.88671875" style="71"/>
    <col min="1793" max="1793" width="68.44140625" style="71" customWidth="1"/>
    <col min="1794" max="1794" width="8.88671875" style="71"/>
    <col min="1795" max="1796" width="18.109375" style="71" bestFit="1" customWidth="1"/>
    <col min="1797" max="1797" width="8.88671875" style="71"/>
    <col min="1798" max="1798" width="18.88671875" style="71" bestFit="1" customWidth="1"/>
    <col min="1799" max="1799" width="15" style="71" bestFit="1" customWidth="1"/>
    <col min="1800" max="2048" width="8.88671875" style="71"/>
    <col min="2049" max="2049" width="68.44140625" style="71" customWidth="1"/>
    <col min="2050" max="2050" width="8.88671875" style="71"/>
    <col min="2051" max="2052" width="18.109375" style="71" bestFit="1" customWidth="1"/>
    <col min="2053" max="2053" width="8.88671875" style="71"/>
    <col min="2054" max="2054" width="18.88671875" style="71" bestFit="1" customWidth="1"/>
    <col min="2055" max="2055" width="15" style="71" bestFit="1" customWidth="1"/>
    <col min="2056" max="2304" width="8.88671875" style="71"/>
    <col min="2305" max="2305" width="68.44140625" style="71" customWidth="1"/>
    <col min="2306" max="2306" width="8.88671875" style="71"/>
    <col min="2307" max="2308" width="18.109375" style="71" bestFit="1" customWidth="1"/>
    <col min="2309" max="2309" width="8.88671875" style="71"/>
    <col min="2310" max="2310" width="18.88671875" style="71" bestFit="1" customWidth="1"/>
    <col min="2311" max="2311" width="15" style="71" bestFit="1" customWidth="1"/>
    <col min="2312" max="2560" width="8.88671875" style="71"/>
    <col min="2561" max="2561" width="68.44140625" style="71" customWidth="1"/>
    <col min="2562" max="2562" width="8.88671875" style="71"/>
    <col min="2563" max="2564" width="18.109375" style="71" bestFit="1" customWidth="1"/>
    <col min="2565" max="2565" width="8.88671875" style="71"/>
    <col min="2566" max="2566" width="18.88671875" style="71" bestFit="1" customWidth="1"/>
    <col min="2567" max="2567" width="15" style="71" bestFit="1" customWidth="1"/>
    <col min="2568" max="2816" width="8.88671875" style="71"/>
    <col min="2817" max="2817" width="68.44140625" style="71" customWidth="1"/>
    <col min="2818" max="2818" width="8.88671875" style="71"/>
    <col min="2819" max="2820" width="18.109375" style="71" bestFit="1" customWidth="1"/>
    <col min="2821" max="2821" width="8.88671875" style="71"/>
    <col min="2822" max="2822" width="18.88671875" style="71" bestFit="1" customWidth="1"/>
    <col min="2823" max="2823" width="15" style="71" bestFit="1" customWidth="1"/>
    <col min="2824" max="3072" width="8.88671875" style="71"/>
    <col min="3073" max="3073" width="68.44140625" style="71" customWidth="1"/>
    <col min="3074" max="3074" width="8.88671875" style="71"/>
    <col min="3075" max="3076" width="18.109375" style="71" bestFit="1" customWidth="1"/>
    <col min="3077" max="3077" width="8.88671875" style="71"/>
    <col min="3078" max="3078" width="18.88671875" style="71" bestFit="1" customWidth="1"/>
    <col min="3079" max="3079" width="15" style="71" bestFit="1" customWidth="1"/>
    <col min="3080" max="3328" width="8.88671875" style="71"/>
    <col min="3329" max="3329" width="68.44140625" style="71" customWidth="1"/>
    <col min="3330" max="3330" width="8.88671875" style="71"/>
    <col min="3331" max="3332" width="18.109375" style="71" bestFit="1" customWidth="1"/>
    <col min="3333" max="3333" width="8.88671875" style="71"/>
    <col min="3334" max="3334" width="18.88671875" style="71" bestFit="1" customWidth="1"/>
    <col min="3335" max="3335" width="15" style="71" bestFit="1" customWidth="1"/>
    <col min="3336" max="3584" width="8.88671875" style="71"/>
    <col min="3585" max="3585" width="68.44140625" style="71" customWidth="1"/>
    <col min="3586" max="3586" width="8.88671875" style="71"/>
    <col min="3587" max="3588" width="18.109375" style="71" bestFit="1" customWidth="1"/>
    <col min="3589" max="3589" width="8.88671875" style="71"/>
    <col min="3590" max="3590" width="18.88671875" style="71" bestFit="1" customWidth="1"/>
    <col min="3591" max="3591" width="15" style="71" bestFit="1" customWidth="1"/>
    <col min="3592" max="3840" width="8.88671875" style="71"/>
    <col min="3841" max="3841" width="68.44140625" style="71" customWidth="1"/>
    <col min="3842" max="3842" width="8.88671875" style="71"/>
    <col min="3843" max="3844" width="18.109375" style="71" bestFit="1" customWidth="1"/>
    <col min="3845" max="3845" width="8.88671875" style="71"/>
    <col min="3846" max="3846" width="18.88671875" style="71" bestFit="1" customWidth="1"/>
    <col min="3847" max="3847" width="15" style="71" bestFit="1" customWidth="1"/>
    <col min="3848" max="4096" width="8.88671875" style="71"/>
    <col min="4097" max="4097" width="68.44140625" style="71" customWidth="1"/>
    <col min="4098" max="4098" width="8.88671875" style="71"/>
    <col min="4099" max="4100" width="18.109375" style="71" bestFit="1" customWidth="1"/>
    <col min="4101" max="4101" width="8.88671875" style="71"/>
    <col min="4102" max="4102" width="18.88671875" style="71" bestFit="1" customWidth="1"/>
    <col min="4103" max="4103" width="15" style="71" bestFit="1" customWidth="1"/>
    <col min="4104" max="4352" width="8.88671875" style="71"/>
    <col min="4353" max="4353" width="68.44140625" style="71" customWidth="1"/>
    <col min="4354" max="4354" width="8.88671875" style="71"/>
    <col min="4355" max="4356" width="18.109375" style="71" bestFit="1" customWidth="1"/>
    <col min="4357" max="4357" width="8.88671875" style="71"/>
    <col min="4358" max="4358" width="18.88671875" style="71" bestFit="1" customWidth="1"/>
    <col min="4359" max="4359" width="15" style="71" bestFit="1" customWidth="1"/>
    <col min="4360" max="4608" width="8.88671875" style="71"/>
    <col min="4609" max="4609" width="68.44140625" style="71" customWidth="1"/>
    <col min="4610" max="4610" width="8.88671875" style="71"/>
    <col min="4611" max="4612" width="18.109375" style="71" bestFit="1" customWidth="1"/>
    <col min="4613" max="4613" width="8.88671875" style="71"/>
    <col min="4614" max="4614" width="18.88671875" style="71" bestFit="1" customWidth="1"/>
    <col min="4615" max="4615" width="15" style="71" bestFit="1" customWidth="1"/>
    <col min="4616" max="4864" width="8.88671875" style="71"/>
    <col min="4865" max="4865" width="68.44140625" style="71" customWidth="1"/>
    <col min="4866" max="4866" width="8.88671875" style="71"/>
    <col min="4867" max="4868" width="18.109375" style="71" bestFit="1" customWidth="1"/>
    <col min="4869" max="4869" width="8.88671875" style="71"/>
    <col min="4870" max="4870" width="18.88671875" style="71" bestFit="1" customWidth="1"/>
    <col min="4871" max="4871" width="15" style="71" bestFit="1" customWidth="1"/>
    <col min="4872" max="5120" width="8.88671875" style="71"/>
    <col min="5121" max="5121" width="68.44140625" style="71" customWidth="1"/>
    <col min="5122" max="5122" width="8.88671875" style="71"/>
    <col min="5123" max="5124" width="18.109375" style="71" bestFit="1" customWidth="1"/>
    <col min="5125" max="5125" width="8.88671875" style="71"/>
    <col min="5126" max="5126" width="18.88671875" style="71" bestFit="1" customWidth="1"/>
    <col min="5127" max="5127" width="15" style="71" bestFit="1" customWidth="1"/>
    <col min="5128" max="5376" width="8.88671875" style="71"/>
    <col min="5377" max="5377" width="68.44140625" style="71" customWidth="1"/>
    <col min="5378" max="5378" width="8.88671875" style="71"/>
    <col min="5379" max="5380" width="18.109375" style="71" bestFit="1" customWidth="1"/>
    <col min="5381" max="5381" width="8.88671875" style="71"/>
    <col min="5382" max="5382" width="18.88671875" style="71" bestFit="1" customWidth="1"/>
    <col min="5383" max="5383" width="15" style="71" bestFit="1" customWidth="1"/>
    <col min="5384" max="5632" width="8.88671875" style="71"/>
    <col min="5633" max="5633" width="68.44140625" style="71" customWidth="1"/>
    <col min="5634" max="5634" width="8.88671875" style="71"/>
    <col min="5635" max="5636" width="18.109375" style="71" bestFit="1" customWidth="1"/>
    <col min="5637" max="5637" width="8.88671875" style="71"/>
    <col min="5638" max="5638" width="18.88671875" style="71" bestFit="1" customWidth="1"/>
    <col min="5639" max="5639" width="15" style="71" bestFit="1" customWidth="1"/>
    <col min="5640" max="5888" width="8.88671875" style="71"/>
    <col min="5889" max="5889" width="68.44140625" style="71" customWidth="1"/>
    <col min="5890" max="5890" width="8.88671875" style="71"/>
    <col min="5891" max="5892" width="18.109375" style="71" bestFit="1" customWidth="1"/>
    <col min="5893" max="5893" width="8.88671875" style="71"/>
    <col min="5894" max="5894" width="18.88671875" style="71" bestFit="1" customWidth="1"/>
    <col min="5895" max="5895" width="15" style="71" bestFit="1" customWidth="1"/>
    <col min="5896" max="6144" width="8.88671875" style="71"/>
    <col min="6145" max="6145" width="68.44140625" style="71" customWidth="1"/>
    <col min="6146" max="6146" width="8.88671875" style="71"/>
    <col min="6147" max="6148" width="18.109375" style="71" bestFit="1" customWidth="1"/>
    <col min="6149" max="6149" width="8.88671875" style="71"/>
    <col min="6150" max="6150" width="18.88671875" style="71" bestFit="1" customWidth="1"/>
    <col min="6151" max="6151" width="15" style="71" bestFit="1" customWidth="1"/>
    <col min="6152" max="6400" width="8.88671875" style="71"/>
    <col min="6401" max="6401" width="68.44140625" style="71" customWidth="1"/>
    <col min="6402" max="6402" width="8.88671875" style="71"/>
    <col min="6403" max="6404" width="18.109375" style="71" bestFit="1" customWidth="1"/>
    <col min="6405" max="6405" width="8.88671875" style="71"/>
    <col min="6406" max="6406" width="18.88671875" style="71" bestFit="1" customWidth="1"/>
    <col min="6407" max="6407" width="15" style="71" bestFit="1" customWidth="1"/>
    <col min="6408" max="6656" width="8.88671875" style="71"/>
    <col min="6657" max="6657" width="68.44140625" style="71" customWidth="1"/>
    <col min="6658" max="6658" width="8.88671875" style="71"/>
    <col min="6659" max="6660" width="18.109375" style="71" bestFit="1" customWidth="1"/>
    <col min="6661" max="6661" width="8.88671875" style="71"/>
    <col min="6662" max="6662" width="18.88671875" style="71" bestFit="1" customWidth="1"/>
    <col min="6663" max="6663" width="15" style="71" bestFit="1" customWidth="1"/>
    <col min="6664" max="6912" width="8.88671875" style="71"/>
    <col min="6913" max="6913" width="68.44140625" style="71" customWidth="1"/>
    <col min="6914" max="6914" width="8.88671875" style="71"/>
    <col min="6915" max="6916" width="18.109375" style="71" bestFit="1" customWidth="1"/>
    <col min="6917" max="6917" width="8.88671875" style="71"/>
    <col min="6918" max="6918" width="18.88671875" style="71" bestFit="1" customWidth="1"/>
    <col min="6919" max="6919" width="15" style="71" bestFit="1" customWidth="1"/>
    <col min="6920" max="7168" width="8.88671875" style="71"/>
    <col min="7169" max="7169" width="68.44140625" style="71" customWidth="1"/>
    <col min="7170" max="7170" width="8.88671875" style="71"/>
    <col min="7171" max="7172" width="18.109375" style="71" bestFit="1" customWidth="1"/>
    <col min="7173" max="7173" width="8.88671875" style="71"/>
    <col min="7174" max="7174" width="18.88671875" style="71" bestFit="1" customWidth="1"/>
    <col min="7175" max="7175" width="15" style="71" bestFit="1" customWidth="1"/>
    <col min="7176" max="7424" width="8.88671875" style="71"/>
    <col min="7425" max="7425" width="68.44140625" style="71" customWidth="1"/>
    <col min="7426" max="7426" width="8.88671875" style="71"/>
    <col min="7427" max="7428" width="18.109375" style="71" bestFit="1" customWidth="1"/>
    <col min="7429" max="7429" width="8.88671875" style="71"/>
    <col min="7430" max="7430" width="18.88671875" style="71" bestFit="1" customWidth="1"/>
    <col min="7431" max="7431" width="15" style="71" bestFit="1" customWidth="1"/>
    <col min="7432" max="7680" width="8.88671875" style="71"/>
    <col min="7681" max="7681" width="68.44140625" style="71" customWidth="1"/>
    <col min="7682" max="7682" width="8.88671875" style="71"/>
    <col min="7683" max="7684" width="18.109375" style="71" bestFit="1" customWidth="1"/>
    <col min="7685" max="7685" width="8.88671875" style="71"/>
    <col min="7686" max="7686" width="18.88671875" style="71" bestFit="1" customWidth="1"/>
    <col min="7687" max="7687" width="15" style="71" bestFit="1" customWidth="1"/>
    <col min="7688" max="7936" width="8.88671875" style="71"/>
    <col min="7937" max="7937" width="68.44140625" style="71" customWidth="1"/>
    <col min="7938" max="7938" width="8.88671875" style="71"/>
    <col min="7939" max="7940" width="18.109375" style="71" bestFit="1" customWidth="1"/>
    <col min="7941" max="7941" width="8.88671875" style="71"/>
    <col min="7942" max="7942" width="18.88671875" style="71" bestFit="1" customWidth="1"/>
    <col min="7943" max="7943" width="15" style="71" bestFit="1" customWidth="1"/>
    <col min="7944" max="8192" width="8.88671875" style="71"/>
    <col min="8193" max="8193" width="68.44140625" style="71" customWidth="1"/>
    <col min="8194" max="8194" width="8.88671875" style="71"/>
    <col min="8195" max="8196" width="18.109375" style="71" bestFit="1" customWidth="1"/>
    <col min="8197" max="8197" width="8.88671875" style="71"/>
    <col min="8198" max="8198" width="18.88671875" style="71" bestFit="1" customWidth="1"/>
    <col min="8199" max="8199" width="15" style="71" bestFit="1" customWidth="1"/>
    <col min="8200" max="8448" width="8.88671875" style="71"/>
    <col min="8449" max="8449" width="68.44140625" style="71" customWidth="1"/>
    <col min="8450" max="8450" width="8.88671875" style="71"/>
    <col min="8451" max="8452" width="18.109375" style="71" bestFit="1" customWidth="1"/>
    <col min="8453" max="8453" width="8.88671875" style="71"/>
    <col min="8454" max="8454" width="18.88671875" style="71" bestFit="1" customWidth="1"/>
    <col min="8455" max="8455" width="15" style="71" bestFit="1" customWidth="1"/>
    <col min="8456" max="8704" width="8.88671875" style="71"/>
    <col min="8705" max="8705" width="68.44140625" style="71" customWidth="1"/>
    <col min="8706" max="8706" width="8.88671875" style="71"/>
    <col min="8707" max="8708" width="18.109375" style="71" bestFit="1" customWidth="1"/>
    <col min="8709" max="8709" width="8.88671875" style="71"/>
    <col min="8710" max="8710" width="18.88671875" style="71" bestFit="1" customWidth="1"/>
    <col min="8711" max="8711" width="15" style="71" bestFit="1" customWidth="1"/>
    <col min="8712" max="8960" width="8.88671875" style="71"/>
    <col min="8961" max="8961" width="68.44140625" style="71" customWidth="1"/>
    <col min="8962" max="8962" width="8.88671875" style="71"/>
    <col min="8963" max="8964" width="18.109375" style="71" bestFit="1" customWidth="1"/>
    <col min="8965" max="8965" width="8.88671875" style="71"/>
    <col min="8966" max="8966" width="18.88671875" style="71" bestFit="1" customWidth="1"/>
    <col min="8967" max="8967" width="15" style="71" bestFit="1" customWidth="1"/>
    <col min="8968" max="9216" width="8.88671875" style="71"/>
    <col min="9217" max="9217" width="68.44140625" style="71" customWidth="1"/>
    <col min="9218" max="9218" width="8.88671875" style="71"/>
    <col min="9219" max="9220" width="18.109375" style="71" bestFit="1" customWidth="1"/>
    <col min="9221" max="9221" width="8.88671875" style="71"/>
    <col min="9222" max="9222" width="18.88671875" style="71" bestFit="1" customWidth="1"/>
    <col min="9223" max="9223" width="15" style="71" bestFit="1" customWidth="1"/>
    <col min="9224" max="9472" width="8.88671875" style="71"/>
    <col min="9473" max="9473" width="68.44140625" style="71" customWidth="1"/>
    <col min="9474" max="9474" width="8.88671875" style="71"/>
    <col min="9475" max="9476" width="18.109375" style="71" bestFit="1" customWidth="1"/>
    <col min="9477" max="9477" width="8.88671875" style="71"/>
    <col min="9478" max="9478" width="18.88671875" style="71" bestFit="1" customWidth="1"/>
    <col min="9479" max="9479" width="15" style="71" bestFit="1" customWidth="1"/>
    <col min="9480" max="9728" width="8.88671875" style="71"/>
    <col min="9729" max="9729" width="68.44140625" style="71" customWidth="1"/>
    <col min="9730" max="9730" width="8.88671875" style="71"/>
    <col min="9731" max="9732" width="18.109375" style="71" bestFit="1" customWidth="1"/>
    <col min="9733" max="9733" width="8.88671875" style="71"/>
    <col min="9734" max="9734" width="18.88671875" style="71" bestFit="1" customWidth="1"/>
    <col min="9735" max="9735" width="15" style="71" bestFit="1" customWidth="1"/>
    <col min="9736" max="9984" width="8.88671875" style="71"/>
    <col min="9985" max="9985" width="68.44140625" style="71" customWidth="1"/>
    <col min="9986" max="9986" width="8.88671875" style="71"/>
    <col min="9987" max="9988" width="18.109375" style="71" bestFit="1" customWidth="1"/>
    <col min="9989" max="9989" width="8.88671875" style="71"/>
    <col min="9990" max="9990" width="18.88671875" style="71" bestFit="1" customWidth="1"/>
    <col min="9991" max="9991" width="15" style="71" bestFit="1" customWidth="1"/>
    <col min="9992" max="10240" width="8.88671875" style="71"/>
    <col min="10241" max="10241" width="68.44140625" style="71" customWidth="1"/>
    <col min="10242" max="10242" width="8.88671875" style="71"/>
    <col min="10243" max="10244" width="18.109375" style="71" bestFit="1" customWidth="1"/>
    <col min="10245" max="10245" width="8.88671875" style="71"/>
    <col min="10246" max="10246" width="18.88671875" style="71" bestFit="1" customWidth="1"/>
    <col min="10247" max="10247" width="15" style="71" bestFit="1" customWidth="1"/>
    <col min="10248" max="10496" width="8.88671875" style="71"/>
    <col min="10497" max="10497" width="68.44140625" style="71" customWidth="1"/>
    <col min="10498" max="10498" width="8.88671875" style="71"/>
    <col min="10499" max="10500" width="18.109375" style="71" bestFit="1" customWidth="1"/>
    <col min="10501" max="10501" width="8.88671875" style="71"/>
    <col min="10502" max="10502" width="18.88671875" style="71" bestFit="1" customWidth="1"/>
    <col min="10503" max="10503" width="15" style="71" bestFit="1" customWidth="1"/>
    <col min="10504" max="10752" width="8.88671875" style="71"/>
    <col min="10753" max="10753" width="68.44140625" style="71" customWidth="1"/>
    <col min="10754" max="10754" width="8.88671875" style="71"/>
    <col min="10755" max="10756" width="18.109375" style="71" bestFit="1" customWidth="1"/>
    <col min="10757" max="10757" width="8.88671875" style="71"/>
    <col min="10758" max="10758" width="18.88671875" style="71" bestFit="1" customWidth="1"/>
    <col min="10759" max="10759" width="15" style="71" bestFit="1" customWidth="1"/>
    <col min="10760" max="11008" width="8.88671875" style="71"/>
    <col min="11009" max="11009" width="68.44140625" style="71" customWidth="1"/>
    <col min="11010" max="11010" width="8.88671875" style="71"/>
    <col min="11011" max="11012" width="18.109375" style="71" bestFit="1" customWidth="1"/>
    <col min="11013" max="11013" width="8.88671875" style="71"/>
    <col min="11014" max="11014" width="18.88671875" style="71" bestFit="1" customWidth="1"/>
    <col min="11015" max="11015" width="15" style="71" bestFit="1" customWidth="1"/>
    <col min="11016" max="11264" width="8.88671875" style="71"/>
    <col min="11265" max="11265" width="68.44140625" style="71" customWidth="1"/>
    <col min="11266" max="11266" width="8.88671875" style="71"/>
    <col min="11267" max="11268" width="18.109375" style="71" bestFit="1" customWidth="1"/>
    <col min="11269" max="11269" width="8.88671875" style="71"/>
    <col min="11270" max="11270" width="18.88671875" style="71" bestFit="1" customWidth="1"/>
    <col min="11271" max="11271" width="15" style="71" bestFit="1" customWidth="1"/>
    <col min="11272" max="11520" width="8.88671875" style="71"/>
    <col min="11521" max="11521" width="68.44140625" style="71" customWidth="1"/>
    <col min="11522" max="11522" width="8.88671875" style="71"/>
    <col min="11523" max="11524" width="18.109375" style="71" bestFit="1" customWidth="1"/>
    <col min="11525" max="11525" width="8.88671875" style="71"/>
    <col min="11526" max="11526" width="18.88671875" style="71" bestFit="1" customWidth="1"/>
    <col min="11527" max="11527" width="15" style="71" bestFit="1" customWidth="1"/>
    <col min="11528" max="11776" width="8.88671875" style="71"/>
    <col min="11777" max="11777" width="68.44140625" style="71" customWidth="1"/>
    <col min="11778" max="11778" width="8.88671875" style="71"/>
    <col min="11779" max="11780" width="18.109375" style="71" bestFit="1" customWidth="1"/>
    <col min="11781" max="11781" width="8.88671875" style="71"/>
    <col min="11782" max="11782" width="18.88671875" style="71" bestFit="1" customWidth="1"/>
    <col min="11783" max="11783" width="15" style="71" bestFit="1" customWidth="1"/>
    <col min="11784" max="12032" width="8.88671875" style="71"/>
    <col min="12033" max="12033" width="68.44140625" style="71" customWidth="1"/>
    <col min="12034" max="12034" width="8.88671875" style="71"/>
    <col min="12035" max="12036" width="18.109375" style="71" bestFit="1" customWidth="1"/>
    <col min="12037" max="12037" width="8.88671875" style="71"/>
    <col min="12038" max="12038" width="18.88671875" style="71" bestFit="1" customWidth="1"/>
    <col min="12039" max="12039" width="15" style="71" bestFit="1" customWidth="1"/>
    <col min="12040" max="12288" width="8.88671875" style="71"/>
    <col min="12289" max="12289" width="68.44140625" style="71" customWidth="1"/>
    <col min="12290" max="12290" width="8.88671875" style="71"/>
    <col min="12291" max="12292" width="18.109375" style="71" bestFit="1" customWidth="1"/>
    <col min="12293" max="12293" width="8.88671875" style="71"/>
    <col min="12294" max="12294" width="18.88671875" style="71" bestFit="1" customWidth="1"/>
    <col min="12295" max="12295" width="15" style="71" bestFit="1" customWidth="1"/>
    <col min="12296" max="12544" width="8.88671875" style="71"/>
    <col min="12545" max="12545" width="68.44140625" style="71" customWidth="1"/>
    <col min="12546" max="12546" width="8.88671875" style="71"/>
    <col min="12547" max="12548" width="18.109375" style="71" bestFit="1" customWidth="1"/>
    <col min="12549" max="12549" width="8.88671875" style="71"/>
    <col min="12550" max="12550" width="18.88671875" style="71" bestFit="1" customWidth="1"/>
    <col min="12551" max="12551" width="15" style="71" bestFit="1" customWidth="1"/>
    <col min="12552" max="12800" width="8.88671875" style="71"/>
    <col min="12801" max="12801" width="68.44140625" style="71" customWidth="1"/>
    <col min="12802" max="12802" width="8.88671875" style="71"/>
    <col min="12803" max="12804" width="18.109375" style="71" bestFit="1" customWidth="1"/>
    <col min="12805" max="12805" width="8.88671875" style="71"/>
    <col min="12806" max="12806" width="18.88671875" style="71" bestFit="1" customWidth="1"/>
    <col min="12807" max="12807" width="15" style="71" bestFit="1" customWidth="1"/>
    <col min="12808" max="13056" width="8.88671875" style="71"/>
    <col min="13057" max="13057" width="68.44140625" style="71" customWidth="1"/>
    <col min="13058" max="13058" width="8.88671875" style="71"/>
    <col min="13059" max="13060" width="18.109375" style="71" bestFit="1" customWidth="1"/>
    <col min="13061" max="13061" width="8.88671875" style="71"/>
    <col min="13062" max="13062" width="18.88671875" style="71" bestFit="1" customWidth="1"/>
    <col min="13063" max="13063" width="15" style="71" bestFit="1" customWidth="1"/>
    <col min="13064" max="13312" width="8.88671875" style="71"/>
    <col min="13313" max="13313" width="68.44140625" style="71" customWidth="1"/>
    <col min="13314" max="13314" width="8.88671875" style="71"/>
    <col min="13315" max="13316" width="18.109375" style="71" bestFit="1" customWidth="1"/>
    <col min="13317" max="13317" width="8.88671875" style="71"/>
    <col min="13318" max="13318" width="18.88671875" style="71" bestFit="1" customWidth="1"/>
    <col min="13319" max="13319" width="15" style="71" bestFit="1" customWidth="1"/>
    <col min="13320" max="13568" width="8.88671875" style="71"/>
    <col min="13569" max="13569" width="68.44140625" style="71" customWidth="1"/>
    <col min="13570" max="13570" width="8.88671875" style="71"/>
    <col min="13571" max="13572" width="18.109375" style="71" bestFit="1" customWidth="1"/>
    <col min="13573" max="13573" width="8.88671875" style="71"/>
    <col min="13574" max="13574" width="18.88671875" style="71" bestFit="1" customWidth="1"/>
    <col min="13575" max="13575" width="15" style="71" bestFit="1" customWidth="1"/>
    <col min="13576" max="13824" width="8.88671875" style="71"/>
    <col min="13825" max="13825" width="68.44140625" style="71" customWidth="1"/>
    <col min="13826" max="13826" width="8.88671875" style="71"/>
    <col min="13827" max="13828" width="18.109375" style="71" bestFit="1" customWidth="1"/>
    <col min="13829" max="13829" width="8.88671875" style="71"/>
    <col min="13830" max="13830" width="18.88671875" style="71" bestFit="1" customWidth="1"/>
    <col min="13831" max="13831" width="15" style="71" bestFit="1" customWidth="1"/>
    <col min="13832" max="14080" width="8.88671875" style="71"/>
    <col min="14081" max="14081" width="68.44140625" style="71" customWidth="1"/>
    <col min="14082" max="14082" width="8.88671875" style="71"/>
    <col min="14083" max="14084" width="18.109375" style="71" bestFit="1" customWidth="1"/>
    <col min="14085" max="14085" width="8.88671875" style="71"/>
    <col min="14086" max="14086" width="18.88671875" style="71" bestFit="1" customWidth="1"/>
    <col min="14087" max="14087" width="15" style="71" bestFit="1" customWidth="1"/>
    <col min="14088" max="14336" width="8.88671875" style="71"/>
    <col min="14337" max="14337" width="68.44140625" style="71" customWidth="1"/>
    <col min="14338" max="14338" width="8.88671875" style="71"/>
    <col min="14339" max="14340" width="18.109375" style="71" bestFit="1" customWidth="1"/>
    <col min="14341" max="14341" width="8.88671875" style="71"/>
    <col min="14342" max="14342" width="18.88671875" style="71" bestFit="1" customWidth="1"/>
    <col min="14343" max="14343" width="15" style="71" bestFit="1" customWidth="1"/>
    <col min="14344" max="14592" width="8.88671875" style="71"/>
    <col min="14593" max="14593" width="68.44140625" style="71" customWidth="1"/>
    <col min="14594" max="14594" width="8.88671875" style="71"/>
    <col min="14595" max="14596" width="18.109375" style="71" bestFit="1" customWidth="1"/>
    <col min="14597" max="14597" width="8.88671875" style="71"/>
    <col min="14598" max="14598" width="18.88671875" style="71" bestFit="1" customWidth="1"/>
    <col min="14599" max="14599" width="15" style="71" bestFit="1" customWidth="1"/>
    <col min="14600" max="14848" width="8.88671875" style="71"/>
    <col min="14849" max="14849" width="68.44140625" style="71" customWidth="1"/>
    <col min="14850" max="14850" width="8.88671875" style="71"/>
    <col min="14851" max="14852" width="18.109375" style="71" bestFit="1" customWidth="1"/>
    <col min="14853" max="14853" width="8.88671875" style="71"/>
    <col min="14854" max="14854" width="18.88671875" style="71" bestFit="1" customWidth="1"/>
    <col min="14855" max="14855" width="15" style="71" bestFit="1" customWidth="1"/>
    <col min="14856" max="15104" width="8.88671875" style="71"/>
    <col min="15105" max="15105" width="68.44140625" style="71" customWidth="1"/>
    <col min="15106" max="15106" width="8.88671875" style="71"/>
    <col min="15107" max="15108" width="18.109375" style="71" bestFit="1" customWidth="1"/>
    <col min="15109" max="15109" width="8.88671875" style="71"/>
    <col min="15110" max="15110" width="18.88671875" style="71" bestFit="1" customWidth="1"/>
    <col min="15111" max="15111" width="15" style="71" bestFit="1" customWidth="1"/>
    <col min="15112" max="15360" width="8.88671875" style="71"/>
    <col min="15361" max="15361" width="68.44140625" style="71" customWidth="1"/>
    <col min="15362" max="15362" width="8.88671875" style="71"/>
    <col min="15363" max="15364" width="18.109375" style="71" bestFit="1" customWidth="1"/>
    <col min="15365" max="15365" width="8.88671875" style="71"/>
    <col min="15366" max="15366" width="18.88671875" style="71" bestFit="1" customWidth="1"/>
    <col min="15367" max="15367" width="15" style="71" bestFit="1" customWidth="1"/>
    <col min="15368" max="15616" width="8.88671875" style="71"/>
    <col min="15617" max="15617" width="68.44140625" style="71" customWidth="1"/>
    <col min="15618" max="15618" width="8.88671875" style="71"/>
    <col min="15619" max="15620" width="18.109375" style="71" bestFit="1" customWidth="1"/>
    <col min="15621" max="15621" width="8.88671875" style="71"/>
    <col min="15622" max="15622" width="18.88671875" style="71" bestFit="1" customWidth="1"/>
    <col min="15623" max="15623" width="15" style="71" bestFit="1" customWidth="1"/>
    <col min="15624" max="15872" width="8.88671875" style="71"/>
    <col min="15873" max="15873" width="68.44140625" style="71" customWidth="1"/>
    <col min="15874" max="15874" width="8.88671875" style="71"/>
    <col min="15875" max="15876" width="18.109375" style="71" bestFit="1" customWidth="1"/>
    <col min="15877" max="15877" width="8.88671875" style="71"/>
    <col min="15878" max="15878" width="18.88671875" style="71" bestFit="1" customWidth="1"/>
    <col min="15879" max="15879" width="15" style="71" bestFit="1" customWidth="1"/>
    <col min="15880" max="16128" width="8.88671875" style="71"/>
    <col min="16129" max="16129" width="68.44140625" style="71" customWidth="1"/>
    <col min="16130" max="16130" width="8.88671875" style="71"/>
    <col min="16131" max="16132" width="18.109375" style="71" bestFit="1" customWidth="1"/>
    <col min="16133" max="16133" width="8.88671875" style="71"/>
    <col min="16134" max="16134" width="18.88671875" style="71" bestFit="1" customWidth="1"/>
    <col min="16135" max="16135" width="15" style="71" bestFit="1" customWidth="1"/>
    <col min="16136" max="16384" width="8.88671875" style="71"/>
  </cols>
  <sheetData>
    <row r="1" spans="1:9" ht="14.85" customHeight="1" x14ac:dyDescent="0.3">
      <c r="A1" s="258"/>
      <c r="B1" s="258"/>
      <c r="C1" s="258"/>
      <c r="D1" s="258"/>
    </row>
    <row r="2" spans="1:9" x14ac:dyDescent="0.3">
      <c r="A2" s="258"/>
      <c r="B2" s="258"/>
      <c r="C2" s="258"/>
      <c r="D2" s="258"/>
    </row>
    <row r="3" spans="1:9" x14ac:dyDescent="0.3">
      <c r="A3" s="258"/>
      <c r="B3" s="258"/>
      <c r="C3" s="258"/>
      <c r="D3" s="258"/>
    </row>
    <row r="4" spans="1:9" x14ac:dyDescent="0.3">
      <c r="A4" s="258"/>
      <c r="B4" s="258"/>
      <c r="C4" s="258"/>
      <c r="D4" s="258"/>
    </row>
    <row r="5" spans="1:9" x14ac:dyDescent="0.3">
      <c r="A5" s="258"/>
      <c r="B5" s="258"/>
      <c r="C5" s="258"/>
      <c r="D5" s="258"/>
    </row>
    <row r="6" spans="1:9" x14ac:dyDescent="0.3">
      <c r="A6" s="258"/>
      <c r="B6" s="258"/>
      <c r="C6" s="258"/>
      <c r="D6" s="258"/>
    </row>
    <row r="7" spans="1:9" x14ac:dyDescent="0.3">
      <c r="A7" s="259" t="s">
        <v>411</v>
      </c>
      <c r="B7" s="259"/>
      <c r="C7" s="259"/>
      <c r="D7" s="259"/>
    </row>
    <row r="8" spans="1:9" x14ac:dyDescent="0.3">
      <c r="A8" s="259" t="s">
        <v>56</v>
      </c>
      <c r="B8" s="259"/>
      <c r="C8" s="259"/>
      <c r="D8" s="259"/>
    </row>
    <row r="9" spans="1:9" x14ac:dyDescent="0.3">
      <c r="A9" s="259" t="s">
        <v>418</v>
      </c>
      <c r="B9" s="259"/>
      <c r="C9" s="259"/>
      <c r="D9" s="259"/>
    </row>
    <row r="10" spans="1:9" s="73" customFormat="1" x14ac:dyDescent="0.3">
      <c r="A10" s="260"/>
      <c r="B10" s="260"/>
      <c r="C10" s="260"/>
      <c r="D10" s="260"/>
      <c r="F10" s="74"/>
      <c r="G10" s="74"/>
    </row>
    <row r="11" spans="1:9" s="73" customFormat="1" x14ac:dyDescent="0.3">
      <c r="C11" s="261" t="s">
        <v>57</v>
      </c>
      <c r="D11" s="261"/>
      <c r="F11" s="74"/>
      <c r="G11" s="74"/>
    </row>
    <row r="12" spans="1:9" ht="26.1" customHeight="1" x14ac:dyDescent="0.3">
      <c r="A12" s="75" t="s">
        <v>1</v>
      </c>
      <c r="B12" s="76" t="s">
        <v>2</v>
      </c>
      <c r="C12" s="75" t="s">
        <v>419</v>
      </c>
      <c r="D12" s="75" t="s">
        <v>420</v>
      </c>
      <c r="F12"/>
      <c r="G12"/>
      <c r="H12"/>
      <c r="I12"/>
    </row>
    <row r="13" spans="1:9" ht="14.4" x14ac:dyDescent="0.3">
      <c r="A13" s="77"/>
      <c r="B13" s="77"/>
      <c r="C13" s="78"/>
      <c r="D13" s="78"/>
      <c r="F13"/>
      <c r="G13"/>
      <c r="H13"/>
      <c r="I13"/>
    </row>
    <row r="14" spans="1:9" ht="14.4" x14ac:dyDescent="0.3">
      <c r="A14" s="79" t="s">
        <v>58</v>
      </c>
      <c r="B14" s="233" t="s">
        <v>257</v>
      </c>
      <c r="C14" s="81">
        <v>331601148062.02014</v>
      </c>
      <c r="D14" s="81">
        <v>228254840037.41</v>
      </c>
      <c r="F14"/>
      <c r="G14"/>
      <c r="H14"/>
      <c r="I14"/>
    </row>
    <row r="15" spans="1:9" ht="14.4" x14ac:dyDescent="0.3">
      <c r="A15" s="77"/>
      <c r="B15" s="82"/>
      <c r="C15" s="83"/>
      <c r="D15" s="83"/>
      <c r="F15"/>
      <c r="G15"/>
      <c r="H15"/>
      <c r="I15"/>
    </row>
    <row r="16" spans="1:9" ht="27.6" x14ac:dyDescent="0.3">
      <c r="A16" s="79" t="s">
        <v>59</v>
      </c>
      <c r="B16" s="233" t="s">
        <v>258</v>
      </c>
      <c r="C16" s="81">
        <v>331614733062.02002</v>
      </c>
      <c r="D16" s="81">
        <v>228221355096.94</v>
      </c>
      <c r="F16"/>
      <c r="G16"/>
      <c r="H16"/>
      <c r="I16"/>
    </row>
    <row r="17" spans="1:9" ht="14.4" x14ac:dyDescent="0.3">
      <c r="A17" s="84"/>
      <c r="B17" s="82"/>
      <c r="C17" s="85"/>
      <c r="D17" s="85"/>
      <c r="F17"/>
      <c r="G17"/>
      <c r="H17"/>
      <c r="I17"/>
    </row>
    <row r="18" spans="1:9" ht="14.4" x14ac:dyDescent="0.3">
      <c r="A18" s="86" t="s">
        <v>60</v>
      </c>
      <c r="B18" s="80"/>
      <c r="C18" s="81">
        <v>-13584999.99987793</v>
      </c>
      <c r="D18" s="81">
        <v>33484940.470001221</v>
      </c>
      <c r="F18"/>
      <c r="G18"/>
      <c r="H18"/>
      <c r="I18"/>
    </row>
    <row r="19" spans="1:9" ht="14.4" x14ac:dyDescent="0.3">
      <c r="A19" s="84"/>
      <c r="B19" s="82"/>
      <c r="C19" s="85"/>
      <c r="D19" s="85"/>
      <c r="F19"/>
      <c r="G19"/>
      <c r="H19"/>
      <c r="I19"/>
    </row>
    <row r="20" spans="1:9" ht="27.6" x14ac:dyDescent="0.3">
      <c r="A20" s="79" t="s">
        <v>61</v>
      </c>
      <c r="B20" s="233" t="s">
        <v>259</v>
      </c>
      <c r="C20" s="81">
        <v>1144729374931.99</v>
      </c>
      <c r="D20" s="81">
        <v>331601148062.02008</v>
      </c>
      <c r="F20"/>
      <c r="G20"/>
      <c r="H20"/>
      <c r="I20"/>
    </row>
    <row r="21" spans="1:9" ht="14.4" x14ac:dyDescent="0.3">
      <c r="A21" s="77"/>
      <c r="B21" s="82"/>
      <c r="C21" s="83"/>
      <c r="D21" s="83"/>
      <c r="F21"/>
      <c r="G21"/>
      <c r="H21"/>
      <c r="I21"/>
    </row>
    <row r="22" spans="1:9" ht="14.4" x14ac:dyDescent="0.3">
      <c r="A22" s="86" t="s">
        <v>62</v>
      </c>
      <c r="B22" s="80"/>
      <c r="C22" s="81">
        <v>1144715789931.9902</v>
      </c>
      <c r="D22" s="81">
        <v>331634633002.49011</v>
      </c>
      <c r="F22"/>
      <c r="G22"/>
      <c r="H22"/>
      <c r="I22"/>
    </row>
    <row r="23" spans="1:9" ht="14.4" hidden="1" x14ac:dyDescent="0.3">
      <c r="A23" s="77"/>
      <c r="B23" s="87"/>
      <c r="C23" s="83"/>
      <c r="D23" s="83"/>
      <c r="F23"/>
      <c r="G23"/>
      <c r="H23"/>
      <c r="I23"/>
    </row>
    <row r="24" spans="1:9" ht="14.4" hidden="1" x14ac:dyDescent="0.3">
      <c r="A24" s="77" t="s">
        <v>63</v>
      </c>
      <c r="B24" s="87"/>
      <c r="C24" s="83" t="e">
        <v>#NAME?</v>
      </c>
      <c r="D24" s="83" t="e">
        <v>#NAME?</v>
      </c>
      <c r="F24"/>
      <c r="G24"/>
      <c r="H24"/>
      <c r="I24"/>
    </row>
    <row r="25" spans="1:9" ht="14.4" hidden="1" x14ac:dyDescent="0.3">
      <c r="A25" s="77"/>
      <c r="B25" s="82"/>
      <c r="C25" s="83"/>
      <c r="D25" s="83"/>
      <c r="F25"/>
      <c r="G25"/>
      <c r="H25"/>
      <c r="I25"/>
    </row>
    <row r="26" spans="1:9" ht="14.4" hidden="1" x14ac:dyDescent="0.3">
      <c r="A26" s="77" t="s">
        <v>64</v>
      </c>
      <c r="B26" s="88"/>
      <c r="C26" s="83" t="e">
        <v>#NAME?</v>
      </c>
      <c r="D26" s="83" t="e">
        <v>#NAME?</v>
      </c>
      <c r="F26"/>
      <c r="G26"/>
      <c r="H26"/>
      <c r="I26"/>
    </row>
    <row r="27" spans="1:9" ht="14.4" x14ac:dyDescent="0.3">
      <c r="A27" s="77"/>
      <c r="B27" s="88"/>
      <c r="C27" s="83"/>
      <c r="D27" s="83"/>
      <c r="F27"/>
      <c r="G27"/>
      <c r="H27"/>
      <c r="I27"/>
    </row>
    <row r="28" spans="1:9" ht="27.6" x14ac:dyDescent="0.3">
      <c r="A28" s="79" t="s">
        <v>65</v>
      </c>
      <c r="B28" s="233" t="s">
        <v>260</v>
      </c>
      <c r="C28" s="81">
        <v>13585000</v>
      </c>
      <c r="D28" s="81">
        <v>-33484940.469999999</v>
      </c>
      <c r="F28"/>
      <c r="G28"/>
      <c r="H28"/>
      <c r="I28"/>
    </row>
    <row r="29" spans="1:9" ht="14.4" x14ac:dyDescent="0.3">
      <c r="A29" s="77"/>
      <c r="B29" s="88"/>
      <c r="C29" s="83"/>
      <c r="D29" s="83"/>
      <c r="F29"/>
      <c r="G29"/>
      <c r="H29"/>
      <c r="I29"/>
    </row>
    <row r="30" spans="1:9" ht="14.4" x14ac:dyDescent="0.3">
      <c r="A30" s="79" t="s">
        <v>66</v>
      </c>
      <c r="B30" s="80"/>
      <c r="C30" s="234">
        <v>0</v>
      </c>
      <c r="D30" s="234">
        <v>0</v>
      </c>
      <c r="F30"/>
      <c r="G30"/>
      <c r="H30"/>
      <c r="I30"/>
    </row>
    <row r="31" spans="1:9" ht="14.4" x14ac:dyDescent="0.3">
      <c r="A31" s="77"/>
      <c r="B31" s="82"/>
      <c r="C31" s="83"/>
      <c r="D31" s="83"/>
      <c r="F31"/>
      <c r="G31"/>
      <c r="H31"/>
      <c r="I31"/>
    </row>
    <row r="32" spans="1:9" ht="26.1" customHeight="1" x14ac:dyDescent="0.3">
      <c r="A32" s="75" t="s">
        <v>67</v>
      </c>
      <c r="B32" s="89" t="s">
        <v>261</v>
      </c>
      <c r="C32" s="90">
        <v>1144729374931.9902</v>
      </c>
      <c r="D32" s="90">
        <v>331601148062.02014</v>
      </c>
      <c r="F32"/>
      <c r="G32"/>
      <c r="H32"/>
      <c r="I32"/>
    </row>
    <row r="33" spans="1:9" ht="5.85" customHeight="1" x14ac:dyDescent="0.3">
      <c r="A33" s="91"/>
      <c r="B33" s="92"/>
      <c r="C33" s="93"/>
      <c r="D33" s="94"/>
      <c r="F33"/>
      <c r="G33"/>
      <c r="H33"/>
      <c r="I33"/>
    </row>
    <row r="34" spans="1:9" ht="17.100000000000001" customHeight="1" x14ac:dyDescent="0.3">
      <c r="A34" s="255" t="s">
        <v>55</v>
      </c>
      <c r="B34" s="255"/>
      <c r="C34" s="255"/>
      <c r="D34" s="255"/>
      <c r="F34"/>
      <c r="G34"/>
      <c r="H34"/>
      <c r="I34"/>
    </row>
    <row r="35" spans="1:9" ht="17.100000000000001" customHeight="1" x14ac:dyDescent="0.3">
      <c r="A35" s="255"/>
      <c r="B35" s="255"/>
      <c r="C35" s="255"/>
      <c r="D35" s="255"/>
      <c r="F35"/>
      <c r="G35"/>
      <c r="H35"/>
      <c r="I35"/>
    </row>
    <row r="36" spans="1:9" ht="17.100000000000001" customHeight="1" x14ac:dyDescent="0.3">
      <c r="A36" s="95"/>
      <c r="B36" s="95"/>
      <c r="C36" s="95"/>
      <c r="D36" s="95"/>
      <c r="F36"/>
      <c r="G36"/>
      <c r="H36"/>
      <c r="I36"/>
    </row>
    <row r="37" spans="1:9" ht="14.4" x14ac:dyDescent="0.3">
      <c r="C37" s="96"/>
      <c r="F37"/>
      <c r="G37"/>
      <c r="H37"/>
      <c r="I37"/>
    </row>
    <row r="38" spans="1:9" ht="17.399999999999999" x14ac:dyDescent="0.3">
      <c r="C38" s="256" t="s">
        <v>416</v>
      </c>
      <c r="D38" s="257"/>
      <c r="F38"/>
      <c r="G38"/>
      <c r="H38"/>
      <c r="I38"/>
    </row>
    <row r="39" spans="1:9" ht="17.399999999999999" x14ac:dyDescent="0.3">
      <c r="C39" s="97"/>
      <c r="D39" s="97"/>
      <c r="F39"/>
      <c r="G39"/>
      <c r="H39"/>
      <c r="I39"/>
    </row>
    <row r="40" spans="1:9" ht="17.399999999999999" x14ac:dyDescent="0.3">
      <c r="C40" s="97"/>
      <c r="D40" s="97"/>
      <c r="F40"/>
      <c r="G40"/>
      <c r="H40"/>
      <c r="I40"/>
    </row>
    <row r="41" spans="1:9" ht="17.399999999999999" hidden="1" x14ac:dyDescent="0.3">
      <c r="C41" s="97"/>
      <c r="D41" s="97"/>
      <c r="F41"/>
      <c r="G41"/>
      <c r="H41"/>
      <c r="I41"/>
    </row>
    <row r="42" spans="1:9" ht="17.399999999999999" x14ac:dyDescent="0.3">
      <c r="C42" s="97"/>
      <c r="D42" s="97"/>
      <c r="F42"/>
      <c r="G42"/>
      <c r="H42"/>
      <c r="I42"/>
    </row>
    <row r="43" spans="1:9" ht="17.399999999999999" x14ac:dyDescent="0.3">
      <c r="C43" s="257"/>
      <c r="D43" s="257"/>
      <c r="F43"/>
      <c r="G43"/>
      <c r="H43"/>
      <c r="I43"/>
    </row>
    <row r="44" spans="1:9" ht="17.399999999999999" x14ac:dyDescent="0.3">
      <c r="C44" s="256" t="s">
        <v>417</v>
      </c>
      <c r="D44" s="257"/>
      <c r="F44"/>
      <c r="G44"/>
      <c r="H44"/>
      <c r="I44"/>
    </row>
    <row r="45" spans="1:9" ht="14.4" x14ac:dyDescent="0.3">
      <c r="C45" s="91"/>
      <c r="D45" s="91"/>
      <c r="F45"/>
      <c r="G45"/>
      <c r="H45"/>
      <c r="I45"/>
    </row>
    <row r="46" spans="1:9" ht="14.4" x14ac:dyDescent="0.3">
      <c r="F46"/>
      <c r="G46"/>
      <c r="H46"/>
      <c r="I46"/>
    </row>
    <row r="47" spans="1:9" ht="14.4" x14ac:dyDescent="0.3">
      <c r="F47"/>
      <c r="G47"/>
      <c r="H47"/>
      <c r="I47"/>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A3FD-3054-4831-B338-22DB9C1F0BE4}">
  <sheetPr codeName="Sheet15">
    <tabColor rgb="FF1B6744"/>
    <pageSetUpPr fitToPage="1"/>
  </sheetPr>
  <dimension ref="A1:H92"/>
  <sheetViews>
    <sheetView view="pageBreakPreview" zoomScaleNormal="100" zoomScaleSheetLayoutView="100" workbookViewId="0">
      <selection activeCell="E15" sqref="E15"/>
    </sheetView>
  </sheetViews>
  <sheetFormatPr defaultColWidth="9.109375" defaultRowHeight="13.8" x14ac:dyDescent="0.3"/>
  <cols>
    <col min="1" max="1" width="51.44140625" style="98" bestFit="1" customWidth="1"/>
    <col min="2" max="2" width="11" style="98" customWidth="1"/>
    <col min="3" max="3" width="27.109375" style="307" bestFit="1" customWidth="1"/>
    <col min="4" max="4" width="27" style="307" bestFit="1" customWidth="1"/>
    <col min="5" max="5" width="28" style="98" bestFit="1" customWidth="1"/>
    <col min="6" max="8" width="22.109375" style="98" bestFit="1" customWidth="1"/>
    <col min="9" max="9" width="20.44140625" style="98" bestFit="1" customWidth="1"/>
    <col min="10" max="10" width="14.44140625" style="98" bestFit="1" customWidth="1"/>
    <col min="11" max="11" width="26" style="98" customWidth="1"/>
    <col min="12" max="252" width="9.109375" style="98"/>
    <col min="253" max="253" width="2.44140625" style="98" customWidth="1"/>
    <col min="254" max="255" width="1.44140625" style="98" customWidth="1"/>
    <col min="256" max="256" width="2.109375" style="98" customWidth="1"/>
    <col min="257" max="257" width="50.44140625" style="98" bestFit="1" customWidth="1"/>
    <col min="258" max="258" width="12.109375" style="98" customWidth="1"/>
    <col min="259" max="259" width="21.88671875" style="98" bestFit="1" customWidth="1"/>
    <col min="260" max="260" width="21.109375" style="98" bestFit="1" customWidth="1"/>
    <col min="261" max="261" width="20" style="98" customWidth="1"/>
    <col min="262" max="262" width="18.88671875" style="98" customWidth="1"/>
    <col min="263" max="263" width="16.88671875" style="98" bestFit="1" customWidth="1"/>
    <col min="264" max="264" width="20.44140625" style="98" customWidth="1"/>
    <col min="265" max="265" width="20.44140625" style="98" bestFit="1" customWidth="1"/>
    <col min="266" max="266" width="14.44140625" style="98" bestFit="1" customWidth="1"/>
    <col min="267" max="267" width="26" style="98" customWidth="1"/>
    <col min="268" max="508" width="9.109375" style="98"/>
    <col min="509" max="509" width="2.44140625" style="98" customWidth="1"/>
    <col min="510" max="511" width="1.44140625" style="98" customWidth="1"/>
    <col min="512" max="512" width="2.109375" style="98" customWidth="1"/>
    <col min="513" max="513" width="50.44140625" style="98" bestFit="1" customWidth="1"/>
    <col min="514" max="514" width="12.109375" style="98" customWidth="1"/>
    <col min="515" max="515" width="21.88671875" style="98" bestFit="1" customWidth="1"/>
    <col min="516" max="516" width="21.109375" style="98" bestFit="1" customWidth="1"/>
    <col min="517" max="517" width="20" style="98" customWidth="1"/>
    <col min="518" max="518" width="18.88671875" style="98" customWidth="1"/>
    <col min="519" max="519" width="16.88671875" style="98" bestFit="1" customWidth="1"/>
    <col min="520" max="520" width="20.44140625" style="98" customWidth="1"/>
    <col min="521" max="521" width="20.44140625" style="98" bestFit="1" customWidth="1"/>
    <col min="522" max="522" width="14.44140625" style="98" bestFit="1" customWidth="1"/>
    <col min="523" max="523" width="26" style="98" customWidth="1"/>
    <col min="524" max="764" width="9.109375" style="98"/>
    <col min="765" max="765" width="2.44140625" style="98" customWidth="1"/>
    <col min="766" max="767" width="1.44140625" style="98" customWidth="1"/>
    <col min="768" max="768" width="2.109375" style="98" customWidth="1"/>
    <col min="769" max="769" width="50.44140625" style="98" bestFit="1" customWidth="1"/>
    <col min="770" max="770" width="12.109375" style="98" customWidth="1"/>
    <col min="771" max="771" width="21.88671875" style="98" bestFit="1" customWidth="1"/>
    <col min="772" max="772" width="21.109375" style="98" bestFit="1" customWidth="1"/>
    <col min="773" max="773" width="20" style="98" customWidth="1"/>
    <col min="774" max="774" width="18.88671875" style="98" customWidth="1"/>
    <col min="775" max="775" width="16.88671875" style="98" bestFit="1" customWidth="1"/>
    <col min="776" max="776" width="20.44140625" style="98" customWidth="1"/>
    <col min="777" max="777" width="20.44140625" style="98" bestFit="1" customWidth="1"/>
    <col min="778" max="778" width="14.44140625" style="98" bestFit="1" customWidth="1"/>
    <col min="779" max="779" width="26" style="98" customWidth="1"/>
    <col min="780" max="1020" width="9.109375" style="98"/>
    <col min="1021" max="1021" width="2.44140625" style="98" customWidth="1"/>
    <col min="1022" max="1023" width="1.44140625" style="98" customWidth="1"/>
    <col min="1024" max="1024" width="2.109375" style="98" customWidth="1"/>
    <col min="1025" max="1025" width="50.44140625" style="98" bestFit="1" customWidth="1"/>
    <col min="1026" max="1026" width="12.109375" style="98" customWidth="1"/>
    <col min="1027" max="1027" width="21.88671875" style="98" bestFit="1" customWidth="1"/>
    <col min="1028" max="1028" width="21.109375" style="98" bestFit="1" customWidth="1"/>
    <col min="1029" max="1029" width="20" style="98" customWidth="1"/>
    <col min="1030" max="1030" width="18.88671875" style="98" customWidth="1"/>
    <col min="1031" max="1031" width="16.88671875" style="98" bestFit="1" customWidth="1"/>
    <col min="1032" max="1032" width="20.44140625" style="98" customWidth="1"/>
    <col min="1033" max="1033" width="20.44140625" style="98" bestFit="1" customWidth="1"/>
    <col min="1034" max="1034" width="14.44140625" style="98" bestFit="1" customWidth="1"/>
    <col min="1035" max="1035" width="26" style="98" customWidth="1"/>
    <col min="1036" max="1276" width="9.109375" style="98"/>
    <col min="1277" max="1277" width="2.44140625" style="98" customWidth="1"/>
    <col min="1278" max="1279" width="1.44140625" style="98" customWidth="1"/>
    <col min="1280" max="1280" width="2.109375" style="98" customWidth="1"/>
    <col min="1281" max="1281" width="50.44140625" style="98" bestFit="1" customWidth="1"/>
    <col min="1282" max="1282" width="12.109375" style="98" customWidth="1"/>
    <col min="1283" max="1283" width="21.88671875" style="98" bestFit="1" customWidth="1"/>
    <col min="1284" max="1284" width="21.109375" style="98" bestFit="1" customWidth="1"/>
    <col min="1285" max="1285" width="20" style="98" customWidth="1"/>
    <col min="1286" max="1286" width="18.88671875" style="98" customWidth="1"/>
    <col min="1287" max="1287" width="16.88671875" style="98" bestFit="1" customWidth="1"/>
    <col min="1288" max="1288" width="20.44140625" style="98" customWidth="1"/>
    <col min="1289" max="1289" width="20.44140625" style="98" bestFit="1" customWidth="1"/>
    <col min="1290" max="1290" width="14.44140625" style="98" bestFit="1" customWidth="1"/>
    <col min="1291" max="1291" width="26" style="98" customWidth="1"/>
    <col min="1292" max="1532" width="9.109375" style="98"/>
    <col min="1533" max="1533" width="2.44140625" style="98" customWidth="1"/>
    <col min="1534" max="1535" width="1.44140625" style="98" customWidth="1"/>
    <col min="1536" max="1536" width="2.109375" style="98" customWidth="1"/>
    <col min="1537" max="1537" width="50.44140625" style="98" bestFit="1" customWidth="1"/>
    <col min="1538" max="1538" width="12.109375" style="98" customWidth="1"/>
    <col min="1539" max="1539" width="21.88671875" style="98" bestFit="1" customWidth="1"/>
    <col min="1540" max="1540" width="21.109375" style="98" bestFit="1" customWidth="1"/>
    <col min="1541" max="1541" width="20" style="98" customWidth="1"/>
    <col min="1542" max="1542" width="18.88671875" style="98" customWidth="1"/>
    <col min="1543" max="1543" width="16.88671875" style="98" bestFit="1" customWidth="1"/>
    <col min="1544" max="1544" width="20.44140625" style="98" customWidth="1"/>
    <col min="1545" max="1545" width="20.44140625" style="98" bestFit="1" customWidth="1"/>
    <col min="1546" max="1546" width="14.44140625" style="98" bestFit="1" customWidth="1"/>
    <col min="1547" max="1547" width="26" style="98" customWidth="1"/>
    <col min="1548" max="1788" width="9.109375" style="98"/>
    <col min="1789" max="1789" width="2.44140625" style="98" customWidth="1"/>
    <col min="1790" max="1791" width="1.44140625" style="98" customWidth="1"/>
    <col min="1792" max="1792" width="2.109375" style="98" customWidth="1"/>
    <col min="1793" max="1793" width="50.44140625" style="98" bestFit="1" customWidth="1"/>
    <col min="1794" max="1794" width="12.109375" style="98" customWidth="1"/>
    <col min="1795" max="1795" width="21.88671875" style="98" bestFit="1" customWidth="1"/>
    <col min="1796" max="1796" width="21.109375" style="98" bestFit="1" customWidth="1"/>
    <col min="1797" max="1797" width="20" style="98" customWidth="1"/>
    <col min="1798" max="1798" width="18.88671875" style="98" customWidth="1"/>
    <col min="1799" max="1799" width="16.88671875" style="98" bestFit="1" customWidth="1"/>
    <col min="1800" max="1800" width="20.44140625" style="98" customWidth="1"/>
    <col min="1801" max="1801" width="20.44140625" style="98" bestFit="1" customWidth="1"/>
    <col min="1802" max="1802" width="14.44140625" style="98" bestFit="1" customWidth="1"/>
    <col min="1803" max="1803" width="26" style="98" customWidth="1"/>
    <col min="1804" max="2044" width="9.109375" style="98"/>
    <col min="2045" max="2045" width="2.44140625" style="98" customWidth="1"/>
    <col min="2046" max="2047" width="1.44140625" style="98" customWidth="1"/>
    <col min="2048" max="2048" width="2.109375" style="98" customWidth="1"/>
    <col min="2049" max="2049" width="50.44140625" style="98" bestFit="1" customWidth="1"/>
    <col min="2050" max="2050" width="12.109375" style="98" customWidth="1"/>
    <col min="2051" max="2051" width="21.88671875" style="98" bestFit="1" customWidth="1"/>
    <col min="2052" max="2052" width="21.109375" style="98" bestFit="1" customWidth="1"/>
    <col min="2053" max="2053" width="20" style="98" customWidth="1"/>
    <col min="2054" max="2054" width="18.88671875" style="98" customWidth="1"/>
    <col min="2055" max="2055" width="16.88671875" style="98" bestFit="1" customWidth="1"/>
    <col min="2056" max="2056" width="20.44140625" style="98" customWidth="1"/>
    <col min="2057" max="2057" width="20.44140625" style="98" bestFit="1" customWidth="1"/>
    <col min="2058" max="2058" width="14.44140625" style="98" bestFit="1" customWidth="1"/>
    <col min="2059" max="2059" width="26" style="98" customWidth="1"/>
    <col min="2060" max="2300" width="9.109375" style="98"/>
    <col min="2301" max="2301" width="2.44140625" style="98" customWidth="1"/>
    <col min="2302" max="2303" width="1.44140625" style="98" customWidth="1"/>
    <col min="2304" max="2304" width="2.109375" style="98" customWidth="1"/>
    <col min="2305" max="2305" width="50.44140625" style="98" bestFit="1" customWidth="1"/>
    <col min="2306" max="2306" width="12.109375" style="98" customWidth="1"/>
    <col min="2307" max="2307" width="21.88671875" style="98" bestFit="1" customWidth="1"/>
    <col min="2308" max="2308" width="21.109375" style="98" bestFit="1" customWidth="1"/>
    <col min="2309" max="2309" width="20" style="98" customWidth="1"/>
    <col min="2310" max="2310" width="18.88671875" style="98" customWidth="1"/>
    <col min="2311" max="2311" width="16.88671875" style="98" bestFit="1" customWidth="1"/>
    <col min="2312" max="2312" width="20.44140625" style="98" customWidth="1"/>
    <col min="2313" max="2313" width="20.44140625" style="98" bestFit="1" customWidth="1"/>
    <col min="2314" max="2314" width="14.44140625" style="98" bestFit="1" customWidth="1"/>
    <col min="2315" max="2315" width="26" style="98" customWidth="1"/>
    <col min="2316" max="2556" width="9.109375" style="98"/>
    <col min="2557" max="2557" width="2.44140625" style="98" customWidth="1"/>
    <col min="2558" max="2559" width="1.44140625" style="98" customWidth="1"/>
    <col min="2560" max="2560" width="2.109375" style="98" customWidth="1"/>
    <col min="2561" max="2561" width="50.44140625" style="98" bestFit="1" customWidth="1"/>
    <col min="2562" max="2562" width="12.109375" style="98" customWidth="1"/>
    <col min="2563" max="2563" width="21.88671875" style="98" bestFit="1" customWidth="1"/>
    <col min="2564" max="2564" width="21.109375" style="98" bestFit="1" customWidth="1"/>
    <col min="2565" max="2565" width="20" style="98" customWidth="1"/>
    <col min="2566" max="2566" width="18.88671875" style="98" customWidth="1"/>
    <col min="2567" max="2567" width="16.88671875" style="98" bestFit="1" customWidth="1"/>
    <col min="2568" max="2568" width="20.44140625" style="98" customWidth="1"/>
    <col min="2569" max="2569" width="20.44140625" style="98" bestFit="1" customWidth="1"/>
    <col min="2570" max="2570" width="14.44140625" style="98" bestFit="1" customWidth="1"/>
    <col min="2571" max="2571" width="26" style="98" customWidth="1"/>
    <col min="2572" max="2812" width="9.109375" style="98"/>
    <col min="2813" max="2813" width="2.44140625" style="98" customWidth="1"/>
    <col min="2814" max="2815" width="1.44140625" style="98" customWidth="1"/>
    <col min="2816" max="2816" width="2.109375" style="98" customWidth="1"/>
    <col min="2817" max="2817" width="50.44140625" style="98" bestFit="1" customWidth="1"/>
    <col min="2818" max="2818" width="12.109375" style="98" customWidth="1"/>
    <col min="2819" max="2819" width="21.88671875" style="98" bestFit="1" customWidth="1"/>
    <col min="2820" max="2820" width="21.109375" style="98" bestFit="1" customWidth="1"/>
    <col min="2821" max="2821" width="20" style="98" customWidth="1"/>
    <col min="2822" max="2822" width="18.88671875" style="98" customWidth="1"/>
    <col min="2823" max="2823" width="16.88671875" style="98" bestFit="1" customWidth="1"/>
    <col min="2824" max="2824" width="20.44140625" style="98" customWidth="1"/>
    <col min="2825" max="2825" width="20.44140625" style="98" bestFit="1" customWidth="1"/>
    <col min="2826" max="2826" width="14.44140625" style="98" bestFit="1" customWidth="1"/>
    <col min="2827" max="2827" width="26" style="98" customWidth="1"/>
    <col min="2828" max="3068" width="9.109375" style="98"/>
    <col min="3069" max="3069" width="2.44140625" style="98" customWidth="1"/>
    <col min="3070" max="3071" width="1.44140625" style="98" customWidth="1"/>
    <col min="3072" max="3072" width="2.109375" style="98" customWidth="1"/>
    <col min="3073" max="3073" width="50.44140625" style="98" bestFit="1" customWidth="1"/>
    <col min="3074" max="3074" width="12.109375" style="98" customWidth="1"/>
    <col min="3075" max="3075" width="21.88671875" style="98" bestFit="1" customWidth="1"/>
    <col min="3076" max="3076" width="21.109375" style="98" bestFit="1" customWidth="1"/>
    <col min="3077" max="3077" width="20" style="98" customWidth="1"/>
    <col min="3078" max="3078" width="18.88671875" style="98" customWidth="1"/>
    <col min="3079" max="3079" width="16.88671875" style="98" bestFit="1" customWidth="1"/>
    <col min="3080" max="3080" width="20.44140625" style="98" customWidth="1"/>
    <col min="3081" max="3081" width="20.44140625" style="98" bestFit="1" customWidth="1"/>
    <col min="3082" max="3082" width="14.44140625" style="98" bestFit="1" customWidth="1"/>
    <col min="3083" max="3083" width="26" style="98" customWidth="1"/>
    <col min="3084" max="3324" width="9.109375" style="98"/>
    <col min="3325" max="3325" width="2.44140625" style="98" customWidth="1"/>
    <col min="3326" max="3327" width="1.44140625" style="98" customWidth="1"/>
    <col min="3328" max="3328" width="2.109375" style="98" customWidth="1"/>
    <col min="3329" max="3329" width="50.44140625" style="98" bestFit="1" customWidth="1"/>
    <col min="3330" max="3330" width="12.109375" style="98" customWidth="1"/>
    <col min="3331" max="3331" width="21.88671875" style="98" bestFit="1" customWidth="1"/>
    <col min="3332" max="3332" width="21.109375" style="98" bestFit="1" customWidth="1"/>
    <col min="3333" max="3333" width="20" style="98" customWidth="1"/>
    <col min="3334" max="3334" width="18.88671875" style="98" customWidth="1"/>
    <col min="3335" max="3335" width="16.88671875" style="98" bestFit="1" customWidth="1"/>
    <col min="3336" max="3336" width="20.44140625" style="98" customWidth="1"/>
    <col min="3337" max="3337" width="20.44140625" style="98" bestFit="1" customWidth="1"/>
    <col min="3338" max="3338" width="14.44140625" style="98" bestFit="1" customWidth="1"/>
    <col min="3339" max="3339" width="26" style="98" customWidth="1"/>
    <col min="3340" max="3580" width="9.109375" style="98"/>
    <col min="3581" max="3581" width="2.44140625" style="98" customWidth="1"/>
    <col min="3582" max="3583" width="1.44140625" style="98" customWidth="1"/>
    <col min="3584" max="3584" width="2.109375" style="98" customWidth="1"/>
    <col min="3585" max="3585" width="50.44140625" style="98" bestFit="1" customWidth="1"/>
    <col min="3586" max="3586" width="12.109375" style="98" customWidth="1"/>
    <col min="3587" max="3587" width="21.88671875" style="98" bestFit="1" customWidth="1"/>
    <col min="3588" max="3588" width="21.109375" style="98" bestFit="1" customWidth="1"/>
    <col min="3589" max="3589" width="20" style="98" customWidth="1"/>
    <col min="3590" max="3590" width="18.88671875" style="98" customWidth="1"/>
    <col min="3591" max="3591" width="16.88671875" style="98" bestFit="1" customWidth="1"/>
    <col min="3592" max="3592" width="20.44140625" style="98" customWidth="1"/>
    <col min="3593" max="3593" width="20.44140625" style="98" bestFit="1" customWidth="1"/>
    <col min="3594" max="3594" width="14.44140625" style="98" bestFit="1" customWidth="1"/>
    <col min="3595" max="3595" width="26" style="98" customWidth="1"/>
    <col min="3596" max="3836" width="9.109375" style="98"/>
    <col min="3837" max="3837" width="2.44140625" style="98" customWidth="1"/>
    <col min="3838" max="3839" width="1.44140625" style="98" customWidth="1"/>
    <col min="3840" max="3840" width="2.109375" style="98" customWidth="1"/>
    <col min="3841" max="3841" width="50.44140625" style="98" bestFit="1" customWidth="1"/>
    <col min="3842" max="3842" width="12.109375" style="98" customWidth="1"/>
    <col min="3843" max="3843" width="21.88671875" style="98" bestFit="1" customWidth="1"/>
    <col min="3844" max="3844" width="21.109375" style="98" bestFit="1" customWidth="1"/>
    <col min="3845" max="3845" width="20" style="98" customWidth="1"/>
    <col min="3846" max="3846" width="18.88671875" style="98" customWidth="1"/>
    <col min="3847" max="3847" width="16.88671875" style="98" bestFit="1" customWidth="1"/>
    <col min="3848" max="3848" width="20.44140625" style="98" customWidth="1"/>
    <col min="3849" max="3849" width="20.44140625" style="98" bestFit="1" customWidth="1"/>
    <col min="3850" max="3850" width="14.44140625" style="98" bestFit="1" customWidth="1"/>
    <col min="3851" max="3851" width="26" style="98" customWidth="1"/>
    <col min="3852" max="4092" width="9.109375" style="98"/>
    <col min="4093" max="4093" width="2.44140625" style="98" customWidth="1"/>
    <col min="4094" max="4095" width="1.44140625" style="98" customWidth="1"/>
    <col min="4096" max="4096" width="2.109375" style="98" customWidth="1"/>
    <col min="4097" max="4097" width="50.44140625" style="98" bestFit="1" customWidth="1"/>
    <col min="4098" max="4098" width="12.109375" style="98" customWidth="1"/>
    <col min="4099" max="4099" width="21.88671875" style="98" bestFit="1" customWidth="1"/>
    <col min="4100" max="4100" width="21.109375" style="98" bestFit="1" customWidth="1"/>
    <col min="4101" max="4101" width="20" style="98" customWidth="1"/>
    <col min="4102" max="4102" width="18.88671875" style="98" customWidth="1"/>
    <col min="4103" max="4103" width="16.88671875" style="98" bestFit="1" customWidth="1"/>
    <col min="4104" max="4104" width="20.44140625" style="98" customWidth="1"/>
    <col min="4105" max="4105" width="20.44140625" style="98" bestFit="1" customWidth="1"/>
    <col min="4106" max="4106" width="14.44140625" style="98" bestFit="1" customWidth="1"/>
    <col min="4107" max="4107" width="26" style="98" customWidth="1"/>
    <col min="4108" max="4348" width="9.109375" style="98"/>
    <col min="4349" max="4349" width="2.44140625" style="98" customWidth="1"/>
    <col min="4350" max="4351" width="1.44140625" style="98" customWidth="1"/>
    <col min="4352" max="4352" width="2.109375" style="98" customWidth="1"/>
    <col min="4353" max="4353" width="50.44140625" style="98" bestFit="1" customWidth="1"/>
    <col min="4354" max="4354" width="12.109375" style="98" customWidth="1"/>
    <col min="4355" max="4355" width="21.88671875" style="98" bestFit="1" customWidth="1"/>
    <col min="4356" max="4356" width="21.109375" style="98" bestFit="1" customWidth="1"/>
    <col min="4357" max="4357" width="20" style="98" customWidth="1"/>
    <col min="4358" max="4358" width="18.88671875" style="98" customWidth="1"/>
    <col min="4359" max="4359" width="16.88671875" style="98" bestFit="1" customWidth="1"/>
    <col min="4360" max="4360" width="20.44140625" style="98" customWidth="1"/>
    <col min="4361" max="4361" width="20.44140625" style="98" bestFit="1" customWidth="1"/>
    <col min="4362" max="4362" width="14.44140625" style="98" bestFit="1" customWidth="1"/>
    <col min="4363" max="4363" width="26" style="98" customWidth="1"/>
    <col min="4364" max="4604" width="9.109375" style="98"/>
    <col min="4605" max="4605" width="2.44140625" style="98" customWidth="1"/>
    <col min="4606" max="4607" width="1.44140625" style="98" customWidth="1"/>
    <col min="4608" max="4608" width="2.109375" style="98" customWidth="1"/>
    <col min="4609" max="4609" width="50.44140625" style="98" bestFit="1" customWidth="1"/>
    <col min="4610" max="4610" width="12.109375" style="98" customWidth="1"/>
    <col min="4611" max="4611" width="21.88671875" style="98" bestFit="1" customWidth="1"/>
    <col min="4612" max="4612" width="21.109375" style="98" bestFit="1" customWidth="1"/>
    <col min="4613" max="4613" width="20" style="98" customWidth="1"/>
    <col min="4614" max="4614" width="18.88671875" style="98" customWidth="1"/>
    <col min="4615" max="4615" width="16.88671875" style="98" bestFit="1" customWidth="1"/>
    <col min="4616" max="4616" width="20.44140625" style="98" customWidth="1"/>
    <col min="4617" max="4617" width="20.44140625" style="98" bestFit="1" customWidth="1"/>
    <col min="4618" max="4618" width="14.44140625" style="98" bestFit="1" customWidth="1"/>
    <col min="4619" max="4619" width="26" style="98" customWidth="1"/>
    <col min="4620" max="4860" width="9.109375" style="98"/>
    <col min="4861" max="4861" width="2.44140625" style="98" customWidth="1"/>
    <col min="4862" max="4863" width="1.44140625" style="98" customWidth="1"/>
    <col min="4864" max="4864" width="2.109375" style="98" customWidth="1"/>
    <col min="4865" max="4865" width="50.44140625" style="98" bestFit="1" customWidth="1"/>
    <col min="4866" max="4866" width="12.109375" style="98" customWidth="1"/>
    <col min="4867" max="4867" width="21.88671875" style="98" bestFit="1" customWidth="1"/>
    <col min="4868" max="4868" width="21.109375" style="98" bestFit="1" customWidth="1"/>
    <col min="4869" max="4869" width="20" style="98" customWidth="1"/>
    <col min="4870" max="4870" width="18.88671875" style="98" customWidth="1"/>
    <col min="4871" max="4871" width="16.88671875" style="98" bestFit="1" customWidth="1"/>
    <col min="4872" max="4872" width="20.44140625" style="98" customWidth="1"/>
    <col min="4873" max="4873" width="20.44140625" style="98" bestFit="1" customWidth="1"/>
    <col min="4874" max="4874" width="14.44140625" style="98" bestFit="1" customWidth="1"/>
    <col min="4875" max="4875" width="26" style="98" customWidth="1"/>
    <col min="4876" max="5116" width="9.109375" style="98"/>
    <col min="5117" max="5117" width="2.44140625" style="98" customWidth="1"/>
    <col min="5118" max="5119" width="1.44140625" style="98" customWidth="1"/>
    <col min="5120" max="5120" width="2.109375" style="98" customWidth="1"/>
    <col min="5121" max="5121" width="50.44140625" style="98" bestFit="1" customWidth="1"/>
    <col min="5122" max="5122" width="12.109375" style="98" customWidth="1"/>
    <col min="5123" max="5123" width="21.88671875" style="98" bestFit="1" customWidth="1"/>
    <col min="5124" max="5124" width="21.109375" style="98" bestFit="1" customWidth="1"/>
    <col min="5125" max="5125" width="20" style="98" customWidth="1"/>
    <col min="5126" max="5126" width="18.88671875" style="98" customWidth="1"/>
    <col min="5127" max="5127" width="16.88671875" style="98" bestFit="1" customWidth="1"/>
    <col min="5128" max="5128" width="20.44140625" style="98" customWidth="1"/>
    <col min="5129" max="5129" width="20.44140625" style="98" bestFit="1" customWidth="1"/>
    <col min="5130" max="5130" width="14.44140625" style="98" bestFit="1" customWidth="1"/>
    <col min="5131" max="5131" width="26" style="98" customWidth="1"/>
    <col min="5132" max="5372" width="9.109375" style="98"/>
    <col min="5373" max="5373" width="2.44140625" style="98" customWidth="1"/>
    <col min="5374" max="5375" width="1.44140625" style="98" customWidth="1"/>
    <col min="5376" max="5376" width="2.109375" style="98" customWidth="1"/>
    <col min="5377" max="5377" width="50.44140625" style="98" bestFit="1" customWidth="1"/>
    <col min="5378" max="5378" width="12.109375" style="98" customWidth="1"/>
    <col min="5379" max="5379" width="21.88671875" style="98" bestFit="1" customWidth="1"/>
    <col min="5380" max="5380" width="21.109375" style="98" bestFit="1" customWidth="1"/>
    <col min="5381" max="5381" width="20" style="98" customWidth="1"/>
    <col min="5382" max="5382" width="18.88671875" style="98" customWidth="1"/>
    <col min="5383" max="5383" width="16.88671875" style="98" bestFit="1" customWidth="1"/>
    <col min="5384" max="5384" width="20.44140625" style="98" customWidth="1"/>
    <col min="5385" max="5385" width="20.44140625" style="98" bestFit="1" customWidth="1"/>
    <col min="5386" max="5386" width="14.44140625" style="98" bestFit="1" customWidth="1"/>
    <col min="5387" max="5387" width="26" style="98" customWidth="1"/>
    <col min="5388" max="5628" width="9.109375" style="98"/>
    <col min="5629" max="5629" width="2.44140625" style="98" customWidth="1"/>
    <col min="5630" max="5631" width="1.44140625" style="98" customWidth="1"/>
    <col min="5632" max="5632" width="2.109375" style="98" customWidth="1"/>
    <col min="5633" max="5633" width="50.44140625" style="98" bestFit="1" customWidth="1"/>
    <col min="5634" max="5634" width="12.109375" style="98" customWidth="1"/>
    <col min="5635" max="5635" width="21.88671875" style="98" bestFit="1" customWidth="1"/>
    <col min="5636" max="5636" width="21.109375" style="98" bestFit="1" customWidth="1"/>
    <col min="5637" max="5637" width="20" style="98" customWidth="1"/>
    <col min="5638" max="5638" width="18.88671875" style="98" customWidth="1"/>
    <col min="5639" max="5639" width="16.88671875" style="98" bestFit="1" customWidth="1"/>
    <col min="5640" max="5640" width="20.44140625" style="98" customWidth="1"/>
    <col min="5641" max="5641" width="20.44140625" style="98" bestFit="1" customWidth="1"/>
    <col min="5642" max="5642" width="14.44140625" style="98" bestFit="1" customWidth="1"/>
    <col min="5643" max="5643" width="26" style="98" customWidth="1"/>
    <col min="5644" max="5884" width="9.109375" style="98"/>
    <col min="5885" max="5885" width="2.44140625" style="98" customWidth="1"/>
    <col min="5886" max="5887" width="1.44140625" style="98" customWidth="1"/>
    <col min="5888" max="5888" width="2.109375" style="98" customWidth="1"/>
    <col min="5889" max="5889" width="50.44140625" style="98" bestFit="1" customWidth="1"/>
    <col min="5890" max="5890" width="12.109375" style="98" customWidth="1"/>
    <col min="5891" max="5891" width="21.88671875" style="98" bestFit="1" customWidth="1"/>
    <col min="5892" max="5892" width="21.109375" style="98" bestFit="1" customWidth="1"/>
    <col min="5893" max="5893" width="20" style="98" customWidth="1"/>
    <col min="5894" max="5894" width="18.88671875" style="98" customWidth="1"/>
    <col min="5895" max="5895" width="16.88671875" style="98" bestFit="1" customWidth="1"/>
    <col min="5896" max="5896" width="20.44140625" style="98" customWidth="1"/>
    <col min="5897" max="5897" width="20.44140625" style="98" bestFit="1" customWidth="1"/>
    <col min="5898" max="5898" width="14.44140625" style="98" bestFit="1" customWidth="1"/>
    <col min="5899" max="5899" width="26" style="98" customWidth="1"/>
    <col min="5900" max="6140" width="9.109375" style="98"/>
    <col min="6141" max="6141" width="2.44140625" style="98" customWidth="1"/>
    <col min="6142" max="6143" width="1.44140625" style="98" customWidth="1"/>
    <col min="6144" max="6144" width="2.109375" style="98" customWidth="1"/>
    <col min="6145" max="6145" width="50.44140625" style="98" bestFit="1" customWidth="1"/>
    <col min="6146" max="6146" width="12.109375" style="98" customWidth="1"/>
    <col min="6147" max="6147" width="21.88671875" style="98" bestFit="1" customWidth="1"/>
    <col min="6148" max="6148" width="21.109375" style="98" bestFit="1" customWidth="1"/>
    <col min="6149" max="6149" width="20" style="98" customWidth="1"/>
    <col min="6150" max="6150" width="18.88671875" style="98" customWidth="1"/>
    <col min="6151" max="6151" width="16.88671875" style="98" bestFit="1" customWidth="1"/>
    <col min="6152" max="6152" width="20.44140625" style="98" customWidth="1"/>
    <col min="6153" max="6153" width="20.44140625" style="98" bestFit="1" customWidth="1"/>
    <col min="6154" max="6154" width="14.44140625" style="98" bestFit="1" customWidth="1"/>
    <col min="6155" max="6155" width="26" style="98" customWidth="1"/>
    <col min="6156" max="6396" width="9.109375" style="98"/>
    <col min="6397" max="6397" width="2.44140625" style="98" customWidth="1"/>
    <col min="6398" max="6399" width="1.44140625" style="98" customWidth="1"/>
    <col min="6400" max="6400" width="2.109375" style="98" customWidth="1"/>
    <col min="6401" max="6401" width="50.44140625" style="98" bestFit="1" customWidth="1"/>
    <col min="6402" max="6402" width="12.109375" style="98" customWidth="1"/>
    <col min="6403" max="6403" width="21.88671875" style="98" bestFit="1" customWidth="1"/>
    <col min="6404" max="6404" width="21.109375" style="98" bestFit="1" customWidth="1"/>
    <col min="6405" max="6405" width="20" style="98" customWidth="1"/>
    <col min="6406" max="6406" width="18.88671875" style="98" customWidth="1"/>
    <col min="6407" max="6407" width="16.88671875" style="98" bestFit="1" customWidth="1"/>
    <col min="6408" max="6408" width="20.44140625" style="98" customWidth="1"/>
    <col min="6409" max="6409" width="20.44140625" style="98" bestFit="1" customWidth="1"/>
    <col min="6410" max="6410" width="14.44140625" style="98" bestFit="1" customWidth="1"/>
    <col min="6411" max="6411" width="26" style="98" customWidth="1"/>
    <col min="6412" max="6652" width="9.109375" style="98"/>
    <col min="6653" max="6653" width="2.44140625" style="98" customWidth="1"/>
    <col min="6654" max="6655" width="1.44140625" style="98" customWidth="1"/>
    <col min="6656" max="6656" width="2.109375" style="98" customWidth="1"/>
    <col min="6657" max="6657" width="50.44140625" style="98" bestFit="1" customWidth="1"/>
    <col min="6658" max="6658" width="12.109375" style="98" customWidth="1"/>
    <col min="6659" max="6659" width="21.88671875" style="98" bestFit="1" customWidth="1"/>
    <col min="6660" max="6660" width="21.109375" style="98" bestFit="1" customWidth="1"/>
    <col min="6661" max="6661" width="20" style="98" customWidth="1"/>
    <col min="6662" max="6662" width="18.88671875" style="98" customWidth="1"/>
    <col min="6663" max="6663" width="16.88671875" style="98" bestFit="1" customWidth="1"/>
    <col min="6664" max="6664" width="20.44140625" style="98" customWidth="1"/>
    <col min="6665" max="6665" width="20.44140625" style="98" bestFit="1" customWidth="1"/>
    <col min="6666" max="6666" width="14.44140625" style="98" bestFit="1" customWidth="1"/>
    <col min="6667" max="6667" width="26" style="98" customWidth="1"/>
    <col min="6668" max="6908" width="9.109375" style="98"/>
    <col min="6909" max="6909" width="2.44140625" style="98" customWidth="1"/>
    <col min="6910" max="6911" width="1.44140625" style="98" customWidth="1"/>
    <col min="6912" max="6912" width="2.109375" style="98" customWidth="1"/>
    <col min="6913" max="6913" width="50.44140625" style="98" bestFit="1" customWidth="1"/>
    <col min="6914" max="6914" width="12.109375" style="98" customWidth="1"/>
    <col min="6915" max="6915" width="21.88671875" style="98" bestFit="1" customWidth="1"/>
    <col min="6916" max="6916" width="21.109375" style="98" bestFit="1" customWidth="1"/>
    <col min="6917" max="6917" width="20" style="98" customWidth="1"/>
    <col min="6918" max="6918" width="18.88671875" style="98" customWidth="1"/>
    <col min="6919" max="6919" width="16.88671875" style="98" bestFit="1" customWidth="1"/>
    <col min="6920" max="6920" width="20.44140625" style="98" customWidth="1"/>
    <col min="6921" max="6921" width="20.44140625" style="98" bestFit="1" customWidth="1"/>
    <col min="6922" max="6922" width="14.44140625" style="98" bestFit="1" customWidth="1"/>
    <col min="6923" max="6923" width="26" style="98" customWidth="1"/>
    <col min="6924" max="7164" width="9.109375" style="98"/>
    <col min="7165" max="7165" width="2.44140625" style="98" customWidth="1"/>
    <col min="7166" max="7167" width="1.44140625" style="98" customWidth="1"/>
    <col min="7168" max="7168" width="2.109375" style="98" customWidth="1"/>
    <col min="7169" max="7169" width="50.44140625" style="98" bestFit="1" customWidth="1"/>
    <col min="7170" max="7170" width="12.109375" style="98" customWidth="1"/>
    <col min="7171" max="7171" width="21.88671875" style="98" bestFit="1" customWidth="1"/>
    <col min="7172" max="7172" width="21.109375" style="98" bestFit="1" customWidth="1"/>
    <col min="7173" max="7173" width="20" style="98" customWidth="1"/>
    <col min="7174" max="7174" width="18.88671875" style="98" customWidth="1"/>
    <col min="7175" max="7175" width="16.88671875" style="98" bestFit="1" customWidth="1"/>
    <col min="7176" max="7176" width="20.44140625" style="98" customWidth="1"/>
    <col min="7177" max="7177" width="20.44140625" style="98" bestFit="1" customWidth="1"/>
    <col min="7178" max="7178" width="14.44140625" style="98" bestFit="1" customWidth="1"/>
    <col min="7179" max="7179" width="26" style="98" customWidth="1"/>
    <col min="7180" max="7420" width="9.109375" style="98"/>
    <col min="7421" max="7421" width="2.44140625" style="98" customWidth="1"/>
    <col min="7422" max="7423" width="1.44140625" style="98" customWidth="1"/>
    <col min="7424" max="7424" width="2.109375" style="98" customWidth="1"/>
    <col min="7425" max="7425" width="50.44140625" style="98" bestFit="1" customWidth="1"/>
    <col min="7426" max="7426" width="12.109375" style="98" customWidth="1"/>
    <col min="7427" max="7427" width="21.88671875" style="98" bestFit="1" customWidth="1"/>
    <col min="7428" max="7428" width="21.109375" style="98" bestFit="1" customWidth="1"/>
    <col min="7429" max="7429" width="20" style="98" customWidth="1"/>
    <col min="7430" max="7430" width="18.88671875" style="98" customWidth="1"/>
    <col min="7431" max="7431" width="16.88671875" style="98" bestFit="1" customWidth="1"/>
    <col min="7432" max="7432" width="20.44140625" style="98" customWidth="1"/>
    <col min="7433" max="7433" width="20.44140625" style="98" bestFit="1" customWidth="1"/>
    <col min="7434" max="7434" width="14.44140625" style="98" bestFit="1" customWidth="1"/>
    <col min="7435" max="7435" width="26" style="98" customWidth="1"/>
    <col min="7436" max="7676" width="9.109375" style="98"/>
    <col min="7677" max="7677" width="2.44140625" style="98" customWidth="1"/>
    <col min="7678" max="7679" width="1.44140625" style="98" customWidth="1"/>
    <col min="7680" max="7680" width="2.109375" style="98" customWidth="1"/>
    <col min="7681" max="7681" width="50.44140625" style="98" bestFit="1" customWidth="1"/>
    <col min="7682" max="7682" width="12.109375" style="98" customWidth="1"/>
    <col min="7683" max="7683" width="21.88671875" style="98" bestFit="1" customWidth="1"/>
    <col min="7684" max="7684" width="21.109375" style="98" bestFit="1" customWidth="1"/>
    <col min="7685" max="7685" width="20" style="98" customWidth="1"/>
    <col min="7686" max="7686" width="18.88671875" style="98" customWidth="1"/>
    <col min="7687" max="7687" width="16.88671875" style="98" bestFit="1" customWidth="1"/>
    <col min="7688" max="7688" width="20.44140625" style="98" customWidth="1"/>
    <col min="7689" max="7689" width="20.44140625" style="98" bestFit="1" customWidth="1"/>
    <col min="7690" max="7690" width="14.44140625" style="98" bestFit="1" customWidth="1"/>
    <col min="7691" max="7691" width="26" style="98" customWidth="1"/>
    <col min="7692" max="7932" width="9.109375" style="98"/>
    <col min="7933" max="7933" width="2.44140625" style="98" customWidth="1"/>
    <col min="7934" max="7935" width="1.44140625" style="98" customWidth="1"/>
    <col min="7936" max="7936" width="2.109375" style="98" customWidth="1"/>
    <col min="7937" max="7937" width="50.44140625" style="98" bestFit="1" customWidth="1"/>
    <col min="7938" max="7938" width="12.109375" style="98" customWidth="1"/>
    <col min="7939" max="7939" width="21.88671875" style="98" bestFit="1" customWidth="1"/>
    <col min="7940" max="7940" width="21.109375" style="98" bestFit="1" customWidth="1"/>
    <col min="7941" max="7941" width="20" style="98" customWidth="1"/>
    <col min="7942" max="7942" width="18.88671875" style="98" customWidth="1"/>
    <col min="7943" max="7943" width="16.88671875" style="98" bestFit="1" customWidth="1"/>
    <col min="7944" max="7944" width="20.44140625" style="98" customWidth="1"/>
    <col min="7945" max="7945" width="20.44140625" style="98" bestFit="1" customWidth="1"/>
    <col min="7946" max="7946" width="14.44140625" style="98" bestFit="1" customWidth="1"/>
    <col min="7947" max="7947" width="26" style="98" customWidth="1"/>
    <col min="7948" max="8188" width="9.109375" style="98"/>
    <col min="8189" max="8189" width="2.44140625" style="98" customWidth="1"/>
    <col min="8190" max="8191" width="1.44140625" style="98" customWidth="1"/>
    <col min="8192" max="8192" width="2.109375" style="98" customWidth="1"/>
    <col min="8193" max="8193" width="50.44140625" style="98" bestFit="1" customWidth="1"/>
    <col min="8194" max="8194" width="12.109375" style="98" customWidth="1"/>
    <col min="8195" max="8195" width="21.88671875" style="98" bestFit="1" customWidth="1"/>
    <col min="8196" max="8196" width="21.109375" style="98" bestFit="1" customWidth="1"/>
    <col min="8197" max="8197" width="20" style="98" customWidth="1"/>
    <col min="8198" max="8198" width="18.88671875" style="98" customWidth="1"/>
    <col min="8199" max="8199" width="16.88671875" style="98" bestFit="1" customWidth="1"/>
    <col min="8200" max="8200" width="20.44140625" style="98" customWidth="1"/>
    <col min="8201" max="8201" width="20.44140625" style="98" bestFit="1" customWidth="1"/>
    <col min="8202" max="8202" width="14.44140625" style="98" bestFit="1" customWidth="1"/>
    <col min="8203" max="8203" width="26" style="98" customWidth="1"/>
    <col min="8204" max="8444" width="9.109375" style="98"/>
    <col min="8445" max="8445" width="2.44140625" style="98" customWidth="1"/>
    <col min="8446" max="8447" width="1.44140625" style="98" customWidth="1"/>
    <col min="8448" max="8448" width="2.109375" style="98" customWidth="1"/>
    <col min="8449" max="8449" width="50.44140625" style="98" bestFit="1" customWidth="1"/>
    <col min="8450" max="8450" width="12.109375" style="98" customWidth="1"/>
    <col min="8451" max="8451" width="21.88671875" style="98" bestFit="1" customWidth="1"/>
    <col min="8452" max="8452" width="21.109375" style="98" bestFit="1" customWidth="1"/>
    <col min="8453" max="8453" width="20" style="98" customWidth="1"/>
    <col min="8454" max="8454" width="18.88671875" style="98" customWidth="1"/>
    <col min="8455" max="8455" width="16.88671875" style="98" bestFit="1" customWidth="1"/>
    <col min="8456" max="8456" width="20.44140625" style="98" customWidth="1"/>
    <col min="8457" max="8457" width="20.44140625" style="98" bestFit="1" customWidth="1"/>
    <col min="8458" max="8458" width="14.44140625" style="98" bestFit="1" customWidth="1"/>
    <col min="8459" max="8459" width="26" style="98" customWidth="1"/>
    <col min="8460" max="8700" width="9.109375" style="98"/>
    <col min="8701" max="8701" width="2.44140625" style="98" customWidth="1"/>
    <col min="8702" max="8703" width="1.44140625" style="98" customWidth="1"/>
    <col min="8704" max="8704" width="2.109375" style="98" customWidth="1"/>
    <col min="8705" max="8705" width="50.44140625" style="98" bestFit="1" customWidth="1"/>
    <col min="8706" max="8706" width="12.109375" style="98" customWidth="1"/>
    <col min="8707" max="8707" width="21.88671875" style="98" bestFit="1" customWidth="1"/>
    <col min="8708" max="8708" width="21.109375" style="98" bestFit="1" customWidth="1"/>
    <col min="8709" max="8709" width="20" style="98" customWidth="1"/>
    <col min="8710" max="8710" width="18.88671875" style="98" customWidth="1"/>
    <col min="8711" max="8711" width="16.88671875" style="98" bestFit="1" customWidth="1"/>
    <col min="8712" max="8712" width="20.44140625" style="98" customWidth="1"/>
    <col min="8713" max="8713" width="20.44140625" style="98" bestFit="1" customWidth="1"/>
    <col min="8714" max="8714" width="14.44140625" style="98" bestFit="1" customWidth="1"/>
    <col min="8715" max="8715" width="26" style="98" customWidth="1"/>
    <col min="8716" max="8956" width="9.109375" style="98"/>
    <col min="8957" max="8957" width="2.44140625" style="98" customWidth="1"/>
    <col min="8958" max="8959" width="1.44140625" style="98" customWidth="1"/>
    <col min="8960" max="8960" width="2.109375" style="98" customWidth="1"/>
    <col min="8961" max="8961" width="50.44140625" style="98" bestFit="1" customWidth="1"/>
    <col min="8962" max="8962" width="12.109375" style="98" customWidth="1"/>
    <col min="8963" max="8963" width="21.88671875" style="98" bestFit="1" customWidth="1"/>
    <col min="8964" max="8964" width="21.109375" style="98" bestFit="1" customWidth="1"/>
    <col min="8965" max="8965" width="20" style="98" customWidth="1"/>
    <col min="8966" max="8966" width="18.88671875" style="98" customWidth="1"/>
    <col min="8967" max="8967" width="16.88671875" style="98" bestFit="1" customWidth="1"/>
    <col min="8968" max="8968" width="20.44140625" style="98" customWidth="1"/>
    <col min="8969" max="8969" width="20.44140625" style="98" bestFit="1" customWidth="1"/>
    <col min="8970" max="8970" width="14.44140625" style="98" bestFit="1" customWidth="1"/>
    <col min="8971" max="8971" width="26" style="98" customWidth="1"/>
    <col min="8972" max="9212" width="9.109375" style="98"/>
    <col min="9213" max="9213" width="2.44140625" style="98" customWidth="1"/>
    <col min="9214" max="9215" width="1.44140625" style="98" customWidth="1"/>
    <col min="9216" max="9216" width="2.109375" style="98" customWidth="1"/>
    <col min="9217" max="9217" width="50.44140625" style="98" bestFit="1" customWidth="1"/>
    <col min="9218" max="9218" width="12.109375" style="98" customWidth="1"/>
    <col min="9219" max="9219" width="21.88671875" style="98" bestFit="1" customWidth="1"/>
    <col min="9220" max="9220" width="21.109375" style="98" bestFit="1" customWidth="1"/>
    <col min="9221" max="9221" width="20" style="98" customWidth="1"/>
    <col min="9222" max="9222" width="18.88671875" style="98" customWidth="1"/>
    <col min="9223" max="9223" width="16.88671875" style="98" bestFit="1" customWidth="1"/>
    <col min="9224" max="9224" width="20.44140625" style="98" customWidth="1"/>
    <col min="9225" max="9225" width="20.44140625" style="98" bestFit="1" customWidth="1"/>
    <col min="9226" max="9226" width="14.44140625" style="98" bestFit="1" customWidth="1"/>
    <col min="9227" max="9227" width="26" style="98" customWidth="1"/>
    <col min="9228" max="9468" width="9.109375" style="98"/>
    <col min="9469" max="9469" width="2.44140625" style="98" customWidth="1"/>
    <col min="9470" max="9471" width="1.44140625" style="98" customWidth="1"/>
    <col min="9472" max="9472" width="2.109375" style="98" customWidth="1"/>
    <col min="9473" max="9473" width="50.44140625" style="98" bestFit="1" customWidth="1"/>
    <col min="9474" max="9474" width="12.109375" style="98" customWidth="1"/>
    <col min="9475" max="9475" width="21.88671875" style="98" bestFit="1" customWidth="1"/>
    <col min="9476" max="9476" width="21.109375" style="98" bestFit="1" customWidth="1"/>
    <col min="9477" max="9477" width="20" style="98" customWidth="1"/>
    <col min="9478" max="9478" width="18.88671875" style="98" customWidth="1"/>
    <col min="9479" max="9479" width="16.88671875" style="98" bestFit="1" customWidth="1"/>
    <col min="9480" max="9480" width="20.44140625" style="98" customWidth="1"/>
    <col min="9481" max="9481" width="20.44140625" style="98" bestFit="1" customWidth="1"/>
    <col min="9482" max="9482" width="14.44140625" style="98" bestFit="1" customWidth="1"/>
    <col min="9483" max="9483" width="26" style="98" customWidth="1"/>
    <col min="9484" max="9724" width="9.109375" style="98"/>
    <col min="9725" max="9725" width="2.44140625" style="98" customWidth="1"/>
    <col min="9726" max="9727" width="1.44140625" style="98" customWidth="1"/>
    <col min="9728" max="9728" width="2.109375" style="98" customWidth="1"/>
    <col min="9729" max="9729" width="50.44140625" style="98" bestFit="1" customWidth="1"/>
    <col min="9730" max="9730" width="12.109375" style="98" customWidth="1"/>
    <col min="9731" max="9731" width="21.88671875" style="98" bestFit="1" customWidth="1"/>
    <col min="9732" max="9732" width="21.109375" style="98" bestFit="1" customWidth="1"/>
    <col min="9733" max="9733" width="20" style="98" customWidth="1"/>
    <col min="9734" max="9734" width="18.88671875" style="98" customWidth="1"/>
    <col min="9735" max="9735" width="16.88671875" style="98" bestFit="1" customWidth="1"/>
    <col min="9736" max="9736" width="20.44140625" style="98" customWidth="1"/>
    <col min="9737" max="9737" width="20.44140625" style="98" bestFit="1" customWidth="1"/>
    <col min="9738" max="9738" width="14.44140625" style="98" bestFit="1" customWidth="1"/>
    <col min="9739" max="9739" width="26" style="98" customWidth="1"/>
    <col min="9740" max="9980" width="9.109375" style="98"/>
    <col min="9981" max="9981" width="2.44140625" style="98" customWidth="1"/>
    <col min="9982" max="9983" width="1.44140625" style="98" customWidth="1"/>
    <col min="9984" max="9984" width="2.109375" style="98" customWidth="1"/>
    <col min="9985" max="9985" width="50.44140625" style="98" bestFit="1" customWidth="1"/>
    <col min="9986" max="9986" width="12.109375" style="98" customWidth="1"/>
    <col min="9987" max="9987" width="21.88671875" style="98" bestFit="1" customWidth="1"/>
    <col min="9988" max="9988" width="21.109375" style="98" bestFit="1" customWidth="1"/>
    <col min="9989" max="9989" width="20" style="98" customWidth="1"/>
    <col min="9990" max="9990" width="18.88671875" style="98" customWidth="1"/>
    <col min="9991" max="9991" width="16.88671875" style="98" bestFit="1" customWidth="1"/>
    <col min="9992" max="9992" width="20.44140625" style="98" customWidth="1"/>
    <col min="9993" max="9993" width="20.44140625" style="98" bestFit="1" customWidth="1"/>
    <col min="9994" max="9994" width="14.44140625" style="98" bestFit="1" customWidth="1"/>
    <col min="9995" max="9995" width="26" style="98" customWidth="1"/>
    <col min="9996" max="10236" width="9.109375" style="98"/>
    <col min="10237" max="10237" width="2.44140625" style="98" customWidth="1"/>
    <col min="10238" max="10239" width="1.44140625" style="98" customWidth="1"/>
    <col min="10240" max="10240" width="2.109375" style="98" customWidth="1"/>
    <col min="10241" max="10241" width="50.44140625" style="98" bestFit="1" customWidth="1"/>
    <col min="10242" max="10242" width="12.109375" style="98" customWidth="1"/>
    <col min="10243" max="10243" width="21.88671875" style="98" bestFit="1" customWidth="1"/>
    <col min="10244" max="10244" width="21.109375" style="98" bestFit="1" customWidth="1"/>
    <col min="10245" max="10245" width="20" style="98" customWidth="1"/>
    <col min="10246" max="10246" width="18.88671875" style="98" customWidth="1"/>
    <col min="10247" max="10247" width="16.88671875" style="98" bestFit="1" customWidth="1"/>
    <col min="10248" max="10248" width="20.44140625" style="98" customWidth="1"/>
    <col min="10249" max="10249" width="20.44140625" style="98" bestFit="1" customWidth="1"/>
    <col min="10250" max="10250" width="14.44140625" style="98" bestFit="1" customWidth="1"/>
    <col min="10251" max="10251" width="26" style="98" customWidth="1"/>
    <col min="10252" max="10492" width="9.109375" style="98"/>
    <col min="10493" max="10493" width="2.44140625" style="98" customWidth="1"/>
    <col min="10494" max="10495" width="1.44140625" style="98" customWidth="1"/>
    <col min="10496" max="10496" width="2.109375" style="98" customWidth="1"/>
    <col min="10497" max="10497" width="50.44140625" style="98" bestFit="1" customWidth="1"/>
    <col min="10498" max="10498" width="12.109375" style="98" customWidth="1"/>
    <col min="10499" max="10499" width="21.88671875" style="98" bestFit="1" customWidth="1"/>
    <col min="10500" max="10500" width="21.109375" style="98" bestFit="1" customWidth="1"/>
    <col min="10501" max="10501" width="20" style="98" customWidth="1"/>
    <col min="10502" max="10502" width="18.88671875" style="98" customWidth="1"/>
    <col min="10503" max="10503" width="16.88671875" style="98" bestFit="1" customWidth="1"/>
    <col min="10504" max="10504" width="20.44140625" style="98" customWidth="1"/>
    <col min="10505" max="10505" width="20.44140625" style="98" bestFit="1" customWidth="1"/>
    <col min="10506" max="10506" width="14.44140625" style="98" bestFit="1" customWidth="1"/>
    <col min="10507" max="10507" width="26" style="98" customWidth="1"/>
    <col min="10508" max="10748" width="9.109375" style="98"/>
    <col min="10749" max="10749" width="2.44140625" style="98" customWidth="1"/>
    <col min="10750" max="10751" width="1.44140625" style="98" customWidth="1"/>
    <col min="10752" max="10752" width="2.109375" style="98" customWidth="1"/>
    <col min="10753" max="10753" width="50.44140625" style="98" bestFit="1" customWidth="1"/>
    <col min="10754" max="10754" width="12.109375" style="98" customWidth="1"/>
    <col min="10755" max="10755" width="21.88671875" style="98" bestFit="1" customWidth="1"/>
    <col min="10756" max="10756" width="21.109375" style="98" bestFit="1" customWidth="1"/>
    <col min="10757" max="10757" width="20" style="98" customWidth="1"/>
    <col min="10758" max="10758" width="18.88671875" style="98" customWidth="1"/>
    <col min="10759" max="10759" width="16.88671875" style="98" bestFit="1" customWidth="1"/>
    <col min="10760" max="10760" width="20.44140625" style="98" customWidth="1"/>
    <col min="10761" max="10761" width="20.44140625" style="98" bestFit="1" customWidth="1"/>
    <col min="10762" max="10762" width="14.44140625" style="98" bestFit="1" customWidth="1"/>
    <col min="10763" max="10763" width="26" style="98" customWidth="1"/>
    <col min="10764" max="11004" width="9.109375" style="98"/>
    <col min="11005" max="11005" width="2.44140625" style="98" customWidth="1"/>
    <col min="11006" max="11007" width="1.44140625" style="98" customWidth="1"/>
    <col min="11008" max="11008" width="2.109375" style="98" customWidth="1"/>
    <col min="11009" max="11009" width="50.44140625" style="98" bestFit="1" customWidth="1"/>
    <col min="11010" max="11010" width="12.109375" style="98" customWidth="1"/>
    <col min="11011" max="11011" width="21.88671875" style="98" bestFit="1" customWidth="1"/>
    <col min="11012" max="11012" width="21.109375" style="98" bestFit="1" customWidth="1"/>
    <col min="11013" max="11013" width="20" style="98" customWidth="1"/>
    <col min="11014" max="11014" width="18.88671875" style="98" customWidth="1"/>
    <col min="11015" max="11015" width="16.88671875" style="98" bestFit="1" customWidth="1"/>
    <col min="11016" max="11016" width="20.44140625" style="98" customWidth="1"/>
    <col min="11017" max="11017" width="20.44140625" style="98" bestFit="1" customWidth="1"/>
    <col min="11018" max="11018" width="14.44140625" style="98" bestFit="1" customWidth="1"/>
    <col min="11019" max="11019" width="26" style="98" customWidth="1"/>
    <col min="11020" max="11260" width="9.109375" style="98"/>
    <col min="11261" max="11261" width="2.44140625" style="98" customWidth="1"/>
    <col min="11262" max="11263" width="1.44140625" style="98" customWidth="1"/>
    <col min="11264" max="11264" width="2.109375" style="98" customWidth="1"/>
    <col min="11265" max="11265" width="50.44140625" style="98" bestFit="1" customWidth="1"/>
    <col min="11266" max="11266" width="12.109375" style="98" customWidth="1"/>
    <col min="11267" max="11267" width="21.88671875" style="98" bestFit="1" customWidth="1"/>
    <col min="11268" max="11268" width="21.109375" style="98" bestFit="1" customWidth="1"/>
    <col min="11269" max="11269" width="20" style="98" customWidth="1"/>
    <col min="11270" max="11270" width="18.88671875" style="98" customWidth="1"/>
    <col min="11271" max="11271" width="16.88671875" style="98" bestFit="1" customWidth="1"/>
    <col min="11272" max="11272" width="20.44140625" style="98" customWidth="1"/>
    <col min="11273" max="11273" width="20.44140625" style="98" bestFit="1" customWidth="1"/>
    <col min="11274" max="11274" width="14.44140625" style="98" bestFit="1" customWidth="1"/>
    <col min="11275" max="11275" width="26" style="98" customWidth="1"/>
    <col min="11276" max="11516" width="9.109375" style="98"/>
    <col min="11517" max="11517" width="2.44140625" style="98" customWidth="1"/>
    <col min="11518" max="11519" width="1.44140625" style="98" customWidth="1"/>
    <col min="11520" max="11520" width="2.109375" style="98" customWidth="1"/>
    <col min="11521" max="11521" width="50.44140625" style="98" bestFit="1" customWidth="1"/>
    <col min="11522" max="11522" width="12.109375" style="98" customWidth="1"/>
    <col min="11523" max="11523" width="21.88671875" style="98" bestFit="1" customWidth="1"/>
    <col min="11524" max="11524" width="21.109375" style="98" bestFit="1" customWidth="1"/>
    <col min="11525" max="11525" width="20" style="98" customWidth="1"/>
    <col min="11526" max="11526" width="18.88671875" style="98" customWidth="1"/>
    <col min="11527" max="11527" width="16.88671875" style="98" bestFit="1" customWidth="1"/>
    <col min="11528" max="11528" width="20.44140625" style="98" customWidth="1"/>
    <col min="11529" max="11529" width="20.44140625" style="98" bestFit="1" customWidth="1"/>
    <col min="11530" max="11530" width="14.44140625" style="98" bestFit="1" customWidth="1"/>
    <col min="11531" max="11531" width="26" style="98" customWidth="1"/>
    <col min="11532" max="11772" width="9.109375" style="98"/>
    <col min="11773" max="11773" width="2.44140625" style="98" customWidth="1"/>
    <col min="11774" max="11775" width="1.44140625" style="98" customWidth="1"/>
    <col min="11776" max="11776" width="2.109375" style="98" customWidth="1"/>
    <col min="11777" max="11777" width="50.44140625" style="98" bestFit="1" customWidth="1"/>
    <col min="11778" max="11778" width="12.109375" style="98" customWidth="1"/>
    <col min="11779" max="11779" width="21.88671875" style="98" bestFit="1" customWidth="1"/>
    <col min="11780" max="11780" width="21.109375" style="98" bestFit="1" customWidth="1"/>
    <col min="11781" max="11781" width="20" style="98" customWidth="1"/>
    <col min="11782" max="11782" width="18.88671875" style="98" customWidth="1"/>
    <col min="11783" max="11783" width="16.88671875" style="98" bestFit="1" customWidth="1"/>
    <col min="11784" max="11784" width="20.44140625" style="98" customWidth="1"/>
    <col min="11785" max="11785" width="20.44140625" style="98" bestFit="1" customWidth="1"/>
    <col min="11786" max="11786" width="14.44140625" style="98" bestFit="1" customWidth="1"/>
    <col min="11787" max="11787" width="26" style="98" customWidth="1"/>
    <col min="11788" max="12028" width="9.109375" style="98"/>
    <col min="12029" max="12029" width="2.44140625" style="98" customWidth="1"/>
    <col min="12030" max="12031" width="1.44140625" style="98" customWidth="1"/>
    <col min="12032" max="12032" width="2.109375" style="98" customWidth="1"/>
    <col min="12033" max="12033" width="50.44140625" style="98" bestFit="1" customWidth="1"/>
    <col min="12034" max="12034" width="12.109375" style="98" customWidth="1"/>
    <col min="12035" max="12035" width="21.88671875" style="98" bestFit="1" customWidth="1"/>
    <col min="12036" max="12036" width="21.109375" style="98" bestFit="1" customWidth="1"/>
    <col min="12037" max="12037" width="20" style="98" customWidth="1"/>
    <col min="12038" max="12038" width="18.88671875" style="98" customWidth="1"/>
    <col min="12039" max="12039" width="16.88671875" style="98" bestFit="1" customWidth="1"/>
    <col min="12040" max="12040" width="20.44140625" style="98" customWidth="1"/>
    <col min="12041" max="12041" width="20.44140625" style="98" bestFit="1" customWidth="1"/>
    <col min="12042" max="12042" width="14.44140625" style="98" bestFit="1" customWidth="1"/>
    <col min="12043" max="12043" width="26" style="98" customWidth="1"/>
    <col min="12044" max="12284" width="9.109375" style="98"/>
    <col min="12285" max="12285" width="2.44140625" style="98" customWidth="1"/>
    <col min="12286" max="12287" width="1.44140625" style="98" customWidth="1"/>
    <col min="12288" max="12288" width="2.109375" style="98" customWidth="1"/>
    <col min="12289" max="12289" width="50.44140625" style="98" bestFit="1" customWidth="1"/>
    <col min="12290" max="12290" width="12.109375" style="98" customWidth="1"/>
    <col min="12291" max="12291" width="21.88671875" style="98" bestFit="1" customWidth="1"/>
    <col min="12292" max="12292" width="21.109375" style="98" bestFit="1" customWidth="1"/>
    <col min="12293" max="12293" width="20" style="98" customWidth="1"/>
    <col min="12294" max="12294" width="18.88671875" style="98" customWidth="1"/>
    <col min="12295" max="12295" width="16.88671875" style="98" bestFit="1" customWidth="1"/>
    <col min="12296" max="12296" width="20.44140625" style="98" customWidth="1"/>
    <col min="12297" max="12297" width="20.44140625" style="98" bestFit="1" customWidth="1"/>
    <col min="12298" max="12298" width="14.44140625" style="98" bestFit="1" customWidth="1"/>
    <col min="12299" max="12299" width="26" style="98" customWidth="1"/>
    <col min="12300" max="12540" width="9.109375" style="98"/>
    <col min="12541" max="12541" width="2.44140625" style="98" customWidth="1"/>
    <col min="12542" max="12543" width="1.44140625" style="98" customWidth="1"/>
    <col min="12544" max="12544" width="2.109375" style="98" customWidth="1"/>
    <col min="12545" max="12545" width="50.44140625" style="98" bestFit="1" customWidth="1"/>
    <col min="12546" max="12546" width="12.109375" style="98" customWidth="1"/>
    <col min="12547" max="12547" width="21.88671875" style="98" bestFit="1" customWidth="1"/>
    <col min="12548" max="12548" width="21.109375" style="98" bestFit="1" customWidth="1"/>
    <col min="12549" max="12549" width="20" style="98" customWidth="1"/>
    <col min="12550" max="12550" width="18.88671875" style="98" customWidth="1"/>
    <col min="12551" max="12551" width="16.88671875" style="98" bestFit="1" customWidth="1"/>
    <col min="12552" max="12552" width="20.44140625" style="98" customWidth="1"/>
    <col min="12553" max="12553" width="20.44140625" style="98" bestFit="1" customWidth="1"/>
    <col min="12554" max="12554" width="14.44140625" style="98" bestFit="1" customWidth="1"/>
    <col min="12555" max="12555" width="26" style="98" customWidth="1"/>
    <col min="12556" max="12796" width="9.109375" style="98"/>
    <col min="12797" max="12797" width="2.44140625" style="98" customWidth="1"/>
    <col min="12798" max="12799" width="1.44140625" style="98" customWidth="1"/>
    <col min="12800" max="12800" width="2.109375" style="98" customWidth="1"/>
    <col min="12801" max="12801" width="50.44140625" style="98" bestFit="1" customWidth="1"/>
    <col min="12802" max="12802" width="12.109375" style="98" customWidth="1"/>
    <col min="12803" max="12803" width="21.88671875" style="98" bestFit="1" customWidth="1"/>
    <col min="12804" max="12804" width="21.109375" style="98" bestFit="1" customWidth="1"/>
    <col min="12805" max="12805" width="20" style="98" customWidth="1"/>
    <col min="12806" max="12806" width="18.88671875" style="98" customWidth="1"/>
    <col min="12807" max="12807" width="16.88671875" style="98" bestFit="1" customWidth="1"/>
    <col min="12808" max="12808" width="20.44140625" style="98" customWidth="1"/>
    <col min="12809" max="12809" width="20.44140625" style="98" bestFit="1" customWidth="1"/>
    <col min="12810" max="12810" width="14.44140625" style="98" bestFit="1" customWidth="1"/>
    <col min="12811" max="12811" width="26" style="98" customWidth="1"/>
    <col min="12812" max="13052" width="9.109375" style="98"/>
    <col min="13053" max="13053" width="2.44140625" style="98" customWidth="1"/>
    <col min="13054" max="13055" width="1.44140625" style="98" customWidth="1"/>
    <col min="13056" max="13056" width="2.109375" style="98" customWidth="1"/>
    <col min="13057" max="13057" width="50.44140625" style="98" bestFit="1" customWidth="1"/>
    <col min="13058" max="13058" width="12.109375" style="98" customWidth="1"/>
    <col min="13059" max="13059" width="21.88671875" style="98" bestFit="1" customWidth="1"/>
    <col min="13060" max="13060" width="21.109375" style="98" bestFit="1" customWidth="1"/>
    <col min="13061" max="13061" width="20" style="98" customWidth="1"/>
    <col min="13062" max="13062" width="18.88671875" style="98" customWidth="1"/>
    <col min="13063" max="13063" width="16.88671875" style="98" bestFit="1" customWidth="1"/>
    <col min="13064" max="13064" width="20.44140625" style="98" customWidth="1"/>
    <col min="13065" max="13065" width="20.44140625" style="98" bestFit="1" customWidth="1"/>
    <col min="13066" max="13066" width="14.44140625" style="98" bestFit="1" customWidth="1"/>
    <col min="13067" max="13067" width="26" style="98" customWidth="1"/>
    <col min="13068" max="13308" width="9.109375" style="98"/>
    <col min="13309" max="13309" width="2.44140625" style="98" customWidth="1"/>
    <col min="13310" max="13311" width="1.44140625" style="98" customWidth="1"/>
    <col min="13312" max="13312" width="2.109375" style="98" customWidth="1"/>
    <col min="13313" max="13313" width="50.44140625" style="98" bestFit="1" customWidth="1"/>
    <col min="13314" max="13314" width="12.109375" style="98" customWidth="1"/>
    <col min="13315" max="13315" width="21.88671875" style="98" bestFit="1" customWidth="1"/>
    <col min="13316" max="13316" width="21.109375" style="98" bestFit="1" customWidth="1"/>
    <col min="13317" max="13317" width="20" style="98" customWidth="1"/>
    <col min="13318" max="13318" width="18.88671875" style="98" customWidth="1"/>
    <col min="13319" max="13319" width="16.88671875" style="98" bestFit="1" customWidth="1"/>
    <col min="13320" max="13320" width="20.44140625" style="98" customWidth="1"/>
    <col min="13321" max="13321" width="20.44140625" style="98" bestFit="1" customWidth="1"/>
    <col min="13322" max="13322" width="14.44140625" style="98" bestFit="1" customWidth="1"/>
    <col min="13323" max="13323" width="26" style="98" customWidth="1"/>
    <col min="13324" max="13564" width="9.109375" style="98"/>
    <col min="13565" max="13565" width="2.44140625" style="98" customWidth="1"/>
    <col min="13566" max="13567" width="1.44140625" style="98" customWidth="1"/>
    <col min="13568" max="13568" width="2.109375" style="98" customWidth="1"/>
    <col min="13569" max="13569" width="50.44140625" style="98" bestFit="1" customWidth="1"/>
    <col min="13570" max="13570" width="12.109375" style="98" customWidth="1"/>
    <col min="13571" max="13571" width="21.88671875" style="98" bestFit="1" customWidth="1"/>
    <col min="13572" max="13572" width="21.109375" style="98" bestFit="1" customWidth="1"/>
    <col min="13573" max="13573" width="20" style="98" customWidth="1"/>
    <col min="13574" max="13574" width="18.88671875" style="98" customWidth="1"/>
    <col min="13575" max="13575" width="16.88671875" style="98" bestFit="1" customWidth="1"/>
    <col min="13576" max="13576" width="20.44140625" style="98" customWidth="1"/>
    <col min="13577" max="13577" width="20.44140625" style="98" bestFit="1" customWidth="1"/>
    <col min="13578" max="13578" width="14.44140625" style="98" bestFit="1" customWidth="1"/>
    <col min="13579" max="13579" width="26" style="98" customWidth="1"/>
    <col min="13580" max="13820" width="9.109375" style="98"/>
    <col min="13821" max="13821" width="2.44140625" style="98" customWidth="1"/>
    <col min="13822" max="13823" width="1.44140625" style="98" customWidth="1"/>
    <col min="13824" max="13824" width="2.109375" style="98" customWidth="1"/>
    <col min="13825" max="13825" width="50.44140625" style="98" bestFit="1" customWidth="1"/>
    <col min="13826" max="13826" width="12.109375" style="98" customWidth="1"/>
    <col min="13827" max="13827" width="21.88671875" style="98" bestFit="1" customWidth="1"/>
    <col min="13828" max="13828" width="21.109375" style="98" bestFit="1" customWidth="1"/>
    <col min="13829" max="13829" width="20" style="98" customWidth="1"/>
    <col min="13830" max="13830" width="18.88671875" style="98" customWidth="1"/>
    <col min="13831" max="13831" width="16.88671875" style="98" bestFit="1" customWidth="1"/>
    <col min="13832" max="13832" width="20.44140625" style="98" customWidth="1"/>
    <col min="13833" max="13833" width="20.44140625" style="98" bestFit="1" customWidth="1"/>
    <col min="13834" max="13834" width="14.44140625" style="98" bestFit="1" customWidth="1"/>
    <col min="13835" max="13835" width="26" style="98" customWidth="1"/>
    <col min="13836" max="14076" width="9.109375" style="98"/>
    <col min="14077" max="14077" width="2.44140625" style="98" customWidth="1"/>
    <col min="14078" max="14079" width="1.44140625" style="98" customWidth="1"/>
    <col min="14080" max="14080" width="2.109375" style="98" customWidth="1"/>
    <col min="14081" max="14081" width="50.44140625" style="98" bestFit="1" customWidth="1"/>
    <col min="14082" max="14082" width="12.109375" style="98" customWidth="1"/>
    <col min="14083" max="14083" width="21.88671875" style="98" bestFit="1" customWidth="1"/>
    <col min="14084" max="14084" width="21.109375" style="98" bestFit="1" customWidth="1"/>
    <col min="14085" max="14085" width="20" style="98" customWidth="1"/>
    <col min="14086" max="14086" width="18.88671875" style="98" customWidth="1"/>
    <col min="14087" max="14087" width="16.88671875" style="98" bestFit="1" customWidth="1"/>
    <col min="14088" max="14088" width="20.44140625" style="98" customWidth="1"/>
    <col min="14089" max="14089" width="20.44140625" style="98" bestFit="1" customWidth="1"/>
    <col min="14090" max="14090" width="14.44140625" style="98" bestFit="1" customWidth="1"/>
    <col min="14091" max="14091" width="26" style="98" customWidth="1"/>
    <col min="14092" max="14332" width="9.109375" style="98"/>
    <col min="14333" max="14333" width="2.44140625" style="98" customWidth="1"/>
    <col min="14334" max="14335" width="1.44140625" style="98" customWidth="1"/>
    <col min="14336" max="14336" width="2.109375" style="98" customWidth="1"/>
    <col min="14337" max="14337" width="50.44140625" style="98" bestFit="1" customWidth="1"/>
    <col min="14338" max="14338" width="12.109375" style="98" customWidth="1"/>
    <col min="14339" max="14339" width="21.88671875" style="98" bestFit="1" customWidth="1"/>
    <col min="14340" max="14340" width="21.109375" style="98" bestFit="1" customWidth="1"/>
    <col min="14341" max="14341" width="20" style="98" customWidth="1"/>
    <col min="14342" max="14342" width="18.88671875" style="98" customWidth="1"/>
    <col min="14343" max="14343" width="16.88671875" style="98" bestFit="1" customWidth="1"/>
    <col min="14344" max="14344" width="20.44140625" style="98" customWidth="1"/>
    <col min="14345" max="14345" width="20.44140625" style="98" bestFit="1" customWidth="1"/>
    <col min="14346" max="14346" width="14.44140625" style="98" bestFit="1" customWidth="1"/>
    <col min="14347" max="14347" width="26" style="98" customWidth="1"/>
    <col min="14348" max="14588" width="9.109375" style="98"/>
    <col min="14589" max="14589" width="2.44140625" style="98" customWidth="1"/>
    <col min="14590" max="14591" width="1.44140625" style="98" customWidth="1"/>
    <col min="14592" max="14592" width="2.109375" style="98" customWidth="1"/>
    <col min="14593" max="14593" width="50.44140625" style="98" bestFit="1" customWidth="1"/>
    <col min="14594" max="14594" width="12.109375" style="98" customWidth="1"/>
    <col min="14595" max="14595" width="21.88671875" style="98" bestFit="1" customWidth="1"/>
    <col min="14596" max="14596" width="21.109375" style="98" bestFit="1" customWidth="1"/>
    <col min="14597" max="14597" width="20" style="98" customWidth="1"/>
    <col min="14598" max="14598" width="18.88671875" style="98" customWidth="1"/>
    <col min="14599" max="14599" width="16.88671875" style="98" bestFit="1" customWidth="1"/>
    <col min="14600" max="14600" width="20.44140625" style="98" customWidth="1"/>
    <col min="14601" max="14601" width="20.44140625" style="98" bestFit="1" customWidth="1"/>
    <col min="14602" max="14602" width="14.44140625" style="98" bestFit="1" customWidth="1"/>
    <col min="14603" max="14603" width="26" style="98" customWidth="1"/>
    <col min="14604" max="14844" width="9.109375" style="98"/>
    <col min="14845" max="14845" width="2.44140625" style="98" customWidth="1"/>
    <col min="14846" max="14847" width="1.44140625" style="98" customWidth="1"/>
    <col min="14848" max="14848" width="2.109375" style="98" customWidth="1"/>
    <col min="14849" max="14849" width="50.44140625" style="98" bestFit="1" customWidth="1"/>
    <col min="14850" max="14850" width="12.109375" style="98" customWidth="1"/>
    <col min="14851" max="14851" width="21.88671875" style="98" bestFit="1" customWidth="1"/>
    <col min="14852" max="14852" width="21.109375" style="98" bestFit="1" customWidth="1"/>
    <col min="14853" max="14853" width="20" style="98" customWidth="1"/>
    <col min="14854" max="14854" width="18.88671875" style="98" customWidth="1"/>
    <col min="14855" max="14855" width="16.88671875" style="98" bestFit="1" customWidth="1"/>
    <col min="14856" max="14856" width="20.44140625" style="98" customWidth="1"/>
    <col min="14857" max="14857" width="20.44140625" style="98" bestFit="1" customWidth="1"/>
    <col min="14858" max="14858" width="14.44140625" style="98" bestFit="1" customWidth="1"/>
    <col min="14859" max="14859" width="26" style="98" customWidth="1"/>
    <col min="14860" max="15100" width="9.109375" style="98"/>
    <col min="15101" max="15101" width="2.44140625" style="98" customWidth="1"/>
    <col min="15102" max="15103" width="1.44140625" style="98" customWidth="1"/>
    <col min="15104" max="15104" width="2.109375" style="98" customWidth="1"/>
    <col min="15105" max="15105" width="50.44140625" style="98" bestFit="1" customWidth="1"/>
    <col min="15106" max="15106" width="12.109375" style="98" customWidth="1"/>
    <col min="15107" max="15107" width="21.88671875" style="98" bestFit="1" customWidth="1"/>
    <col min="15108" max="15108" width="21.109375" style="98" bestFit="1" customWidth="1"/>
    <col min="15109" max="15109" width="20" style="98" customWidth="1"/>
    <col min="15110" max="15110" width="18.88671875" style="98" customWidth="1"/>
    <col min="15111" max="15111" width="16.88671875" style="98" bestFit="1" customWidth="1"/>
    <col min="15112" max="15112" width="20.44140625" style="98" customWidth="1"/>
    <col min="15113" max="15113" width="20.44140625" style="98" bestFit="1" customWidth="1"/>
    <col min="15114" max="15114" width="14.44140625" style="98" bestFit="1" customWidth="1"/>
    <col min="15115" max="15115" width="26" style="98" customWidth="1"/>
    <col min="15116" max="15356" width="9.109375" style="98"/>
    <col min="15357" max="15357" width="2.44140625" style="98" customWidth="1"/>
    <col min="15358" max="15359" width="1.44140625" style="98" customWidth="1"/>
    <col min="15360" max="15360" width="2.109375" style="98" customWidth="1"/>
    <col min="15361" max="15361" width="50.44140625" style="98" bestFit="1" customWidth="1"/>
    <col min="15362" max="15362" width="12.109375" style="98" customWidth="1"/>
    <col min="15363" max="15363" width="21.88671875" style="98" bestFit="1" customWidth="1"/>
    <col min="15364" max="15364" width="21.109375" style="98" bestFit="1" customWidth="1"/>
    <col min="15365" max="15365" width="20" style="98" customWidth="1"/>
    <col min="15366" max="15366" width="18.88671875" style="98" customWidth="1"/>
    <col min="15367" max="15367" width="16.88671875" style="98" bestFit="1" customWidth="1"/>
    <col min="15368" max="15368" width="20.44140625" style="98" customWidth="1"/>
    <col min="15369" max="15369" width="20.44140625" style="98" bestFit="1" customWidth="1"/>
    <col min="15370" max="15370" width="14.44140625" style="98" bestFit="1" customWidth="1"/>
    <col min="15371" max="15371" width="26" style="98" customWidth="1"/>
    <col min="15372" max="15612" width="9.109375" style="98"/>
    <col min="15613" max="15613" width="2.44140625" style="98" customWidth="1"/>
    <col min="15614" max="15615" width="1.44140625" style="98" customWidth="1"/>
    <col min="15616" max="15616" width="2.109375" style="98" customWidth="1"/>
    <col min="15617" max="15617" width="50.44140625" style="98" bestFit="1" customWidth="1"/>
    <col min="15618" max="15618" width="12.109375" style="98" customWidth="1"/>
    <col min="15619" max="15619" width="21.88671875" style="98" bestFit="1" customWidth="1"/>
    <col min="15620" max="15620" width="21.109375" style="98" bestFit="1" customWidth="1"/>
    <col min="15621" max="15621" width="20" style="98" customWidth="1"/>
    <col min="15622" max="15622" width="18.88671875" style="98" customWidth="1"/>
    <col min="15623" max="15623" width="16.88671875" style="98" bestFit="1" customWidth="1"/>
    <col min="15624" max="15624" width="20.44140625" style="98" customWidth="1"/>
    <col min="15625" max="15625" width="20.44140625" style="98" bestFit="1" customWidth="1"/>
    <col min="15626" max="15626" width="14.44140625" style="98" bestFit="1" customWidth="1"/>
    <col min="15627" max="15627" width="26" style="98" customWidth="1"/>
    <col min="15628" max="15868" width="9.109375" style="98"/>
    <col min="15869" max="15869" width="2.44140625" style="98" customWidth="1"/>
    <col min="15870" max="15871" width="1.44140625" style="98" customWidth="1"/>
    <col min="15872" max="15872" width="2.109375" style="98" customWidth="1"/>
    <col min="15873" max="15873" width="50.44140625" style="98" bestFit="1" customWidth="1"/>
    <col min="15874" max="15874" width="12.109375" style="98" customWidth="1"/>
    <col min="15875" max="15875" width="21.88671875" style="98" bestFit="1" customWidth="1"/>
    <col min="15876" max="15876" width="21.109375" style="98" bestFit="1" customWidth="1"/>
    <col min="15877" max="15877" width="20" style="98" customWidth="1"/>
    <col min="15878" max="15878" width="18.88671875" style="98" customWidth="1"/>
    <col min="15879" max="15879" width="16.88671875" style="98" bestFit="1" customWidth="1"/>
    <col min="15880" max="15880" width="20.44140625" style="98" customWidth="1"/>
    <col min="15881" max="15881" width="20.44140625" style="98" bestFit="1" customWidth="1"/>
    <col min="15882" max="15882" width="14.44140625" style="98" bestFit="1" customWidth="1"/>
    <col min="15883" max="15883" width="26" style="98" customWidth="1"/>
    <col min="15884" max="16124" width="9.109375" style="98"/>
    <col min="16125" max="16125" width="2.44140625" style="98" customWidth="1"/>
    <col min="16126" max="16127" width="1.44140625" style="98" customWidth="1"/>
    <col min="16128" max="16128" width="2.109375" style="98" customWidth="1"/>
    <col min="16129" max="16129" width="50.44140625" style="98" bestFit="1" customWidth="1"/>
    <col min="16130" max="16130" width="12.109375" style="98" customWidth="1"/>
    <col min="16131" max="16131" width="21.88671875" style="98" bestFit="1" customWidth="1"/>
    <col min="16132" max="16132" width="21.109375" style="98" bestFit="1" customWidth="1"/>
    <col min="16133" max="16133" width="20" style="98" customWidth="1"/>
    <col min="16134" max="16134" width="18.88671875" style="98" customWidth="1"/>
    <col min="16135" max="16135" width="16.88671875" style="98" bestFit="1" customWidth="1"/>
    <col min="16136" max="16136" width="20.44140625" style="98" customWidth="1"/>
    <col min="16137" max="16137" width="20.44140625" style="98" bestFit="1" customWidth="1"/>
    <col min="16138" max="16138" width="14.44140625" style="98" bestFit="1" customWidth="1"/>
    <col min="16139" max="16139" width="26" style="98" customWidth="1"/>
    <col min="16140" max="16384" width="9.109375" style="98"/>
  </cols>
  <sheetData>
    <row r="1" spans="1:8" ht="8.1" customHeight="1" x14ac:dyDescent="0.3">
      <c r="A1" s="269"/>
      <c r="B1" s="269"/>
      <c r="C1" s="269"/>
      <c r="D1" s="269"/>
    </row>
    <row r="2" spans="1:8" x14ac:dyDescent="0.3">
      <c r="A2" s="269"/>
      <c r="B2" s="269"/>
      <c r="C2" s="269"/>
      <c r="D2" s="269"/>
    </row>
    <row r="3" spans="1:8" x14ac:dyDescent="0.3">
      <c r="A3" s="269"/>
      <c r="B3" s="269"/>
      <c r="C3" s="269"/>
      <c r="D3" s="269"/>
    </row>
    <row r="4" spans="1:8" x14ac:dyDescent="0.3">
      <c r="A4" s="269"/>
      <c r="B4" s="269"/>
      <c r="C4" s="269"/>
      <c r="D4" s="269"/>
    </row>
    <row r="5" spans="1:8" x14ac:dyDescent="0.3">
      <c r="A5" s="269"/>
      <c r="B5" s="269"/>
      <c r="C5" s="269"/>
      <c r="D5" s="269"/>
    </row>
    <row r="6" spans="1:8" x14ac:dyDescent="0.3">
      <c r="A6" s="269"/>
      <c r="B6" s="269"/>
      <c r="C6" s="269"/>
      <c r="D6" s="269"/>
    </row>
    <row r="7" spans="1:8" x14ac:dyDescent="0.3">
      <c r="A7" s="270" t="s">
        <v>411</v>
      </c>
      <c r="B7" s="270"/>
      <c r="C7" s="270"/>
      <c r="D7" s="270"/>
    </row>
    <row r="8" spans="1:8" x14ac:dyDescent="0.3">
      <c r="A8" s="270" t="s">
        <v>68</v>
      </c>
      <c r="B8" s="270"/>
      <c r="C8" s="270"/>
      <c r="D8" s="270"/>
    </row>
    <row r="9" spans="1:8" x14ac:dyDescent="0.3">
      <c r="A9" s="270" t="s">
        <v>421</v>
      </c>
      <c r="B9" s="270"/>
      <c r="C9" s="270"/>
      <c r="D9" s="270"/>
    </row>
    <row r="10" spans="1:8" s="99" customFormat="1" x14ac:dyDescent="0.3">
      <c r="A10" s="271"/>
      <c r="B10" s="271"/>
      <c r="C10" s="271"/>
      <c r="D10" s="271"/>
    </row>
    <row r="11" spans="1:8" s="99" customFormat="1" ht="15" customHeight="1" x14ac:dyDescent="0.3">
      <c r="A11" s="272" t="s">
        <v>57</v>
      </c>
      <c r="B11" s="272"/>
      <c r="C11" s="272"/>
      <c r="D11" s="272"/>
      <c r="E11" s="105"/>
      <c r="F11" s="105"/>
      <c r="G11" s="105"/>
      <c r="H11" s="105"/>
    </row>
    <row r="12" spans="1:8" ht="26.1" customHeight="1" x14ac:dyDescent="0.3">
      <c r="A12" s="273" t="s">
        <v>1</v>
      </c>
      <c r="B12" s="273" t="s">
        <v>2</v>
      </c>
      <c r="C12" s="273" t="s">
        <v>419</v>
      </c>
      <c r="D12" s="273" t="s">
        <v>420</v>
      </c>
      <c r="E12" s="105"/>
      <c r="F12" s="105"/>
      <c r="G12" s="105"/>
      <c r="H12" s="105"/>
    </row>
    <row r="13" spans="1:8" ht="14.4" x14ac:dyDescent="0.3">
      <c r="A13" s="274"/>
      <c r="B13" s="274"/>
      <c r="C13" s="275"/>
      <c r="D13" s="275"/>
      <c r="E13" s="105"/>
      <c r="F13" s="105"/>
      <c r="G13" s="105"/>
      <c r="H13" s="105"/>
    </row>
    <row r="14" spans="1:8" ht="14.4" x14ac:dyDescent="0.3">
      <c r="A14" s="276" t="s">
        <v>69</v>
      </c>
      <c r="B14" s="277" t="s">
        <v>262</v>
      </c>
      <c r="C14" s="278">
        <v>4611691770457.6299</v>
      </c>
      <c r="D14" s="278">
        <v>3885138522578.6299</v>
      </c>
      <c r="E14" s="105"/>
      <c r="F14" s="105"/>
      <c r="G14" s="105"/>
      <c r="H14" s="105"/>
    </row>
    <row r="15" spans="1:8" ht="14.4" x14ac:dyDescent="0.3">
      <c r="A15" s="279"/>
      <c r="B15" s="280"/>
      <c r="C15" s="281"/>
      <c r="D15" s="281"/>
      <c r="E15" s="105"/>
      <c r="F15" s="105"/>
      <c r="G15" s="105"/>
      <c r="H15" s="105"/>
    </row>
    <row r="16" spans="1:8" ht="14.4" x14ac:dyDescent="0.3">
      <c r="A16" s="282" t="s">
        <v>70</v>
      </c>
      <c r="B16" s="283" t="s">
        <v>263</v>
      </c>
      <c r="C16" s="284">
        <v>1177039545384.74</v>
      </c>
      <c r="D16" s="284">
        <v>389947988706.07001</v>
      </c>
      <c r="E16" s="105"/>
      <c r="F16" s="105"/>
      <c r="G16" s="105"/>
      <c r="H16" s="105"/>
    </row>
    <row r="17" spans="1:8" ht="14.4" x14ac:dyDescent="0.3">
      <c r="A17" s="285" t="s">
        <v>71</v>
      </c>
      <c r="B17" s="286" t="s">
        <v>268</v>
      </c>
      <c r="C17" s="287">
        <v>1144729374931.99</v>
      </c>
      <c r="D17" s="287">
        <v>331614798062.02002</v>
      </c>
      <c r="E17" s="105"/>
      <c r="F17" s="105"/>
      <c r="G17" s="105"/>
      <c r="H17" s="105"/>
    </row>
    <row r="18" spans="1:8" ht="14.4" x14ac:dyDescent="0.3">
      <c r="A18" s="288" t="s">
        <v>72</v>
      </c>
      <c r="B18" s="286" t="s">
        <v>270</v>
      </c>
      <c r="C18" s="287">
        <v>1142904295226.28</v>
      </c>
      <c r="D18" s="287">
        <v>327859411341.03003</v>
      </c>
      <c r="E18" s="105"/>
      <c r="F18" s="105"/>
      <c r="G18" s="105"/>
      <c r="H18" s="105"/>
    </row>
    <row r="19" spans="1:8" ht="14.4" x14ac:dyDescent="0.3">
      <c r="A19" s="288" t="s">
        <v>73</v>
      </c>
      <c r="B19" s="286" t="s">
        <v>271</v>
      </c>
      <c r="C19" s="287">
        <v>0</v>
      </c>
      <c r="D19" s="287">
        <v>0</v>
      </c>
      <c r="E19" s="105"/>
      <c r="F19" s="105"/>
      <c r="G19" s="105"/>
      <c r="H19" s="105"/>
    </row>
    <row r="20" spans="1:8" ht="14.4" x14ac:dyDescent="0.3">
      <c r="A20" s="288" t="s">
        <v>74</v>
      </c>
      <c r="B20" s="286" t="s">
        <v>272</v>
      </c>
      <c r="C20" s="287">
        <v>960370</v>
      </c>
      <c r="D20" s="287">
        <v>2490000</v>
      </c>
      <c r="E20" s="105"/>
      <c r="F20" s="105"/>
      <c r="G20" s="105"/>
      <c r="H20" s="105"/>
    </row>
    <row r="21" spans="1:8" ht="14.4" x14ac:dyDescent="0.3">
      <c r="A21" s="288" t="s">
        <v>75</v>
      </c>
      <c r="B21" s="286" t="s">
        <v>273</v>
      </c>
      <c r="C21" s="287">
        <v>1216998606.9100001</v>
      </c>
      <c r="D21" s="287">
        <v>2670897267.1900001</v>
      </c>
      <c r="E21" s="105"/>
      <c r="F21" s="105"/>
      <c r="G21" s="105"/>
      <c r="H21" s="105"/>
    </row>
    <row r="22" spans="1:8" ht="14.4" x14ac:dyDescent="0.3">
      <c r="A22" s="288" t="s">
        <v>76</v>
      </c>
      <c r="B22" s="286" t="s">
        <v>274</v>
      </c>
      <c r="C22" s="287">
        <v>0</v>
      </c>
      <c r="D22" s="287">
        <v>13650000</v>
      </c>
      <c r="E22" s="105"/>
      <c r="F22" s="105"/>
      <c r="G22" s="105"/>
      <c r="H22" s="105"/>
    </row>
    <row r="23" spans="1:8" ht="14.4" x14ac:dyDescent="0.3">
      <c r="A23" s="288" t="s">
        <v>77</v>
      </c>
      <c r="B23" s="286" t="s">
        <v>275</v>
      </c>
      <c r="C23" s="287">
        <v>76216481.799999997</v>
      </c>
      <c r="D23" s="287">
        <v>38483270.799999997</v>
      </c>
      <c r="E23" s="105"/>
      <c r="F23" s="105"/>
      <c r="G23" s="105"/>
      <c r="H23" s="105"/>
    </row>
    <row r="24" spans="1:8" ht="14.4" x14ac:dyDescent="0.3">
      <c r="A24" s="288" t="s">
        <v>78</v>
      </c>
      <c r="B24" s="286" t="s">
        <v>276</v>
      </c>
      <c r="C24" s="287">
        <v>530904247</v>
      </c>
      <c r="D24" s="287">
        <v>1029866183</v>
      </c>
      <c r="E24" s="105"/>
      <c r="F24" s="105"/>
      <c r="G24" s="105"/>
      <c r="H24" s="105"/>
    </row>
    <row r="25" spans="1:8" ht="14.4" x14ac:dyDescent="0.3">
      <c r="A25" s="285" t="s">
        <v>79</v>
      </c>
      <c r="B25" s="286" t="s">
        <v>269</v>
      </c>
      <c r="C25" s="287">
        <v>8180131039</v>
      </c>
      <c r="D25" s="289">
        <v>3872679968</v>
      </c>
      <c r="E25" s="105"/>
      <c r="F25" s="105"/>
      <c r="G25" s="105"/>
      <c r="H25" s="105"/>
    </row>
    <row r="26" spans="1:8" ht="14.4" x14ac:dyDescent="0.3">
      <c r="A26" s="285" t="s">
        <v>80</v>
      </c>
      <c r="B26" s="286" t="s">
        <v>277</v>
      </c>
      <c r="C26" s="287">
        <v>5910844068</v>
      </c>
      <c r="D26" s="287">
        <v>1471295960</v>
      </c>
      <c r="E26" s="105"/>
      <c r="F26" s="105"/>
      <c r="G26" s="105"/>
      <c r="H26" s="105"/>
    </row>
    <row r="27" spans="1:8" ht="14.4" x14ac:dyDescent="0.3">
      <c r="A27" s="285" t="s">
        <v>81</v>
      </c>
      <c r="B27" s="286" t="s">
        <v>278</v>
      </c>
      <c r="C27" s="287">
        <v>1558666564.3699999</v>
      </c>
      <c r="D27" s="287">
        <v>7927346876.3699999</v>
      </c>
      <c r="E27" s="105"/>
      <c r="F27" s="105"/>
      <c r="G27" s="105"/>
      <c r="H27" s="105"/>
    </row>
    <row r="28" spans="1:8" ht="14.4" x14ac:dyDescent="0.3">
      <c r="A28" s="285" t="s">
        <v>405</v>
      </c>
      <c r="B28" s="286" t="s">
        <v>279</v>
      </c>
      <c r="C28" s="287">
        <v>0</v>
      </c>
      <c r="D28" s="287">
        <v>0</v>
      </c>
      <c r="E28" s="105"/>
      <c r="F28" s="105"/>
      <c r="G28" s="105"/>
      <c r="H28" s="105"/>
    </row>
    <row r="29" spans="1:8" ht="14.4" x14ac:dyDescent="0.3">
      <c r="A29" s="285" t="s">
        <v>82</v>
      </c>
      <c r="B29" s="286" t="s">
        <v>280</v>
      </c>
      <c r="C29" s="287">
        <v>907226055</v>
      </c>
      <c r="D29" s="287">
        <v>26343208254</v>
      </c>
      <c r="E29" s="105"/>
      <c r="F29" s="105"/>
      <c r="G29" s="105"/>
      <c r="H29" s="105"/>
    </row>
    <row r="30" spans="1:8" ht="14.4" x14ac:dyDescent="0.3">
      <c r="A30" s="285" t="s">
        <v>83</v>
      </c>
      <c r="B30" s="286" t="s">
        <v>281</v>
      </c>
      <c r="C30" s="289">
        <v>6487189391</v>
      </c>
      <c r="D30" s="287">
        <v>7651826244</v>
      </c>
      <c r="E30" s="105"/>
      <c r="F30" s="105"/>
      <c r="G30" s="105"/>
      <c r="H30" s="105"/>
    </row>
    <row r="31" spans="1:8" ht="14.4" x14ac:dyDescent="0.3">
      <c r="A31" s="285" t="s">
        <v>84</v>
      </c>
      <c r="B31" s="286" t="s">
        <v>282</v>
      </c>
      <c r="C31" s="287">
        <v>-3622156006.0299997</v>
      </c>
      <c r="D31" s="287">
        <v>-2992783635.9000001</v>
      </c>
      <c r="E31" s="105"/>
      <c r="F31" s="105"/>
      <c r="G31" s="105"/>
      <c r="H31" s="105"/>
    </row>
    <row r="32" spans="1:8" ht="14.4" x14ac:dyDescent="0.3">
      <c r="A32" s="285" t="s">
        <v>85</v>
      </c>
      <c r="B32" s="286" t="s">
        <v>283</v>
      </c>
      <c r="C32" s="287">
        <v>622947986.70000005</v>
      </c>
      <c r="D32" s="287">
        <v>988159114</v>
      </c>
      <c r="E32" s="105"/>
      <c r="F32" s="105"/>
      <c r="G32" s="105"/>
      <c r="H32" s="105"/>
    </row>
    <row r="33" spans="1:8" ht="14.4" x14ac:dyDescent="0.3">
      <c r="A33" s="285" t="s">
        <v>86</v>
      </c>
      <c r="B33" s="286" t="s">
        <v>406</v>
      </c>
      <c r="C33" s="287">
        <v>12265321354.710001</v>
      </c>
      <c r="D33" s="287">
        <v>13071457863.58</v>
      </c>
      <c r="E33" s="105"/>
      <c r="F33" s="105"/>
      <c r="G33" s="105"/>
      <c r="H33" s="105"/>
    </row>
    <row r="34" spans="1:8" ht="14.4" x14ac:dyDescent="0.3">
      <c r="A34" s="285"/>
      <c r="B34" s="290"/>
      <c r="C34" s="287"/>
      <c r="D34" s="287"/>
      <c r="E34" s="105"/>
      <c r="F34" s="105"/>
      <c r="G34" s="105"/>
      <c r="H34" s="105"/>
    </row>
    <row r="35" spans="1:8" ht="14.4" x14ac:dyDescent="0.3">
      <c r="A35" s="282" t="s">
        <v>87</v>
      </c>
      <c r="B35" s="283" t="s">
        <v>264</v>
      </c>
      <c r="C35" s="284">
        <v>133505934291</v>
      </c>
      <c r="D35" s="284">
        <v>122907156006</v>
      </c>
      <c r="E35" s="105"/>
      <c r="F35" s="105"/>
      <c r="G35" s="105"/>
      <c r="H35" s="105"/>
    </row>
    <row r="36" spans="1:8" ht="14.4" x14ac:dyDescent="0.3">
      <c r="A36" s="285" t="s">
        <v>88</v>
      </c>
      <c r="B36" s="286" t="s">
        <v>284</v>
      </c>
      <c r="C36" s="287">
        <v>133505934291</v>
      </c>
      <c r="D36" s="287">
        <v>122907156006</v>
      </c>
      <c r="E36" s="105"/>
      <c r="F36" s="105"/>
      <c r="G36" s="105"/>
      <c r="H36" s="105"/>
    </row>
    <row r="37" spans="1:8" ht="14.4" x14ac:dyDescent="0.3">
      <c r="A37" s="291"/>
      <c r="B37" s="290"/>
      <c r="C37" s="292"/>
      <c r="D37" s="292"/>
      <c r="E37" s="105"/>
      <c r="F37" s="105"/>
      <c r="G37" s="105"/>
      <c r="H37" s="105"/>
    </row>
    <row r="38" spans="1:8" ht="14.4" x14ac:dyDescent="0.3">
      <c r="A38" s="282" t="s">
        <v>89</v>
      </c>
      <c r="B38" s="283" t="s">
        <v>265</v>
      </c>
      <c r="C38" s="284">
        <v>3232205851916.4795</v>
      </c>
      <c r="D38" s="284">
        <v>2940417845381.6499</v>
      </c>
      <c r="E38" s="105"/>
      <c r="F38" s="105"/>
      <c r="G38" s="105"/>
      <c r="H38" s="105"/>
    </row>
    <row r="39" spans="1:8" ht="14.4" x14ac:dyDescent="0.3">
      <c r="A39" s="285" t="s">
        <v>90</v>
      </c>
      <c r="B39" s="286" t="s">
        <v>285</v>
      </c>
      <c r="C39" s="287">
        <v>397055867491.15002</v>
      </c>
      <c r="D39" s="287">
        <v>382443526716.15002</v>
      </c>
      <c r="E39" s="105"/>
      <c r="F39" s="105"/>
      <c r="G39" s="105"/>
      <c r="H39" s="105"/>
    </row>
    <row r="40" spans="1:8" ht="14.4" x14ac:dyDescent="0.3">
      <c r="A40" s="285" t="s">
        <v>91</v>
      </c>
      <c r="B40" s="286" t="s">
        <v>286</v>
      </c>
      <c r="C40" s="289">
        <v>718382359379.61011</v>
      </c>
      <c r="D40" s="287">
        <v>622338605784.60999</v>
      </c>
      <c r="E40" s="105"/>
      <c r="F40" s="105"/>
      <c r="G40" s="105"/>
      <c r="H40" s="105"/>
    </row>
    <row r="41" spans="1:8" ht="14.4" x14ac:dyDescent="0.3">
      <c r="A41" s="285" t="s">
        <v>92</v>
      </c>
      <c r="B41" s="286" t="s">
        <v>287</v>
      </c>
      <c r="C41" s="287">
        <v>1318361725375.0298</v>
      </c>
      <c r="D41" s="287">
        <v>1172926443119.6299</v>
      </c>
      <c r="E41" s="105"/>
      <c r="F41" s="105"/>
      <c r="G41" s="105"/>
      <c r="H41" s="105"/>
    </row>
    <row r="42" spans="1:8" ht="14.4" x14ac:dyDescent="0.3">
      <c r="A42" s="285" t="s">
        <v>93</v>
      </c>
      <c r="B42" s="286" t="s">
        <v>288</v>
      </c>
      <c r="C42" s="287">
        <v>2816518574660.2197</v>
      </c>
      <c r="D42" s="293">
        <v>2495456726950.2202</v>
      </c>
      <c r="E42" s="105"/>
      <c r="F42" s="105"/>
      <c r="G42" s="105"/>
      <c r="H42" s="105"/>
    </row>
    <row r="43" spans="1:8" s="294" customFormat="1" ht="14.4" x14ac:dyDescent="0.3">
      <c r="A43" s="285" t="s">
        <v>94</v>
      </c>
      <c r="B43" s="286" t="s">
        <v>289</v>
      </c>
      <c r="C43" s="287">
        <v>19904729437</v>
      </c>
      <c r="D43" s="293">
        <v>19328771176</v>
      </c>
      <c r="E43" s="105"/>
      <c r="F43" s="105"/>
      <c r="G43" s="105"/>
      <c r="H43" s="105"/>
    </row>
    <row r="44" spans="1:8" ht="14.4" x14ac:dyDescent="0.3">
      <c r="A44" s="285" t="s">
        <v>95</v>
      </c>
      <c r="B44" s="286" t="s">
        <v>290</v>
      </c>
      <c r="C44" s="287">
        <v>150681141099.32999</v>
      </c>
      <c r="D44" s="293">
        <v>193622070272.29999</v>
      </c>
      <c r="E44" s="105"/>
      <c r="F44" s="105"/>
      <c r="G44" s="105"/>
      <c r="H44" s="105"/>
    </row>
    <row r="45" spans="1:8" ht="14.4" x14ac:dyDescent="0.3">
      <c r="A45" s="285" t="s">
        <v>96</v>
      </c>
      <c r="B45" s="286" t="s">
        <v>291</v>
      </c>
      <c r="C45" s="289">
        <v>-2188698545525.8601</v>
      </c>
      <c r="D45" s="293">
        <v>-1945698298637.2603</v>
      </c>
      <c r="E45" s="105"/>
      <c r="F45" s="105"/>
      <c r="G45" s="105"/>
      <c r="H45" s="105"/>
    </row>
    <row r="46" spans="1:8" ht="14.4" x14ac:dyDescent="0.3">
      <c r="A46" s="295"/>
      <c r="B46" s="286"/>
      <c r="C46" s="296"/>
      <c r="D46" s="296"/>
      <c r="E46" s="105"/>
      <c r="F46" s="105"/>
      <c r="G46" s="105"/>
      <c r="H46" s="105"/>
    </row>
    <row r="47" spans="1:8" ht="14.4" x14ac:dyDescent="0.3">
      <c r="A47" s="282" t="s">
        <v>105</v>
      </c>
      <c r="B47" s="283" t="s">
        <v>266</v>
      </c>
      <c r="C47" s="284">
        <v>11474872064</v>
      </c>
      <c r="D47" s="284">
        <v>11601974174</v>
      </c>
      <c r="E47" s="105"/>
      <c r="F47" s="105"/>
      <c r="G47" s="105"/>
      <c r="H47" s="105"/>
    </row>
    <row r="48" spans="1:8" ht="14.4" x14ac:dyDescent="0.3">
      <c r="A48" s="285" t="s">
        <v>106</v>
      </c>
      <c r="B48" s="286" t="s">
        <v>292</v>
      </c>
      <c r="C48" s="287">
        <v>8744896890</v>
      </c>
      <c r="D48" s="287">
        <v>8744896890</v>
      </c>
      <c r="E48" s="105"/>
      <c r="F48" s="105"/>
      <c r="G48" s="105"/>
      <c r="H48" s="105"/>
    </row>
    <row r="49" spans="1:8" ht="14.4" x14ac:dyDescent="0.3">
      <c r="A49" s="285" t="s">
        <v>107</v>
      </c>
      <c r="B49" s="286" t="s">
        <v>293</v>
      </c>
      <c r="C49" s="287">
        <v>9356973400</v>
      </c>
      <c r="D49" s="287">
        <v>9356973400</v>
      </c>
      <c r="E49" s="105"/>
      <c r="F49" s="105"/>
      <c r="G49" s="105"/>
      <c r="H49" s="105"/>
    </row>
    <row r="50" spans="1:8" ht="14.4" x14ac:dyDescent="0.3">
      <c r="A50" s="285" t="s">
        <v>108</v>
      </c>
      <c r="B50" s="286" t="s">
        <v>294</v>
      </c>
      <c r="C50" s="287">
        <v>-6626998226</v>
      </c>
      <c r="D50" s="287">
        <v>-6499896116</v>
      </c>
      <c r="E50" s="105"/>
      <c r="F50" s="105"/>
      <c r="G50" s="105"/>
      <c r="H50" s="105"/>
    </row>
    <row r="51" spans="1:8" ht="14.4" x14ac:dyDescent="0.3">
      <c r="A51" s="295"/>
      <c r="B51" s="286"/>
      <c r="C51" s="296"/>
      <c r="D51" s="296"/>
      <c r="E51" s="105"/>
      <c r="F51" s="105"/>
      <c r="G51" s="105"/>
      <c r="H51" s="105"/>
    </row>
    <row r="52" spans="1:8" ht="14.4" x14ac:dyDescent="0.3">
      <c r="A52" s="282" t="s">
        <v>97</v>
      </c>
      <c r="B52" s="283" t="s">
        <v>267</v>
      </c>
      <c r="C52" s="284">
        <v>57465566801.410004</v>
      </c>
      <c r="D52" s="284">
        <v>420263558310.90997</v>
      </c>
      <c r="E52" s="105"/>
      <c r="F52" s="105"/>
      <c r="G52" s="105"/>
      <c r="H52" s="105"/>
    </row>
    <row r="53" spans="1:8" ht="14.4" x14ac:dyDescent="0.3">
      <c r="A53" s="285" t="s">
        <v>98</v>
      </c>
      <c r="B53" s="286" t="s">
        <v>295</v>
      </c>
      <c r="C53" s="287">
        <v>4588362303</v>
      </c>
      <c r="D53" s="287">
        <v>1834556376.5</v>
      </c>
      <c r="E53" s="105"/>
      <c r="F53" s="105"/>
      <c r="G53" s="105"/>
      <c r="H53" s="105"/>
    </row>
    <row r="54" spans="1:8" ht="14.4" x14ac:dyDescent="0.3">
      <c r="A54" s="285" t="s">
        <v>99</v>
      </c>
      <c r="B54" s="286" t="s">
        <v>296</v>
      </c>
      <c r="C54" s="287">
        <v>386636200</v>
      </c>
      <c r="D54" s="287">
        <v>386636200</v>
      </c>
      <c r="E54" s="105"/>
      <c r="F54" s="105"/>
      <c r="G54" s="105"/>
      <c r="H54" s="105"/>
    </row>
    <row r="55" spans="1:8" ht="14.4" x14ac:dyDescent="0.3">
      <c r="A55" s="285" t="s">
        <v>100</v>
      </c>
      <c r="B55" s="286" t="s">
        <v>297</v>
      </c>
      <c r="C55" s="287">
        <v>7740897620</v>
      </c>
      <c r="D55" s="287">
        <v>7365697150</v>
      </c>
      <c r="E55" s="105"/>
      <c r="F55" s="105"/>
      <c r="G55" s="105"/>
      <c r="H55" s="105"/>
    </row>
    <row r="56" spans="1:8" ht="14.4" x14ac:dyDescent="0.3">
      <c r="A56" s="285" t="s">
        <v>101</v>
      </c>
      <c r="B56" s="286" t="s">
        <v>407</v>
      </c>
      <c r="C56" s="287">
        <v>27269896287.860001</v>
      </c>
      <c r="D56" s="287">
        <v>25181252921.860001</v>
      </c>
      <c r="E56" s="105"/>
      <c r="F56" s="105"/>
      <c r="G56" s="105"/>
      <c r="H56" s="105"/>
    </row>
    <row r="57" spans="1:8" ht="14.4" x14ac:dyDescent="0.3">
      <c r="A57" s="285" t="s">
        <v>102</v>
      </c>
      <c r="B57" s="286" t="s">
        <v>408</v>
      </c>
      <c r="C57" s="293">
        <v>-5217070847</v>
      </c>
      <c r="D57" s="293">
        <v>-6636860602</v>
      </c>
      <c r="E57" s="105"/>
      <c r="F57" s="105"/>
      <c r="G57" s="105"/>
      <c r="H57" s="105"/>
    </row>
    <row r="58" spans="1:8" ht="14.4" x14ac:dyDescent="0.3">
      <c r="A58" s="285" t="s">
        <v>103</v>
      </c>
      <c r="B58" s="286" t="s">
        <v>409</v>
      </c>
      <c r="C58" s="293">
        <v>-6874194263.4499998</v>
      </c>
      <c r="D58" s="293">
        <v>-5753062243.4499998</v>
      </c>
      <c r="E58" s="105"/>
      <c r="F58" s="105"/>
      <c r="G58" s="105"/>
      <c r="H58" s="105"/>
    </row>
    <row r="59" spans="1:8" ht="14.4" x14ac:dyDescent="0.3">
      <c r="A59" s="285" t="s">
        <v>104</v>
      </c>
      <c r="B59" s="286" t="s">
        <v>410</v>
      </c>
      <c r="C59" s="287">
        <v>29571039501</v>
      </c>
      <c r="D59" s="287">
        <v>397885338508</v>
      </c>
      <c r="E59" s="105"/>
      <c r="F59" s="105"/>
      <c r="G59" s="105"/>
      <c r="H59" s="105"/>
    </row>
    <row r="60" spans="1:8" ht="14.4" x14ac:dyDescent="0.3">
      <c r="A60" s="285"/>
      <c r="B60" s="286"/>
      <c r="C60" s="287"/>
      <c r="D60" s="287"/>
      <c r="E60" s="105"/>
      <c r="F60" s="105"/>
      <c r="G60" s="105"/>
      <c r="H60" s="105"/>
    </row>
    <row r="61" spans="1:8" s="299" customFormat="1" ht="26.1" customHeight="1" x14ac:dyDescent="0.3">
      <c r="A61" s="273" t="s">
        <v>109</v>
      </c>
      <c r="B61" s="297"/>
      <c r="C61" s="298">
        <v>4611691770457.6299</v>
      </c>
      <c r="D61" s="298">
        <v>3885138522578.6299</v>
      </c>
      <c r="E61" s="105"/>
      <c r="F61" s="105"/>
      <c r="G61" s="105"/>
      <c r="H61" s="105"/>
    </row>
    <row r="62" spans="1:8" ht="14.4" x14ac:dyDescent="0.3">
      <c r="A62" s="295"/>
      <c r="B62" s="286"/>
      <c r="C62" s="296"/>
      <c r="D62" s="296"/>
      <c r="E62" s="105"/>
      <c r="F62" s="105"/>
      <c r="G62" s="105"/>
      <c r="H62" s="105"/>
    </row>
    <row r="63" spans="1:8" ht="14.4" x14ac:dyDescent="0.3">
      <c r="A63" s="276" t="s">
        <v>110</v>
      </c>
      <c r="B63" s="277" t="s">
        <v>298</v>
      </c>
      <c r="C63" s="278">
        <v>14617941328.030001</v>
      </c>
      <c r="D63" s="278">
        <v>43663578854.300003</v>
      </c>
      <c r="E63" s="105"/>
      <c r="F63" s="105"/>
      <c r="G63" s="105"/>
      <c r="H63" s="105"/>
    </row>
    <row r="64" spans="1:8" ht="14.4" x14ac:dyDescent="0.3">
      <c r="A64" s="295"/>
      <c r="B64" s="286"/>
      <c r="C64" s="300"/>
      <c r="D64" s="300"/>
      <c r="E64" s="105"/>
      <c r="F64" s="105"/>
      <c r="G64" s="105"/>
      <c r="H64" s="105"/>
    </row>
    <row r="65" spans="1:8" ht="14.4" x14ac:dyDescent="0.3">
      <c r="A65" s="282" t="s">
        <v>111</v>
      </c>
      <c r="B65" s="283" t="s">
        <v>299</v>
      </c>
      <c r="C65" s="284">
        <v>14617941328.030001</v>
      </c>
      <c r="D65" s="284">
        <v>43663578854.300003</v>
      </c>
      <c r="E65" s="105"/>
      <c r="F65" s="105"/>
      <c r="G65" s="105"/>
      <c r="H65" s="105"/>
    </row>
    <row r="66" spans="1:8" ht="14.4" x14ac:dyDescent="0.3">
      <c r="A66" s="285" t="s">
        <v>112</v>
      </c>
      <c r="B66" s="286" t="s">
        <v>301</v>
      </c>
      <c r="C66" s="287">
        <v>0</v>
      </c>
      <c r="D66" s="287">
        <v>65000</v>
      </c>
      <c r="E66" s="105"/>
      <c r="F66" s="105"/>
      <c r="G66" s="105"/>
      <c r="H66" s="105"/>
    </row>
    <row r="67" spans="1:8" ht="14.4" x14ac:dyDescent="0.3">
      <c r="A67" s="285" t="s">
        <v>113</v>
      </c>
      <c r="B67" s="286" t="s">
        <v>302</v>
      </c>
      <c r="C67" s="287">
        <v>432059725</v>
      </c>
      <c r="D67" s="287">
        <v>528973200</v>
      </c>
      <c r="E67" s="105"/>
      <c r="F67" s="105"/>
      <c r="G67" s="105"/>
      <c r="H67" s="105"/>
    </row>
    <row r="68" spans="1:8" ht="14.4" x14ac:dyDescent="0.3">
      <c r="A68" s="285" t="s">
        <v>114</v>
      </c>
      <c r="B68" s="286" t="s">
        <v>303</v>
      </c>
      <c r="C68" s="287">
        <v>14185881603.030001</v>
      </c>
      <c r="D68" s="287">
        <v>43120955654.300003</v>
      </c>
      <c r="E68" s="105"/>
      <c r="F68" s="105"/>
      <c r="G68" s="105"/>
      <c r="H68" s="105"/>
    </row>
    <row r="69" spans="1:8" ht="14.4" x14ac:dyDescent="0.3">
      <c r="A69" s="285" t="s">
        <v>115</v>
      </c>
      <c r="B69" s="286" t="s">
        <v>304</v>
      </c>
      <c r="C69" s="287">
        <v>0</v>
      </c>
      <c r="D69" s="287">
        <v>13585000</v>
      </c>
      <c r="E69" s="105"/>
      <c r="F69" s="105"/>
      <c r="G69" s="105"/>
      <c r="H69" s="105"/>
    </row>
    <row r="70" spans="1:8" ht="14.4" x14ac:dyDescent="0.3">
      <c r="A70" s="295"/>
      <c r="B70" s="286"/>
      <c r="C70" s="300"/>
      <c r="D70" s="300"/>
      <c r="E70" s="105"/>
      <c r="F70" s="105"/>
      <c r="G70" s="105"/>
      <c r="H70" s="105"/>
    </row>
    <row r="71" spans="1:8" ht="14.4" x14ac:dyDescent="0.3">
      <c r="A71" s="282" t="s">
        <v>116</v>
      </c>
      <c r="B71" s="283" t="s">
        <v>300</v>
      </c>
      <c r="C71" s="284">
        <v>0</v>
      </c>
      <c r="D71" s="284">
        <v>0</v>
      </c>
      <c r="E71" s="105"/>
      <c r="F71" s="105"/>
      <c r="G71" s="105"/>
      <c r="H71" s="105"/>
    </row>
    <row r="72" spans="1:8" ht="14.4" x14ac:dyDescent="0.3">
      <c r="A72" s="295"/>
      <c r="B72" s="286"/>
      <c r="C72" s="300"/>
      <c r="D72" s="300"/>
      <c r="E72" s="105"/>
      <c r="F72" s="105"/>
      <c r="G72" s="105"/>
      <c r="H72" s="105"/>
    </row>
    <row r="73" spans="1:8" ht="14.4" x14ac:dyDescent="0.3">
      <c r="A73" s="276" t="s">
        <v>117</v>
      </c>
      <c r="B73" s="277" t="s">
        <v>305</v>
      </c>
      <c r="C73" s="278">
        <v>4597073829129.5996</v>
      </c>
      <c r="D73" s="278">
        <v>3841474943724.3301</v>
      </c>
      <c r="E73" s="105"/>
      <c r="F73" s="105"/>
      <c r="G73" s="105"/>
      <c r="H73" s="105"/>
    </row>
    <row r="74" spans="1:8" ht="14.4" x14ac:dyDescent="0.3">
      <c r="A74" s="295"/>
      <c r="B74" s="286"/>
      <c r="C74" s="300"/>
      <c r="D74" s="300"/>
      <c r="E74" s="105"/>
      <c r="F74" s="105"/>
      <c r="G74" s="105"/>
      <c r="H74" s="105"/>
    </row>
    <row r="75" spans="1:8" ht="14.4" x14ac:dyDescent="0.3">
      <c r="A75" s="282" t="s">
        <v>117</v>
      </c>
      <c r="B75" s="283" t="s">
        <v>305</v>
      </c>
      <c r="C75" s="284">
        <v>4597073829129.5996</v>
      </c>
      <c r="D75" s="284">
        <v>3841474943724.3301</v>
      </c>
      <c r="E75" s="105"/>
      <c r="F75" s="105"/>
      <c r="G75" s="105"/>
      <c r="H75" s="105"/>
    </row>
    <row r="76" spans="1:8" ht="14.4" x14ac:dyDescent="0.3">
      <c r="A76" s="285" t="s">
        <v>118</v>
      </c>
      <c r="B76" s="286"/>
      <c r="C76" s="287">
        <v>4597073829129.5996</v>
      </c>
      <c r="D76" s="301">
        <v>3841474943724.3301</v>
      </c>
      <c r="E76" s="105"/>
      <c r="F76" s="105"/>
      <c r="G76" s="105"/>
      <c r="H76" s="105"/>
    </row>
    <row r="77" spans="1:8" ht="14.4" x14ac:dyDescent="0.3">
      <c r="A77" s="295"/>
      <c r="B77" s="286"/>
      <c r="C77" s="300"/>
      <c r="D77" s="300"/>
      <c r="E77" s="105"/>
      <c r="F77" s="105"/>
      <c r="G77" s="105"/>
      <c r="H77" s="105"/>
    </row>
    <row r="78" spans="1:8" s="299" customFormat="1" ht="26.1" customHeight="1" x14ac:dyDescent="0.3">
      <c r="A78" s="273" t="s">
        <v>119</v>
      </c>
      <c r="B78" s="297"/>
      <c r="C78" s="298">
        <v>4611691770457.6299</v>
      </c>
      <c r="D78" s="298">
        <v>3885138522578.6299</v>
      </c>
      <c r="E78" s="105"/>
      <c r="F78" s="105"/>
      <c r="G78" s="105"/>
      <c r="H78" s="105"/>
    </row>
    <row r="79" spans="1:8" ht="5.85" customHeight="1" x14ac:dyDescent="0.3">
      <c r="A79" s="302"/>
      <c r="B79" s="303"/>
      <c r="C79" s="304"/>
      <c r="D79" s="304"/>
      <c r="E79" s="105"/>
      <c r="F79" s="105"/>
      <c r="G79" s="105"/>
      <c r="H79" s="105"/>
    </row>
    <row r="80" spans="1:8" ht="17.100000000000001" customHeight="1" x14ac:dyDescent="0.3">
      <c r="A80" s="305" t="s">
        <v>55</v>
      </c>
      <c r="B80" s="305"/>
      <c r="C80" s="305"/>
      <c r="D80" s="305"/>
      <c r="E80" s="105"/>
      <c r="F80" s="105"/>
      <c r="G80" s="105"/>
      <c r="H80" s="105"/>
    </row>
    <row r="81" spans="1:8" ht="17.100000000000001" customHeight="1" x14ac:dyDescent="0.3">
      <c r="A81" s="305"/>
      <c r="B81" s="305"/>
      <c r="C81" s="305"/>
      <c r="D81" s="305"/>
      <c r="E81" s="105"/>
      <c r="F81" s="105"/>
      <c r="G81" s="105"/>
      <c r="H81" s="105"/>
    </row>
    <row r="82" spans="1:8" ht="15" x14ac:dyDescent="0.3">
      <c r="A82" s="306"/>
      <c r="B82" s="306"/>
      <c r="C82" s="306"/>
      <c r="D82" s="306"/>
      <c r="E82" s="105"/>
      <c r="F82" s="105"/>
      <c r="G82" s="105"/>
      <c r="H82" s="105"/>
    </row>
    <row r="83" spans="1:8" ht="14.4" x14ac:dyDescent="0.3">
      <c r="E83" s="105"/>
      <c r="F83" s="105"/>
      <c r="G83" s="105"/>
      <c r="H83" s="105"/>
    </row>
    <row r="84" spans="1:8" ht="17.399999999999999" x14ac:dyDescent="0.3">
      <c r="C84" s="308" t="s">
        <v>416</v>
      </c>
      <c r="D84" s="308"/>
      <c r="E84" s="105"/>
      <c r="F84" s="105"/>
      <c r="G84" s="105"/>
      <c r="H84" s="105"/>
    </row>
    <row r="85" spans="1:8" ht="13.5" customHeight="1" x14ac:dyDescent="0.3">
      <c r="C85" s="309"/>
      <c r="D85" s="309"/>
      <c r="E85" s="105"/>
      <c r="F85" s="105"/>
      <c r="G85" s="105"/>
      <c r="H85" s="105"/>
    </row>
    <row r="86" spans="1:8" ht="17.399999999999999" x14ac:dyDescent="0.3">
      <c r="C86" s="309"/>
      <c r="D86" s="309"/>
    </row>
    <row r="87" spans="1:8" ht="13.35" customHeight="1" x14ac:dyDescent="0.3">
      <c r="C87" s="309"/>
      <c r="D87" s="309"/>
    </row>
    <row r="88" spans="1:8" ht="17.399999999999999" x14ac:dyDescent="0.3">
      <c r="C88" s="309"/>
      <c r="D88" s="309"/>
    </row>
    <row r="89" spans="1:8" ht="17.399999999999999" x14ac:dyDescent="0.3">
      <c r="C89" s="309"/>
      <c r="D89" s="309"/>
    </row>
    <row r="90" spans="1:8" ht="17.399999999999999" x14ac:dyDescent="0.3">
      <c r="C90" s="308" t="s">
        <v>417</v>
      </c>
      <c r="D90" s="308"/>
    </row>
    <row r="92" spans="1:8" x14ac:dyDescent="0.3">
      <c r="C92" s="302"/>
      <c r="D92" s="302"/>
    </row>
  </sheetData>
  <mergeCells count="9">
    <mergeCell ref="A80:D81"/>
    <mergeCell ref="C84:D84"/>
    <mergeCell ref="C90:D9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61"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6CE7-169D-4C33-AC98-DF73124F6527}">
  <sheetPr codeName="Sheet16">
    <tabColor rgb="FF1B6744"/>
    <pageSetUpPr fitToPage="1"/>
  </sheetPr>
  <dimension ref="A1:J85"/>
  <sheetViews>
    <sheetView view="pageBreakPreview" topLeftCell="A54" zoomScale="55" zoomScaleNormal="100" zoomScaleSheetLayoutView="55" workbookViewId="0">
      <selection activeCell="E73" sqref="E73"/>
    </sheetView>
  </sheetViews>
  <sheetFormatPr defaultColWidth="9.109375" defaultRowHeight="13.8" x14ac:dyDescent="0.25"/>
  <cols>
    <col min="1" max="1" width="50.88671875" style="170" customWidth="1"/>
    <col min="2" max="2" width="10.88671875" style="170" customWidth="1"/>
    <col min="3" max="3" width="24" style="179" bestFit="1" customWidth="1"/>
    <col min="4" max="4" width="24" style="180" bestFit="1" customWidth="1"/>
    <col min="5" max="5" width="22" style="181" bestFit="1" customWidth="1"/>
    <col min="6" max="6" width="12.77734375" style="182" bestFit="1" customWidth="1"/>
    <col min="7" max="7" width="24.88671875" style="115" customWidth="1"/>
    <col min="8" max="8" width="24.109375" style="116" customWidth="1"/>
    <col min="9" max="9" width="25.109375" style="116" bestFit="1" customWidth="1"/>
    <col min="10" max="10" width="25.88671875" style="116" customWidth="1"/>
    <col min="11" max="254" width="9.109375" style="116"/>
    <col min="255" max="255" width="2.44140625" style="116" customWidth="1"/>
    <col min="256" max="256" width="2.109375" style="116" customWidth="1"/>
    <col min="257" max="257" width="43" style="116" customWidth="1"/>
    <col min="258" max="258" width="9.109375" style="116" bestFit="1" customWidth="1"/>
    <col min="259" max="259" width="20.109375" style="116" bestFit="1" customWidth="1"/>
    <col min="260" max="260" width="18.109375" style="116" bestFit="1" customWidth="1"/>
    <col min="261" max="261" width="18.88671875" style="116" bestFit="1" customWidth="1"/>
    <col min="262" max="262" width="9" style="116" bestFit="1" customWidth="1"/>
    <col min="263" max="263" width="13.44140625" style="116" bestFit="1" customWidth="1"/>
    <col min="264" max="265" width="9.109375" style="116"/>
    <col min="266" max="266" width="14.88671875" style="116" bestFit="1" customWidth="1"/>
    <col min="267" max="510" width="9.109375" style="116"/>
    <col min="511" max="511" width="2.44140625" style="116" customWidth="1"/>
    <col min="512" max="512" width="2.109375" style="116" customWidth="1"/>
    <col min="513" max="513" width="43" style="116" customWidth="1"/>
    <col min="514" max="514" width="9.109375" style="116" bestFit="1" customWidth="1"/>
    <col min="515" max="515" width="20.109375" style="116" bestFit="1" customWidth="1"/>
    <col min="516" max="516" width="18.109375" style="116" bestFit="1" customWidth="1"/>
    <col min="517" max="517" width="18.88671875" style="116" bestFit="1" customWidth="1"/>
    <col min="518" max="518" width="9" style="116" bestFit="1" customWidth="1"/>
    <col min="519" max="519" width="13.44140625" style="116" bestFit="1" customWidth="1"/>
    <col min="520" max="521" width="9.109375" style="116"/>
    <col min="522" max="522" width="14.88671875" style="116" bestFit="1" customWidth="1"/>
    <col min="523" max="766" width="9.109375" style="116"/>
    <col min="767" max="767" width="2.44140625" style="116" customWidth="1"/>
    <col min="768" max="768" width="2.109375" style="116" customWidth="1"/>
    <col min="769" max="769" width="43" style="116" customWidth="1"/>
    <col min="770" max="770" width="9.109375" style="116" bestFit="1" customWidth="1"/>
    <col min="771" max="771" width="20.109375" style="116" bestFit="1" customWidth="1"/>
    <col min="772" max="772" width="18.109375" style="116" bestFit="1" customWidth="1"/>
    <col min="773" max="773" width="18.88671875" style="116" bestFit="1" customWidth="1"/>
    <col min="774" max="774" width="9" style="116" bestFit="1" customWidth="1"/>
    <col min="775" max="775" width="13.44140625" style="116" bestFit="1" customWidth="1"/>
    <col min="776" max="777" width="9.109375" style="116"/>
    <col min="778" max="778" width="14.88671875" style="116" bestFit="1" customWidth="1"/>
    <col min="779" max="1022" width="9.109375" style="116"/>
    <col min="1023" max="1023" width="2.44140625" style="116" customWidth="1"/>
    <col min="1024" max="1024" width="2.109375" style="116" customWidth="1"/>
    <col min="1025" max="1025" width="43" style="116" customWidth="1"/>
    <col min="1026" max="1026" width="9.109375" style="116" bestFit="1" customWidth="1"/>
    <col min="1027" max="1027" width="20.109375" style="116" bestFit="1" customWidth="1"/>
    <col min="1028" max="1028" width="18.109375" style="116" bestFit="1" customWidth="1"/>
    <col min="1029" max="1029" width="18.88671875" style="116" bestFit="1" customWidth="1"/>
    <col min="1030" max="1030" width="9" style="116" bestFit="1" customWidth="1"/>
    <col min="1031" max="1031" width="13.44140625" style="116" bestFit="1" customWidth="1"/>
    <col min="1032" max="1033" width="9.109375" style="116"/>
    <col min="1034" max="1034" width="14.88671875" style="116" bestFit="1" customWidth="1"/>
    <col min="1035" max="1278" width="9.109375" style="116"/>
    <col min="1279" max="1279" width="2.44140625" style="116" customWidth="1"/>
    <col min="1280" max="1280" width="2.109375" style="116" customWidth="1"/>
    <col min="1281" max="1281" width="43" style="116" customWidth="1"/>
    <col min="1282" max="1282" width="9.109375" style="116" bestFit="1" customWidth="1"/>
    <col min="1283" max="1283" width="20.109375" style="116" bestFit="1" customWidth="1"/>
    <col min="1284" max="1284" width="18.109375" style="116" bestFit="1" customWidth="1"/>
    <col min="1285" max="1285" width="18.88671875" style="116" bestFit="1" customWidth="1"/>
    <col min="1286" max="1286" width="9" style="116" bestFit="1" customWidth="1"/>
    <col min="1287" max="1287" width="13.44140625" style="116" bestFit="1" customWidth="1"/>
    <col min="1288" max="1289" width="9.109375" style="116"/>
    <col min="1290" max="1290" width="14.88671875" style="116" bestFit="1" customWidth="1"/>
    <col min="1291" max="1534" width="9.109375" style="116"/>
    <col min="1535" max="1535" width="2.44140625" style="116" customWidth="1"/>
    <col min="1536" max="1536" width="2.109375" style="116" customWidth="1"/>
    <col min="1537" max="1537" width="43" style="116" customWidth="1"/>
    <col min="1538" max="1538" width="9.109375" style="116" bestFit="1" customWidth="1"/>
    <col min="1539" max="1539" width="20.109375" style="116" bestFit="1" customWidth="1"/>
    <col min="1540" max="1540" width="18.109375" style="116" bestFit="1" customWidth="1"/>
    <col min="1541" max="1541" width="18.88671875" style="116" bestFit="1" customWidth="1"/>
    <col min="1542" max="1542" width="9" style="116" bestFit="1" customWidth="1"/>
    <col min="1543" max="1543" width="13.44140625" style="116" bestFit="1" customWidth="1"/>
    <col min="1544" max="1545" width="9.109375" style="116"/>
    <col min="1546" max="1546" width="14.88671875" style="116" bestFit="1" customWidth="1"/>
    <col min="1547" max="1790" width="9.109375" style="116"/>
    <col min="1791" max="1791" width="2.44140625" style="116" customWidth="1"/>
    <col min="1792" max="1792" width="2.109375" style="116" customWidth="1"/>
    <col min="1793" max="1793" width="43" style="116" customWidth="1"/>
    <col min="1794" max="1794" width="9.109375" style="116" bestFit="1" customWidth="1"/>
    <col min="1795" max="1795" width="20.109375" style="116" bestFit="1" customWidth="1"/>
    <col min="1796" max="1796" width="18.109375" style="116" bestFit="1" customWidth="1"/>
    <col min="1797" max="1797" width="18.88671875" style="116" bestFit="1" customWidth="1"/>
    <col min="1798" max="1798" width="9" style="116" bestFit="1" customWidth="1"/>
    <col min="1799" max="1799" width="13.44140625" style="116" bestFit="1" customWidth="1"/>
    <col min="1800" max="1801" width="9.109375" style="116"/>
    <col min="1802" max="1802" width="14.88671875" style="116" bestFit="1" customWidth="1"/>
    <col min="1803" max="2046" width="9.109375" style="116"/>
    <col min="2047" max="2047" width="2.44140625" style="116" customWidth="1"/>
    <col min="2048" max="2048" width="2.109375" style="116" customWidth="1"/>
    <col min="2049" max="2049" width="43" style="116" customWidth="1"/>
    <col min="2050" max="2050" width="9.109375" style="116" bestFit="1" customWidth="1"/>
    <col min="2051" max="2051" width="20.109375" style="116" bestFit="1" customWidth="1"/>
    <col min="2052" max="2052" width="18.109375" style="116" bestFit="1" customWidth="1"/>
    <col min="2053" max="2053" width="18.88671875" style="116" bestFit="1" customWidth="1"/>
    <col min="2054" max="2054" width="9" style="116" bestFit="1" customWidth="1"/>
    <col min="2055" max="2055" width="13.44140625" style="116" bestFit="1" customWidth="1"/>
    <col min="2056" max="2057" width="9.109375" style="116"/>
    <col min="2058" max="2058" width="14.88671875" style="116" bestFit="1" customWidth="1"/>
    <col min="2059" max="2302" width="9.109375" style="116"/>
    <col min="2303" max="2303" width="2.44140625" style="116" customWidth="1"/>
    <col min="2304" max="2304" width="2.109375" style="116" customWidth="1"/>
    <col min="2305" max="2305" width="43" style="116" customWidth="1"/>
    <col min="2306" max="2306" width="9.109375" style="116" bestFit="1" customWidth="1"/>
    <col min="2307" max="2307" width="20.109375" style="116" bestFit="1" customWidth="1"/>
    <col min="2308" max="2308" width="18.109375" style="116" bestFit="1" customWidth="1"/>
    <col min="2309" max="2309" width="18.88671875" style="116" bestFit="1" customWidth="1"/>
    <col min="2310" max="2310" width="9" style="116" bestFit="1" customWidth="1"/>
    <col min="2311" max="2311" width="13.44140625" style="116" bestFit="1" customWidth="1"/>
    <col min="2312" max="2313" width="9.109375" style="116"/>
    <col min="2314" max="2314" width="14.88671875" style="116" bestFit="1" customWidth="1"/>
    <col min="2315" max="2558" width="9.109375" style="116"/>
    <col min="2559" max="2559" width="2.44140625" style="116" customWidth="1"/>
    <col min="2560" max="2560" width="2.109375" style="116" customWidth="1"/>
    <col min="2561" max="2561" width="43" style="116" customWidth="1"/>
    <col min="2562" max="2562" width="9.109375" style="116" bestFit="1" customWidth="1"/>
    <col min="2563" max="2563" width="20.109375" style="116" bestFit="1" customWidth="1"/>
    <col min="2564" max="2564" width="18.109375" style="116" bestFit="1" customWidth="1"/>
    <col min="2565" max="2565" width="18.88671875" style="116" bestFit="1" customWidth="1"/>
    <col min="2566" max="2566" width="9" style="116" bestFit="1" customWidth="1"/>
    <col min="2567" max="2567" width="13.44140625" style="116" bestFit="1" customWidth="1"/>
    <col min="2568" max="2569" width="9.109375" style="116"/>
    <col min="2570" max="2570" width="14.88671875" style="116" bestFit="1" customWidth="1"/>
    <col min="2571" max="2814" width="9.109375" style="116"/>
    <col min="2815" max="2815" width="2.44140625" style="116" customWidth="1"/>
    <col min="2816" max="2816" width="2.109375" style="116" customWidth="1"/>
    <col min="2817" max="2817" width="43" style="116" customWidth="1"/>
    <col min="2818" max="2818" width="9.109375" style="116" bestFit="1" customWidth="1"/>
    <col min="2819" max="2819" width="20.109375" style="116" bestFit="1" customWidth="1"/>
    <col min="2820" max="2820" width="18.109375" style="116" bestFit="1" customWidth="1"/>
    <col min="2821" max="2821" width="18.88671875" style="116" bestFit="1" customWidth="1"/>
    <col min="2822" max="2822" width="9" style="116" bestFit="1" customWidth="1"/>
    <col min="2823" max="2823" width="13.44140625" style="116" bestFit="1" customWidth="1"/>
    <col min="2824" max="2825" width="9.109375" style="116"/>
    <col min="2826" max="2826" width="14.88671875" style="116" bestFit="1" customWidth="1"/>
    <col min="2827" max="3070" width="9.109375" style="116"/>
    <col min="3071" max="3071" width="2.44140625" style="116" customWidth="1"/>
    <col min="3072" max="3072" width="2.109375" style="116" customWidth="1"/>
    <col min="3073" max="3073" width="43" style="116" customWidth="1"/>
    <col min="3074" max="3074" width="9.109375" style="116" bestFit="1" customWidth="1"/>
    <col min="3075" max="3075" width="20.109375" style="116" bestFit="1" customWidth="1"/>
    <col min="3076" max="3076" width="18.109375" style="116" bestFit="1" customWidth="1"/>
    <col min="3077" max="3077" width="18.88671875" style="116" bestFit="1" customWidth="1"/>
    <col min="3078" max="3078" width="9" style="116" bestFit="1" customWidth="1"/>
    <col min="3079" max="3079" width="13.44140625" style="116" bestFit="1" customWidth="1"/>
    <col min="3080" max="3081" width="9.109375" style="116"/>
    <col min="3082" max="3082" width="14.88671875" style="116" bestFit="1" customWidth="1"/>
    <col min="3083" max="3326" width="9.109375" style="116"/>
    <col min="3327" max="3327" width="2.44140625" style="116" customWidth="1"/>
    <col min="3328" max="3328" width="2.109375" style="116" customWidth="1"/>
    <col min="3329" max="3329" width="43" style="116" customWidth="1"/>
    <col min="3330" max="3330" width="9.109375" style="116" bestFit="1" customWidth="1"/>
    <col min="3331" max="3331" width="20.109375" style="116" bestFit="1" customWidth="1"/>
    <col min="3332" max="3332" width="18.109375" style="116" bestFit="1" customWidth="1"/>
    <col min="3333" max="3333" width="18.88671875" style="116" bestFit="1" customWidth="1"/>
    <col min="3334" max="3334" width="9" style="116" bestFit="1" customWidth="1"/>
    <col min="3335" max="3335" width="13.44140625" style="116" bestFit="1" customWidth="1"/>
    <col min="3336" max="3337" width="9.109375" style="116"/>
    <col min="3338" max="3338" width="14.88671875" style="116" bestFit="1" customWidth="1"/>
    <col min="3339" max="3582" width="9.109375" style="116"/>
    <col min="3583" max="3583" width="2.44140625" style="116" customWidth="1"/>
    <col min="3584" max="3584" width="2.109375" style="116" customWidth="1"/>
    <col min="3585" max="3585" width="43" style="116" customWidth="1"/>
    <col min="3586" max="3586" width="9.109375" style="116" bestFit="1" customWidth="1"/>
    <col min="3587" max="3587" width="20.109375" style="116" bestFit="1" customWidth="1"/>
    <col min="3588" max="3588" width="18.109375" style="116" bestFit="1" customWidth="1"/>
    <col min="3589" max="3589" width="18.88671875" style="116" bestFit="1" customWidth="1"/>
    <col min="3590" max="3590" width="9" style="116" bestFit="1" customWidth="1"/>
    <col min="3591" max="3591" width="13.44140625" style="116" bestFit="1" customWidth="1"/>
    <col min="3592" max="3593" width="9.109375" style="116"/>
    <col min="3594" max="3594" width="14.88671875" style="116" bestFit="1" customWidth="1"/>
    <col min="3595" max="3838" width="9.109375" style="116"/>
    <col min="3839" max="3839" width="2.44140625" style="116" customWidth="1"/>
    <col min="3840" max="3840" width="2.109375" style="116" customWidth="1"/>
    <col min="3841" max="3841" width="43" style="116" customWidth="1"/>
    <col min="3842" max="3842" width="9.109375" style="116" bestFit="1" customWidth="1"/>
    <col min="3843" max="3843" width="20.109375" style="116" bestFit="1" customWidth="1"/>
    <col min="3844" max="3844" width="18.109375" style="116" bestFit="1" customWidth="1"/>
    <col min="3845" max="3845" width="18.88671875" style="116" bestFit="1" customWidth="1"/>
    <col min="3846" max="3846" width="9" style="116" bestFit="1" customWidth="1"/>
    <col min="3847" max="3847" width="13.44140625" style="116" bestFit="1" customWidth="1"/>
    <col min="3848" max="3849" width="9.109375" style="116"/>
    <col min="3850" max="3850" width="14.88671875" style="116" bestFit="1" customWidth="1"/>
    <col min="3851" max="4094" width="9.109375" style="116"/>
    <col min="4095" max="4095" width="2.44140625" style="116" customWidth="1"/>
    <col min="4096" max="4096" width="2.109375" style="116" customWidth="1"/>
    <col min="4097" max="4097" width="43" style="116" customWidth="1"/>
    <col min="4098" max="4098" width="9.109375" style="116" bestFit="1" customWidth="1"/>
    <col min="4099" max="4099" width="20.109375" style="116" bestFit="1" customWidth="1"/>
    <col min="4100" max="4100" width="18.109375" style="116" bestFit="1" customWidth="1"/>
    <col min="4101" max="4101" width="18.88671875" style="116" bestFit="1" customWidth="1"/>
    <col min="4102" max="4102" width="9" style="116" bestFit="1" customWidth="1"/>
    <col min="4103" max="4103" width="13.44140625" style="116" bestFit="1" customWidth="1"/>
    <col min="4104" max="4105" width="9.109375" style="116"/>
    <col min="4106" max="4106" width="14.88671875" style="116" bestFit="1" customWidth="1"/>
    <col min="4107" max="4350" width="9.109375" style="116"/>
    <col min="4351" max="4351" width="2.44140625" style="116" customWidth="1"/>
    <col min="4352" max="4352" width="2.109375" style="116" customWidth="1"/>
    <col min="4353" max="4353" width="43" style="116" customWidth="1"/>
    <col min="4354" max="4354" width="9.109375" style="116" bestFit="1" customWidth="1"/>
    <col min="4355" max="4355" width="20.109375" style="116" bestFit="1" customWidth="1"/>
    <col min="4356" max="4356" width="18.109375" style="116" bestFit="1" customWidth="1"/>
    <col min="4357" max="4357" width="18.88671875" style="116" bestFit="1" customWidth="1"/>
    <col min="4358" max="4358" width="9" style="116" bestFit="1" customWidth="1"/>
    <col min="4359" max="4359" width="13.44140625" style="116" bestFit="1" customWidth="1"/>
    <col min="4360" max="4361" width="9.109375" style="116"/>
    <col min="4362" max="4362" width="14.88671875" style="116" bestFit="1" customWidth="1"/>
    <col min="4363" max="4606" width="9.109375" style="116"/>
    <col min="4607" max="4607" width="2.44140625" style="116" customWidth="1"/>
    <col min="4608" max="4608" width="2.109375" style="116" customWidth="1"/>
    <col min="4609" max="4609" width="43" style="116" customWidth="1"/>
    <col min="4610" max="4610" width="9.109375" style="116" bestFit="1" customWidth="1"/>
    <col min="4611" max="4611" width="20.109375" style="116" bestFit="1" customWidth="1"/>
    <col min="4612" max="4612" width="18.109375" style="116" bestFit="1" customWidth="1"/>
    <col min="4613" max="4613" width="18.88671875" style="116" bestFit="1" customWidth="1"/>
    <col min="4614" max="4614" width="9" style="116" bestFit="1" customWidth="1"/>
    <col min="4615" max="4615" width="13.44140625" style="116" bestFit="1" customWidth="1"/>
    <col min="4616" max="4617" width="9.109375" style="116"/>
    <col min="4618" max="4618" width="14.88671875" style="116" bestFit="1" customWidth="1"/>
    <col min="4619" max="4862" width="9.109375" style="116"/>
    <col min="4863" max="4863" width="2.44140625" style="116" customWidth="1"/>
    <col min="4864" max="4864" width="2.109375" style="116" customWidth="1"/>
    <col min="4865" max="4865" width="43" style="116" customWidth="1"/>
    <col min="4866" max="4866" width="9.109375" style="116" bestFit="1" customWidth="1"/>
    <col min="4867" max="4867" width="20.109375" style="116" bestFit="1" customWidth="1"/>
    <col min="4868" max="4868" width="18.109375" style="116" bestFit="1" customWidth="1"/>
    <col min="4869" max="4869" width="18.88671875" style="116" bestFit="1" customWidth="1"/>
    <col min="4870" max="4870" width="9" style="116" bestFit="1" customWidth="1"/>
    <col min="4871" max="4871" width="13.44140625" style="116" bestFit="1" customWidth="1"/>
    <col min="4872" max="4873" width="9.109375" style="116"/>
    <col min="4874" max="4874" width="14.88671875" style="116" bestFit="1" customWidth="1"/>
    <col min="4875" max="5118" width="9.109375" style="116"/>
    <col min="5119" max="5119" width="2.44140625" style="116" customWidth="1"/>
    <col min="5120" max="5120" width="2.109375" style="116" customWidth="1"/>
    <col min="5121" max="5121" width="43" style="116" customWidth="1"/>
    <col min="5122" max="5122" width="9.109375" style="116" bestFit="1" customWidth="1"/>
    <col min="5123" max="5123" width="20.109375" style="116" bestFit="1" customWidth="1"/>
    <col min="5124" max="5124" width="18.109375" style="116" bestFit="1" customWidth="1"/>
    <col min="5125" max="5125" width="18.88671875" style="116" bestFit="1" customWidth="1"/>
    <col min="5126" max="5126" width="9" style="116" bestFit="1" customWidth="1"/>
    <col min="5127" max="5127" width="13.44140625" style="116" bestFit="1" customWidth="1"/>
    <col min="5128" max="5129" width="9.109375" style="116"/>
    <col min="5130" max="5130" width="14.88671875" style="116" bestFit="1" customWidth="1"/>
    <col min="5131" max="5374" width="9.109375" style="116"/>
    <col min="5375" max="5375" width="2.44140625" style="116" customWidth="1"/>
    <col min="5376" max="5376" width="2.109375" style="116" customWidth="1"/>
    <col min="5377" max="5377" width="43" style="116" customWidth="1"/>
    <col min="5378" max="5378" width="9.109375" style="116" bestFit="1" customWidth="1"/>
    <col min="5379" max="5379" width="20.109375" style="116" bestFit="1" customWidth="1"/>
    <col min="5380" max="5380" width="18.109375" style="116" bestFit="1" customWidth="1"/>
    <col min="5381" max="5381" width="18.88671875" style="116" bestFit="1" customWidth="1"/>
    <col min="5382" max="5382" width="9" style="116" bestFit="1" customWidth="1"/>
    <col min="5383" max="5383" width="13.44140625" style="116" bestFit="1" customWidth="1"/>
    <col min="5384" max="5385" width="9.109375" style="116"/>
    <col min="5386" max="5386" width="14.88671875" style="116" bestFit="1" customWidth="1"/>
    <col min="5387" max="5630" width="9.109375" style="116"/>
    <col min="5631" max="5631" width="2.44140625" style="116" customWidth="1"/>
    <col min="5632" max="5632" width="2.109375" style="116" customWidth="1"/>
    <col min="5633" max="5633" width="43" style="116" customWidth="1"/>
    <col min="5634" max="5634" width="9.109375" style="116" bestFit="1" customWidth="1"/>
    <col min="5635" max="5635" width="20.109375" style="116" bestFit="1" customWidth="1"/>
    <col min="5636" max="5636" width="18.109375" style="116" bestFit="1" customWidth="1"/>
    <col min="5637" max="5637" width="18.88671875" style="116" bestFit="1" customWidth="1"/>
    <col min="5638" max="5638" width="9" style="116" bestFit="1" customWidth="1"/>
    <col min="5639" max="5639" width="13.44140625" style="116" bestFit="1" customWidth="1"/>
    <col min="5640" max="5641" width="9.109375" style="116"/>
    <col min="5642" max="5642" width="14.88671875" style="116" bestFit="1" customWidth="1"/>
    <col min="5643" max="5886" width="9.109375" style="116"/>
    <col min="5887" max="5887" width="2.44140625" style="116" customWidth="1"/>
    <col min="5888" max="5888" width="2.109375" style="116" customWidth="1"/>
    <col min="5889" max="5889" width="43" style="116" customWidth="1"/>
    <col min="5890" max="5890" width="9.109375" style="116" bestFit="1" customWidth="1"/>
    <col min="5891" max="5891" width="20.109375" style="116" bestFit="1" customWidth="1"/>
    <col min="5892" max="5892" width="18.109375" style="116" bestFit="1" customWidth="1"/>
    <col min="5893" max="5893" width="18.88671875" style="116" bestFit="1" customWidth="1"/>
    <col min="5894" max="5894" width="9" style="116" bestFit="1" customWidth="1"/>
    <col min="5895" max="5895" width="13.44140625" style="116" bestFit="1" customWidth="1"/>
    <col min="5896" max="5897" width="9.109375" style="116"/>
    <col min="5898" max="5898" width="14.88671875" style="116" bestFit="1" customWidth="1"/>
    <col min="5899" max="6142" width="9.109375" style="116"/>
    <col min="6143" max="6143" width="2.44140625" style="116" customWidth="1"/>
    <col min="6144" max="6144" width="2.109375" style="116" customWidth="1"/>
    <col min="6145" max="6145" width="43" style="116" customWidth="1"/>
    <col min="6146" max="6146" width="9.109375" style="116" bestFit="1" customWidth="1"/>
    <col min="6147" max="6147" width="20.109375" style="116" bestFit="1" customWidth="1"/>
    <col min="6148" max="6148" width="18.109375" style="116" bestFit="1" customWidth="1"/>
    <col min="6149" max="6149" width="18.88671875" style="116" bestFit="1" customWidth="1"/>
    <col min="6150" max="6150" width="9" style="116" bestFit="1" customWidth="1"/>
    <col min="6151" max="6151" width="13.44140625" style="116" bestFit="1" customWidth="1"/>
    <col min="6152" max="6153" width="9.109375" style="116"/>
    <col min="6154" max="6154" width="14.88671875" style="116" bestFit="1" customWidth="1"/>
    <col min="6155" max="6398" width="9.109375" style="116"/>
    <col min="6399" max="6399" width="2.44140625" style="116" customWidth="1"/>
    <col min="6400" max="6400" width="2.109375" style="116" customWidth="1"/>
    <col min="6401" max="6401" width="43" style="116" customWidth="1"/>
    <col min="6402" max="6402" width="9.109375" style="116" bestFit="1" customWidth="1"/>
    <col min="6403" max="6403" width="20.109375" style="116" bestFit="1" customWidth="1"/>
    <col min="6404" max="6404" width="18.109375" style="116" bestFit="1" customWidth="1"/>
    <col min="6405" max="6405" width="18.88671875" style="116" bestFit="1" customWidth="1"/>
    <col min="6406" max="6406" width="9" style="116" bestFit="1" customWidth="1"/>
    <col min="6407" max="6407" width="13.44140625" style="116" bestFit="1" customWidth="1"/>
    <col min="6408" max="6409" width="9.109375" style="116"/>
    <col min="6410" max="6410" width="14.88671875" style="116" bestFit="1" customWidth="1"/>
    <col min="6411" max="6654" width="9.109375" style="116"/>
    <col min="6655" max="6655" width="2.44140625" style="116" customWidth="1"/>
    <col min="6656" max="6656" width="2.109375" style="116" customWidth="1"/>
    <col min="6657" max="6657" width="43" style="116" customWidth="1"/>
    <col min="6658" max="6658" width="9.109375" style="116" bestFit="1" customWidth="1"/>
    <col min="6659" max="6659" width="20.109375" style="116" bestFit="1" customWidth="1"/>
    <col min="6660" max="6660" width="18.109375" style="116" bestFit="1" customWidth="1"/>
    <col min="6661" max="6661" width="18.88671875" style="116" bestFit="1" customWidth="1"/>
    <col min="6662" max="6662" width="9" style="116" bestFit="1" customWidth="1"/>
    <col min="6663" max="6663" width="13.44140625" style="116" bestFit="1" customWidth="1"/>
    <col min="6664" max="6665" width="9.109375" style="116"/>
    <col min="6666" max="6666" width="14.88671875" style="116" bestFit="1" customWidth="1"/>
    <col min="6667" max="6910" width="9.109375" style="116"/>
    <col min="6911" max="6911" width="2.44140625" style="116" customWidth="1"/>
    <col min="6912" max="6912" width="2.109375" style="116" customWidth="1"/>
    <col min="6913" max="6913" width="43" style="116" customWidth="1"/>
    <col min="6914" max="6914" width="9.109375" style="116" bestFit="1" customWidth="1"/>
    <col min="6915" max="6915" width="20.109375" style="116" bestFit="1" customWidth="1"/>
    <col min="6916" max="6916" width="18.109375" style="116" bestFit="1" customWidth="1"/>
    <col min="6917" max="6917" width="18.88671875" style="116" bestFit="1" customWidth="1"/>
    <col min="6918" max="6918" width="9" style="116" bestFit="1" customWidth="1"/>
    <col min="6919" max="6919" width="13.44140625" style="116" bestFit="1" customWidth="1"/>
    <col min="6920" max="6921" width="9.109375" style="116"/>
    <col min="6922" max="6922" width="14.88671875" style="116" bestFit="1" customWidth="1"/>
    <col min="6923" max="7166" width="9.109375" style="116"/>
    <col min="7167" max="7167" width="2.44140625" style="116" customWidth="1"/>
    <col min="7168" max="7168" width="2.109375" style="116" customWidth="1"/>
    <col min="7169" max="7169" width="43" style="116" customWidth="1"/>
    <col min="7170" max="7170" width="9.109375" style="116" bestFit="1" customWidth="1"/>
    <col min="7171" max="7171" width="20.109375" style="116" bestFit="1" customWidth="1"/>
    <col min="7172" max="7172" width="18.109375" style="116" bestFit="1" customWidth="1"/>
    <col min="7173" max="7173" width="18.88671875" style="116" bestFit="1" customWidth="1"/>
    <col min="7174" max="7174" width="9" style="116" bestFit="1" customWidth="1"/>
    <col min="7175" max="7175" width="13.44140625" style="116" bestFit="1" customWidth="1"/>
    <col min="7176" max="7177" width="9.109375" style="116"/>
    <col min="7178" max="7178" width="14.88671875" style="116" bestFit="1" customWidth="1"/>
    <col min="7179" max="7422" width="9.109375" style="116"/>
    <col min="7423" max="7423" width="2.44140625" style="116" customWidth="1"/>
    <col min="7424" max="7424" width="2.109375" style="116" customWidth="1"/>
    <col min="7425" max="7425" width="43" style="116" customWidth="1"/>
    <col min="7426" max="7426" width="9.109375" style="116" bestFit="1" customWidth="1"/>
    <col min="7427" max="7427" width="20.109375" style="116" bestFit="1" customWidth="1"/>
    <col min="7428" max="7428" width="18.109375" style="116" bestFit="1" customWidth="1"/>
    <col min="7429" max="7429" width="18.88671875" style="116" bestFit="1" customWidth="1"/>
    <col min="7430" max="7430" width="9" style="116" bestFit="1" customWidth="1"/>
    <col min="7431" max="7431" width="13.44140625" style="116" bestFit="1" customWidth="1"/>
    <col min="7432" max="7433" width="9.109375" style="116"/>
    <col min="7434" max="7434" width="14.88671875" style="116" bestFit="1" customWidth="1"/>
    <col min="7435" max="7678" width="9.109375" style="116"/>
    <col min="7679" max="7679" width="2.44140625" style="116" customWidth="1"/>
    <col min="7680" max="7680" width="2.109375" style="116" customWidth="1"/>
    <col min="7681" max="7681" width="43" style="116" customWidth="1"/>
    <col min="7682" max="7682" width="9.109375" style="116" bestFit="1" customWidth="1"/>
    <col min="7683" max="7683" width="20.109375" style="116" bestFit="1" customWidth="1"/>
    <col min="7684" max="7684" width="18.109375" style="116" bestFit="1" customWidth="1"/>
    <col min="7685" max="7685" width="18.88671875" style="116" bestFit="1" customWidth="1"/>
    <col min="7686" max="7686" width="9" style="116" bestFit="1" customWidth="1"/>
    <col min="7687" max="7687" width="13.44140625" style="116" bestFit="1" customWidth="1"/>
    <col min="7688" max="7689" width="9.109375" style="116"/>
    <col min="7690" max="7690" width="14.88671875" style="116" bestFit="1" customWidth="1"/>
    <col min="7691" max="7934" width="9.109375" style="116"/>
    <col min="7935" max="7935" width="2.44140625" style="116" customWidth="1"/>
    <col min="7936" max="7936" width="2.109375" style="116" customWidth="1"/>
    <col min="7937" max="7937" width="43" style="116" customWidth="1"/>
    <col min="7938" max="7938" width="9.109375" style="116" bestFit="1" customWidth="1"/>
    <col min="7939" max="7939" width="20.109375" style="116" bestFit="1" customWidth="1"/>
    <col min="7940" max="7940" width="18.109375" style="116" bestFit="1" customWidth="1"/>
    <col min="7941" max="7941" width="18.88671875" style="116" bestFit="1" customWidth="1"/>
    <col min="7942" max="7942" width="9" style="116" bestFit="1" customWidth="1"/>
    <col min="7943" max="7943" width="13.44140625" style="116" bestFit="1" customWidth="1"/>
    <col min="7944" max="7945" width="9.109375" style="116"/>
    <col min="7946" max="7946" width="14.88671875" style="116" bestFit="1" customWidth="1"/>
    <col min="7947" max="8190" width="9.109375" style="116"/>
    <col min="8191" max="8191" width="2.44140625" style="116" customWidth="1"/>
    <col min="8192" max="8192" width="2.109375" style="116" customWidth="1"/>
    <col min="8193" max="8193" width="43" style="116" customWidth="1"/>
    <col min="8194" max="8194" width="9.109375" style="116" bestFit="1" customWidth="1"/>
    <col min="8195" max="8195" width="20.109375" style="116" bestFit="1" customWidth="1"/>
    <col min="8196" max="8196" width="18.109375" style="116" bestFit="1" customWidth="1"/>
    <col min="8197" max="8197" width="18.88671875" style="116" bestFit="1" customWidth="1"/>
    <col min="8198" max="8198" width="9" style="116" bestFit="1" customWidth="1"/>
    <col min="8199" max="8199" width="13.44140625" style="116" bestFit="1" customWidth="1"/>
    <col min="8200" max="8201" width="9.109375" style="116"/>
    <col min="8202" max="8202" width="14.88671875" style="116" bestFit="1" customWidth="1"/>
    <col min="8203" max="8446" width="9.109375" style="116"/>
    <col min="8447" max="8447" width="2.44140625" style="116" customWidth="1"/>
    <col min="8448" max="8448" width="2.109375" style="116" customWidth="1"/>
    <col min="8449" max="8449" width="43" style="116" customWidth="1"/>
    <col min="8450" max="8450" width="9.109375" style="116" bestFit="1" customWidth="1"/>
    <col min="8451" max="8451" width="20.109375" style="116" bestFit="1" customWidth="1"/>
    <col min="8452" max="8452" width="18.109375" style="116" bestFit="1" customWidth="1"/>
    <col min="8453" max="8453" width="18.88671875" style="116" bestFit="1" customWidth="1"/>
    <col min="8454" max="8454" width="9" style="116" bestFit="1" customWidth="1"/>
    <col min="8455" max="8455" width="13.44140625" style="116" bestFit="1" customWidth="1"/>
    <col min="8456" max="8457" width="9.109375" style="116"/>
    <col min="8458" max="8458" width="14.88671875" style="116" bestFit="1" customWidth="1"/>
    <col min="8459" max="8702" width="9.109375" style="116"/>
    <col min="8703" max="8703" width="2.44140625" style="116" customWidth="1"/>
    <col min="8704" max="8704" width="2.109375" style="116" customWidth="1"/>
    <col min="8705" max="8705" width="43" style="116" customWidth="1"/>
    <col min="8706" max="8706" width="9.109375" style="116" bestFit="1" customWidth="1"/>
    <col min="8707" max="8707" width="20.109375" style="116" bestFit="1" customWidth="1"/>
    <col min="8708" max="8708" width="18.109375" style="116" bestFit="1" customWidth="1"/>
    <col min="8709" max="8709" width="18.88671875" style="116" bestFit="1" customWidth="1"/>
    <col min="8710" max="8710" width="9" style="116" bestFit="1" customWidth="1"/>
    <col min="8711" max="8711" width="13.44140625" style="116" bestFit="1" customWidth="1"/>
    <col min="8712" max="8713" width="9.109375" style="116"/>
    <col min="8714" max="8714" width="14.88671875" style="116" bestFit="1" customWidth="1"/>
    <col min="8715" max="8958" width="9.109375" style="116"/>
    <col min="8959" max="8959" width="2.44140625" style="116" customWidth="1"/>
    <col min="8960" max="8960" width="2.109375" style="116" customWidth="1"/>
    <col min="8961" max="8961" width="43" style="116" customWidth="1"/>
    <col min="8962" max="8962" width="9.109375" style="116" bestFit="1" customWidth="1"/>
    <col min="8963" max="8963" width="20.109375" style="116" bestFit="1" customWidth="1"/>
    <col min="8964" max="8964" width="18.109375" style="116" bestFit="1" customWidth="1"/>
    <col min="8965" max="8965" width="18.88671875" style="116" bestFit="1" customWidth="1"/>
    <col min="8966" max="8966" width="9" style="116" bestFit="1" customWidth="1"/>
    <col min="8967" max="8967" width="13.44140625" style="116" bestFit="1" customWidth="1"/>
    <col min="8968" max="8969" width="9.109375" style="116"/>
    <col min="8970" max="8970" width="14.88671875" style="116" bestFit="1" customWidth="1"/>
    <col min="8971" max="9214" width="9.109375" style="116"/>
    <col min="9215" max="9215" width="2.44140625" style="116" customWidth="1"/>
    <col min="9216" max="9216" width="2.109375" style="116" customWidth="1"/>
    <col min="9217" max="9217" width="43" style="116" customWidth="1"/>
    <col min="9218" max="9218" width="9.109375" style="116" bestFit="1" customWidth="1"/>
    <col min="9219" max="9219" width="20.109375" style="116" bestFit="1" customWidth="1"/>
    <col min="9220" max="9220" width="18.109375" style="116" bestFit="1" customWidth="1"/>
    <col min="9221" max="9221" width="18.88671875" style="116" bestFit="1" customWidth="1"/>
    <col min="9222" max="9222" width="9" style="116" bestFit="1" customWidth="1"/>
    <col min="9223" max="9223" width="13.44140625" style="116" bestFit="1" customWidth="1"/>
    <col min="9224" max="9225" width="9.109375" style="116"/>
    <col min="9226" max="9226" width="14.88671875" style="116" bestFit="1" customWidth="1"/>
    <col min="9227" max="9470" width="9.109375" style="116"/>
    <col min="9471" max="9471" width="2.44140625" style="116" customWidth="1"/>
    <col min="9472" max="9472" width="2.109375" style="116" customWidth="1"/>
    <col min="9473" max="9473" width="43" style="116" customWidth="1"/>
    <col min="9474" max="9474" width="9.109375" style="116" bestFit="1" customWidth="1"/>
    <col min="9475" max="9475" width="20.109375" style="116" bestFit="1" customWidth="1"/>
    <col min="9476" max="9476" width="18.109375" style="116" bestFit="1" customWidth="1"/>
    <col min="9477" max="9477" width="18.88671875" style="116" bestFit="1" customWidth="1"/>
    <col min="9478" max="9478" width="9" style="116" bestFit="1" customWidth="1"/>
    <col min="9479" max="9479" width="13.44140625" style="116" bestFit="1" customWidth="1"/>
    <col min="9480" max="9481" width="9.109375" style="116"/>
    <col min="9482" max="9482" width="14.88671875" style="116" bestFit="1" customWidth="1"/>
    <col min="9483" max="9726" width="9.109375" style="116"/>
    <col min="9727" max="9727" width="2.44140625" style="116" customWidth="1"/>
    <col min="9728" max="9728" width="2.109375" style="116" customWidth="1"/>
    <col min="9729" max="9729" width="43" style="116" customWidth="1"/>
    <col min="9730" max="9730" width="9.109375" style="116" bestFit="1" customWidth="1"/>
    <col min="9731" max="9731" width="20.109375" style="116" bestFit="1" customWidth="1"/>
    <col min="9732" max="9732" width="18.109375" style="116" bestFit="1" customWidth="1"/>
    <col min="9733" max="9733" width="18.88671875" style="116" bestFit="1" customWidth="1"/>
    <col min="9734" max="9734" width="9" style="116" bestFit="1" customWidth="1"/>
    <col min="9735" max="9735" width="13.44140625" style="116" bestFit="1" customWidth="1"/>
    <col min="9736" max="9737" width="9.109375" style="116"/>
    <col min="9738" max="9738" width="14.88671875" style="116" bestFit="1" customWidth="1"/>
    <col min="9739" max="9982" width="9.109375" style="116"/>
    <col min="9983" max="9983" width="2.44140625" style="116" customWidth="1"/>
    <col min="9984" max="9984" width="2.109375" style="116" customWidth="1"/>
    <col min="9985" max="9985" width="43" style="116" customWidth="1"/>
    <col min="9986" max="9986" width="9.109375" style="116" bestFit="1" customWidth="1"/>
    <col min="9987" max="9987" width="20.109375" style="116" bestFit="1" customWidth="1"/>
    <col min="9988" max="9988" width="18.109375" style="116" bestFit="1" customWidth="1"/>
    <col min="9989" max="9989" width="18.88671875" style="116" bestFit="1" customWidth="1"/>
    <col min="9990" max="9990" width="9" style="116" bestFit="1" customWidth="1"/>
    <col min="9991" max="9991" width="13.44140625" style="116" bestFit="1" customWidth="1"/>
    <col min="9992" max="9993" width="9.109375" style="116"/>
    <col min="9994" max="9994" width="14.88671875" style="116" bestFit="1" customWidth="1"/>
    <col min="9995" max="10238" width="9.109375" style="116"/>
    <col min="10239" max="10239" width="2.44140625" style="116" customWidth="1"/>
    <col min="10240" max="10240" width="2.109375" style="116" customWidth="1"/>
    <col min="10241" max="10241" width="43" style="116" customWidth="1"/>
    <col min="10242" max="10242" width="9.109375" style="116" bestFit="1" customWidth="1"/>
    <col min="10243" max="10243" width="20.109375" style="116" bestFit="1" customWidth="1"/>
    <col min="10244" max="10244" width="18.109375" style="116" bestFit="1" customWidth="1"/>
    <col min="10245" max="10245" width="18.88671875" style="116" bestFit="1" customWidth="1"/>
    <col min="10246" max="10246" width="9" style="116" bestFit="1" customWidth="1"/>
    <col min="10247" max="10247" width="13.44140625" style="116" bestFit="1" customWidth="1"/>
    <col min="10248" max="10249" width="9.109375" style="116"/>
    <col min="10250" max="10250" width="14.88671875" style="116" bestFit="1" customWidth="1"/>
    <col min="10251" max="10494" width="9.109375" style="116"/>
    <col min="10495" max="10495" width="2.44140625" style="116" customWidth="1"/>
    <col min="10496" max="10496" width="2.109375" style="116" customWidth="1"/>
    <col min="10497" max="10497" width="43" style="116" customWidth="1"/>
    <col min="10498" max="10498" width="9.109375" style="116" bestFit="1" customWidth="1"/>
    <col min="10499" max="10499" width="20.109375" style="116" bestFit="1" customWidth="1"/>
    <col min="10500" max="10500" width="18.109375" style="116" bestFit="1" customWidth="1"/>
    <col min="10501" max="10501" width="18.88671875" style="116" bestFit="1" customWidth="1"/>
    <col min="10502" max="10502" width="9" style="116" bestFit="1" customWidth="1"/>
    <col min="10503" max="10503" width="13.44140625" style="116" bestFit="1" customWidth="1"/>
    <col min="10504" max="10505" width="9.109375" style="116"/>
    <col min="10506" max="10506" width="14.88671875" style="116" bestFit="1" customWidth="1"/>
    <col min="10507" max="10750" width="9.109375" style="116"/>
    <col min="10751" max="10751" width="2.44140625" style="116" customWidth="1"/>
    <col min="10752" max="10752" width="2.109375" style="116" customWidth="1"/>
    <col min="10753" max="10753" width="43" style="116" customWidth="1"/>
    <col min="10754" max="10754" width="9.109375" style="116" bestFit="1" customWidth="1"/>
    <col min="10755" max="10755" width="20.109375" style="116" bestFit="1" customWidth="1"/>
    <col min="10756" max="10756" width="18.109375" style="116" bestFit="1" customWidth="1"/>
    <col min="10757" max="10757" width="18.88671875" style="116" bestFit="1" customWidth="1"/>
    <col min="10758" max="10758" width="9" style="116" bestFit="1" customWidth="1"/>
    <col min="10759" max="10759" width="13.44140625" style="116" bestFit="1" customWidth="1"/>
    <col min="10760" max="10761" width="9.109375" style="116"/>
    <col min="10762" max="10762" width="14.88671875" style="116" bestFit="1" customWidth="1"/>
    <col min="10763" max="11006" width="9.109375" style="116"/>
    <col min="11007" max="11007" width="2.44140625" style="116" customWidth="1"/>
    <col min="11008" max="11008" width="2.109375" style="116" customWidth="1"/>
    <col min="11009" max="11009" width="43" style="116" customWidth="1"/>
    <col min="11010" max="11010" width="9.109375" style="116" bestFit="1" customWidth="1"/>
    <col min="11011" max="11011" width="20.109375" style="116" bestFit="1" customWidth="1"/>
    <col min="11012" max="11012" width="18.109375" style="116" bestFit="1" customWidth="1"/>
    <col min="11013" max="11013" width="18.88671875" style="116" bestFit="1" customWidth="1"/>
    <col min="11014" max="11014" width="9" style="116" bestFit="1" customWidth="1"/>
    <col min="11015" max="11015" width="13.44140625" style="116" bestFit="1" customWidth="1"/>
    <col min="11016" max="11017" width="9.109375" style="116"/>
    <col min="11018" max="11018" width="14.88671875" style="116" bestFit="1" customWidth="1"/>
    <col min="11019" max="11262" width="9.109375" style="116"/>
    <col min="11263" max="11263" width="2.44140625" style="116" customWidth="1"/>
    <col min="11264" max="11264" width="2.109375" style="116" customWidth="1"/>
    <col min="11265" max="11265" width="43" style="116" customWidth="1"/>
    <col min="11266" max="11266" width="9.109375" style="116" bestFit="1" customWidth="1"/>
    <col min="11267" max="11267" width="20.109375" style="116" bestFit="1" customWidth="1"/>
    <col min="11268" max="11268" width="18.109375" style="116" bestFit="1" customWidth="1"/>
    <col min="11269" max="11269" width="18.88671875" style="116" bestFit="1" customWidth="1"/>
    <col min="11270" max="11270" width="9" style="116" bestFit="1" customWidth="1"/>
    <col min="11271" max="11271" width="13.44140625" style="116" bestFit="1" customWidth="1"/>
    <col min="11272" max="11273" width="9.109375" style="116"/>
    <col min="11274" max="11274" width="14.88671875" style="116" bestFit="1" customWidth="1"/>
    <col min="11275" max="11518" width="9.109375" style="116"/>
    <col min="11519" max="11519" width="2.44140625" style="116" customWidth="1"/>
    <col min="11520" max="11520" width="2.109375" style="116" customWidth="1"/>
    <col min="11521" max="11521" width="43" style="116" customWidth="1"/>
    <col min="11522" max="11522" width="9.109375" style="116" bestFit="1" customWidth="1"/>
    <col min="11523" max="11523" width="20.109375" style="116" bestFit="1" customWidth="1"/>
    <col min="11524" max="11524" width="18.109375" style="116" bestFit="1" customWidth="1"/>
    <col min="11525" max="11525" width="18.88671875" style="116" bestFit="1" customWidth="1"/>
    <col min="11526" max="11526" width="9" style="116" bestFit="1" customWidth="1"/>
    <col min="11527" max="11527" width="13.44140625" style="116" bestFit="1" customWidth="1"/>
    <col min="11528" max="11529" width="9.109375" style="116"/>
    <col min="11530" max="11530" width="14.88671875" style="116" bestFit="1" customWidth="1"/>
    <col min="11531" max="11774" width="9.109375" style="116"/>
    <col min="11775" max="11775" width="2.44140625" style="116" customWidth="1"/>
    <col min="11776" max="11776" width="2.109375" style="116" customWidth="1"/>
    <col min="11777" max="11777" width="43" style="116" customWidth="1"/>
    <col min="11778" max="11778" width="9.109375" style="116" bestFit="1" customWidth="1"/>
    <col min="11779" max="11779" width="20.109375" style="116" bestFit="1" customWidth="1"/>
    <col min="11780" max="11780" width="18.109375" style="116" bestFit="1" customWidth="1"/>
    <col min="11781" max="11781" width="18.88671875" style="116" bestFit="1" customWidth="1"/>
    <col min="11782" max="11782" width="9" style="116" bestFit="1" customWidth="1"/>
    <col min="11783" max="11783" width="13.44140625" style="116" bestFit="1" customWidth="1"/>
    <col min="11784" max="11785" width="9.109375" style="116"/>
    <col min="11786" max="11786" width="14.88671875" style="116" bestFit="1" customWidth="1"/>
    <col min="11787" max="12030" width="9.109375" style="116"/>
    <col min="12031" max="12031" width="2.44140625" style="116" customWidth="1"/>
    <col min="12032" max="12032" width="2.109375" style="116" customWidth="1"/>
    <col min="12033" max="12033" width="43" style="116" customWidth="1"/>
    <col min="12034" max="12034" width="9.109375" style="116" bestFit="1" customWidth="1"/>
    <col min="12035" max="12035" width="20.109375" style="116" bestFit="1" customWidth="1"/>
    <col min="12036" max="12036" width="18.109375" style="116" bestFit="1" customWidth="1"/>
    <col min="12037" max="12037" width="18.88671875" style="116" bestFit="1" customWidth="1"/>
    <col min="12038" max="12038" width="9" style="116" bestFit="1" customWidth="1"/>
    <col min="12039" max="12039" width="13.44140625" style="116" bestFit="1" customWidth="1"/>
    <col min="12040" max="12041" width="9.109375" style="116"/>
    <col min="12042" max="12042" width="14.88671875" style="116" bestFit="1" customWidth="1"/>
    <col min="12043" max="12286" width="9.109375" style="116"/>
    <col min="12287" max="12287" width="2.44140625" style="116" customWidth="1"/>
    <col min="12288" max="12288" width="2.109375" style="116" customWidth="1"/>
    <col min="12289" max="12289" width="43" style="116" customWidth="1"/>
    <col min="12290" max="12290" width="9.109375" style="116" bestFit="1" customWidth="1"/>
    <col min="12291" max="12291" width="20.109375" style="116" bestFit="1" customWidth="1"/>
    <col min="12292" max="12292" width="18.109375" style="116" bestFit="1" customWidth="1"/>
    <col min="12293" max="12293" width="18.88671875" style="116" bestFit="1" customWidth="1"/>
    <col min="12294" max="12294" width="9" style="116" bestFit="1" customWidth="1"/>
    <col min="12295" max="12295" width="13.44140625" style="116" bestFit="1" customWidth="1"/>
    <col min="12296" max="12297" width="9.109375" style="116"/>
    <col min="12298" max="12298" width="14.88671875" style="116" bestFit="1" customWidth="1"/>
    <col min="12299" max="12542" width="9.109375" style="116"/>
    <col min="12543" max="12543" width="2.44140625" style="116" customWidth="1"/>
    <col min="12544" max="12544" width="2.109375" style="116" customWidth="1"/>
    <col min="12545" max="12545" width="43" style="116" customWidth="1"/>
    <col min="12546" max="12546" width="9.109375" style="116" bestFit="1" customWidth="1"/>
    <col min="12547" max="12547" width="20.109375" style="116" bestFit="1" customWidth="1"/>
    <col min="12548" max="12548" width="18.109375" style="116" bestFit="1" customWidth="1"/>
    <col min="12549" max="12549" width="18.88671875" style="116" bestFit="1" customWidth="1"/>
    <col min="12550" max="12550" width="9" style="116" bestFit="1" customWidth="1"/>
    <col min="12551" max="12551" width="13.44140625" style="116" bestFit="1" customWidth="1"/>
    <col min="12552" max="12553" width="9.109375" style="116"/>
    <col min="12554" max="12554" width="14.88671875" style="116" bestFit="1" customWidth="1"/>
    <col min="12555" max="12798" width="9.109375" style="116"/>
    <col min="12799" max="12799" width="2.44140625" style="116" customWidth="1"/>
    <col min="12800" max="12800" width="2.109375" style="116" customWidth="1"/>
    <col min="12801" max="12801" width="43" style="116" customWidth="1"/>
    <col min="12802" max="12802" width="9.109375" style="116" bestFit="1" customWidth="1"/>
    <col min="12803" max="12803" width="20.109375" style="116" bestFit="1" customWidth="1"/>
    <col min="12804" max="12804" width="18.109375" style="116" bestFit="1" customWidth="1"/>
    <col min="12805" max="12805" width="18.88671875" style="116" bestFit="1" customWidth="1"/>
    <col min="12806" max="12806" width="9" style="116" bestFit="1" customWidth="1"/>
    <col min="12807" max="12807" width="13.44140625" style="116" bestFit="1" customWidth="1"/>
    <col min="12808" max="12809" width="9.109375" style="116"/>
    <col min="12810" max="12810" width="14.88671875" style="116" bestFit="1" customWidth="1"/>
    <col min="12811" max="13054" width="9.109375" style="116"/>
    <col min="13055" max="13055" width="2.44140625" style="116" customWidth="1"/>
    <col min="13056" max="13056" width="2.109375" style="116" customWidth="1"/>
    <col min="13057" max="13057" width="43" style="116" customWidth="1"/>
    <col min="13058" max="13058" width="9.109375" style="116" bestFit="1" customWidth="1"/>
    <col min="13059" max="13059" width="20.109375" style="116" bestFit="1" customWidth="1"/>
    <col min="13060" max="13060" width="18.109375" style="116" bestFit="1" customWidth="1"/>
    <col min="13061" max="13061" width="18.88671875" style="116" bestFit="1" customWidth="1"/>
    <col min="13062" max="13062" width="9" style="116" bestFit="1" customWidth="1"/>
    <col min="13063" max="13063" width="13.44140625" style="116" bestFit="1" customWidth="1"/>
    <col min="13064" max="13065" width="9.109375" style="116"/>
    <col min="13066" max="13066" width="14.88671875" style="116" bestFit="1" customWidth="1"/>
    <col min="13067" max="13310" width="9.109375" style="116"/>
    <col min="13311" max="13311" width="2.44140625" style="116" customWidth="1"/>
    <col min="13312" max="13312" width="2.109375" style="116" customWidth="1"/>
    <col min="13313" max="13313" width="43" style="116" customWidth="1"/>
    <col min="13314" max="13314" width="9.109375" style="116" bestFit="1" customWidth="1"/>
    <col min="13315" max="13315" width="20.109375" style="116" bestFit="1" customWidth="1"/>
    <col min="13316" max="13316" width="18.109375" style="116" bestFit="1" customWidth="1"/>
    <col min="13317" max="13317" width="18.88671875" style="116" bestFit="1" customWidth="1"/>
    <col min="13318" max="13318" width="9" style="116" bestFit="1" customWidth="1"/>
    <col min="13319" max="13319" width="13.44140625" style="116" bestFit="1" customWidth="1"/>
    <col min="13320" max="13321" width="9.109375" style="116"/>
    <col min="13322" max="13322" width="14.88671875" style="116" bestFit="1" customWidth="1"/>
    <col min="13323" max="13566" width="9.109375" style="116"/>
    <col min="13567" max="13567" width="2.44140625" style="116" customWidth="1"/>
    <col min="13568" max="13568" width="2.109375" style="116" customWidth="1"/>
    <col min="13569" max="13569" width="43" style="116" customWidth="1"/>
    <col min="13570" max="13570" width="9.109375" style="116" bestFit="1" customWidth="1"/>
    <col min="13571" max="13571" width="20.109375" style="116" bestFit="1" customWidth="1"/>
    <col min="13572" max="13572" width="18.109375" style="116" bestFit="1" customWidth="1"/>
    <col min="13573" max="13573" width="18.88671875" style="116" bestFit="1" customWidth="1"/>
    <col min="13574" max="13574" width="9" style="116" bestFit="1" customWidth="1"/>
    <col min="13575" max="13575" width="13.44140625" style="116" bestFit="1" customWidth="1"/>
    <col min="13576" max="13577" width="9.109375" style="116"/>
    <col min="13578" max="13578" width="14.88671875" style="116" bestFit="1" customWidth="1"/>
    <col min="13579" max="13822" width="9.109375" style="116"/>
    <col min="13823" max="13823" width="2.44140625" style="116" customWidth="1"/>
    <col min="13824" max="13824" width="2.109375" style="116" customWidth="1"/>
    <col min="13825" max="13825" width="43" style="116" customWidth="1"/>
    <col min="13826" max="13826" width="9.109375" style="116" bestFit="1" customWidth="1"/>
    <col min="13827" max="13827" width="20.109375" style="116" bestFit="1" customWidth="1"/>
    <col min="13828" max="13828" width="18.109375" style="116" bestFit="1" customWidth="1"/>
    <col min="13829" max="13829" width="18.88671875" style="116" bestFit="1" customWidth="1"/>
    <col min="13830" max="13830" width="9" style="116" bestFit="1" customWidth="1"/>
    <col min="13831" max="13831" width="13.44140625" style="116" bestFit="1" customWidth="1"/>
    <col min="13832" max="13833" width="9.109375" style="116"/>
    <col min="13834" max="13834" width="14.88671875" style="116" bestFit="1" customWidth="1"/>
    <col min="13835" max="14078" width="9.109375" style="116"/>
    <col min="14079" max="14079" width="2.44140625" style="116" customWidth="1"/>
    <col min="14080" max="14080" width="2.109375" style="116" customWidth="1"/>
    <col min="14081" max="14081" width="43" style="116" customWidth="1"/>
    <col min="14082" max="14082" width="9.109375" style="116" bestFit="1" customWidth="1"/>
    <col min="14083" max="14083" width="20.109375" style="116" bestFit="1" customWidth="1"/>
    <col min="14084" max="14084" width="18.109375" style="116" bestFit="1" customWidth="1"/>
    <col min="14085" max="14085" width="18.88671875" style="116" bestFit="1" customWidth="1"/>
    <col min="14086" max="14086" width="9" style="116" bestFit="1" customWidth="1"/>
    <col min="14087" max="14087" width="13.44140625" style="116" bestFit="1" customWidth="1"/>
    <col min="14088" max="14089" width="9.109375" style="116"/>
    <col min="14090" max="14090" width="14.88671875" style="116" bestFit="1" customWidth="1"/>
    <col min="14091" max="14334" width="9.109375" style="116"/>
    <col min="14335" max="14335" width="2.44140625" style="116" customWidth="1"/>
    <col min="14336" max="14336" width="2.109375" style="116" customWidth="1"/>
    <col min="14337" max="14337" width="43" style="116" customWidth="1"/>
    <col min="14338" max="14338" width="9.109375" style="116" bestFit="1" customWidth="1"/>
    <col min="14339" max="14339" width="20.109375" style="116" bestFit="1" customWidth="1"/>
    <col min="14340" max="14340" width="18.109375" style="116" bestFit="1" customWidth="1"/>
    <col min="14341" max="14341" width="18.88671875" style="116" bestFit="1" customWidth="1"/>
    <col min="14342" max="14342" width="9" style="116" bestFit="1" customWidth="1"/>
    <col min="14343" max="14343" width="13.44140625" style="116" bestFit="1" customWidth="1"/>
    <col min="14344" max="14345" width="9.109375" style="116"/>
    <col min="14346" max="14346" width="14.88671875" style="116" bestFit="1" customWidth="1"/>
    <col min="14347" max="14590" width="9.109375" style="116"/>
    <col min="14591" max="14591" width="2.44140625" style="116" customWidth="1"/>
    <col min="14592" max="14592" width="2.109375" style="116" customWidth="1"/>
    <col min="14593" max="14593" width="43" style="116" customWidth="1"/>
    <col min="14594" max="14594" width="9.109375" style="116" bestFit="1" customWidth="1"/>
    <col min="14595" max="14595" width="20.109375" style="116" bestFit="1" customWidth="1"/>
    <col min="14596" max="14596" width="18.109375" style="116" bestFit="1" customWidth="1"/>
    <col min="14597" max="14597" width="18.88671875" style="116" bestFit="1" customWidth="1"/>
    <col min="14598" max="14598" width="9" style="116" bestFit="1" customWidth="1"/>
    <col min="14599" max="14599" width="13.44140625" style="116" bestFit="1" customWidth="1"/>
    <col min="14600" max="14601" width="9.109375" style="116"/>
    <col min="14602" max="14602" width="14.88671875" style="116" bestFit="1" customWidth="1"/>
    <col min="14603" max="14846" width="9.109375" style="116"/>
    <col min="14847" max="14847" width="2.44140625" style="116" customWidth="1"/>
    <col min="14848" max="14848" width="2.109375" style="116" customWidth="1"/>
    <col min="14849" max="14849" width="43" style="116" customWidth="1"/>
    <col min="14850" max="14850" width="9.109375" style="116" bestFit="1" customWidth="1"/>
    <col min="14851" max="14851" width="20.109375" style="116" bestFit="1" customWidth="1"/>
    <col min="14852" max="14852" width="18.109375" style="116" bestFit="1" customWidth="1"/>
    <col min="14853" max="14853" width="18.88671875" style="116" bestFit="1" customWidth="1"/>
    <col min="14854" max="14854" width="9" style="116" bestFit="1" customWidth="1"/>
    <col min="14855" max="14855" width="13.44140625" style="116" bestFit="1" customWidth="1"/>
    <col min="14856" max="14857" width="9.109375" style="116"/>
    <col min="14858" max="14858" width="14.88671875" style="116" bestFit="1" customWidth="1"/>
    <col min="14859" max="15102" width="9.109375" style="116"/>
    <col min="15103" max="15103" width="2.44140625" style="116" customWidth="1"/>
    <col min="15104" max="15104" width="2.109375" style="116" customWidth="1"/>
    <col min="15105" max="15105" width="43" style="116" customWidth="1"/>
    <col min="15106" max="15106" width="9.109375" style="116" bestFit="1" customWidth="1"/>
    <col min="15107" max="15107" width="20.109375" style="116" bestFit="1" customWidth="1"/>
    <col min="15108" max="15108" width="18.109375" style="116" bestFit="1" customWidth="1"/>
    <col min="15109" max="15109" width="18.88671875" style="116" bestFit="1" customWidth="1"/>
    <col min="15110" max="15110" width="9" style="116" bestFit="1" customWidth="1"/>
    <col min="15111" max="15111" width="13.44140625" style="116" bestFit="1" customWidth="1"/>
    <col min="15112" max="15113" width="9.109375" style="116"/>
    <col min="15114" max="15114" width="14.88671875" style="116" bestFit="1" customWidth="1"/>
    <col min="15115" max="15358" width="9.109375" style="116"/>
    <col min="15359" max="15359" width="2.44140625" style="116" customWidth="1"/>
    <col min="15360" max="15360" width="2.109375" style="116" customWidth="1"/>
    <col min="15361" max="15361" width="43" style="116" customWidth="1"/>
    <col min="15362" max="15362" width="9.109375" style="116" bestFit="1" customWidth="1"/>
    <col min="15363" max="15363" width="20.109375" style="116" bestFit="1" customWidth="1"/>
    <col min="15364" max="15364" width="18.109375" style="116" bestFit="1" customWidth="1"/>
    <col min="15365" max="15365" width="18.88671875" style="116" bestFit="1" customWidth="1"/>
    <col min="15366" max="15366" width="9" style="116" bestFit="1" customWidth="1"/>
    <col min="15367" max="15367" width="13.44140625" style="116" bestFit="1" customWidth="1"/>
    <col min="15368" max="15369" width="9.109375" style="116"/>
    <col min="15370" max="15370" width="14.88671875" style="116" bestFit="1" customWidth="1"/>
    <col min="15371" max="15614" width="9.109375" style="116"/>
    <col min="15615" max="15615" width="2.44140625" style="116" customWidth="1"/>
    <col min="15616" max="15616" width="2.109375" style="116" customWidth="1"/>
    <col min="15617" max="15617" width="43" style="116" customWidth="1"/>
    <col min="15618" max="15618" width="9.109375" style="116" bestFit="1" customWidth="1"/>
    <col min="15619" max="15619" width="20.109375" style="116" bestFit="1" customWidth="1"/>
    <col min="15620" max="15620" width="18.109375" style="116" bestFit="1" customWidth="1"/>
    <col min="15621" max="15621" width="18.88671875" style="116" bestFit="1" customWidth="1"/>
    <col min="15622" max="15622" width="9" style="116" bestFit="1" customWidth="1"/>
    <col min="15623" max="15623" width="13.44140625" style="116" bestFit="1" customWidth="1"/>
    <col min="15624" max="15625" width="9.109375" style="116"/>
    <col min="15626" max="15626" width="14.88671875" style="116" bestFit="1" customWidth="1"/>
    <col min="15627" max="15870" width="9.109375" style="116"/>
    <col min="15871" max="15871" width="2.44140625" style="116" customWidth="1"/>
    <col min="15872" max="15872" width="2.109375" style="116" customWidth="1"/>
    <col min="15873" max="15873" width="43" style="116" customWidth="1"/>
    <col min="15874" max="15874" width="9.109375" style="116" bestFit="1" customWidth="1"/>
    <col min="15875" max="15875" width="20.109375" style="116" bestFit="1" customWidth="1"/>
    <col min="15876" max="15876" width="18.109375" style="116" bestFit="1" customWidth="1"/>
    <col min="15877" max="15877" width="18.88671875" style="116" bestFit="1" customWidth="1"/>
    <col min="15878" max="15878" width="9" style="116" bestFit="1" customWidth="1"/>
    <col min="15879" max="15879" width="13.44140625" style="116" bestFit="1" customWidth="1"/>
    <col min="15880" max="15881" width="9.109375" style="116"/>
    <col min="15882" max="15882" width="14.88671875" style="116" bestFit="1" customWidth="1"/>
    <col min="15883" max="16126" width="9.109375" style="116"/>
    <col min="16127" max="16127" width="2.44140625" style="116" customWidth="1"/>
    <col min="16128" max="16128" width="2.109375" style="116" customWidth="1"/>
    <col min="16129" max="16129" width="43" style="116" customWidth="1"/>
    <col min="16130" max="16130" width="9.109375" style="116" bestFit="1" customWidth="1"/>
    <col min="16131" max="16131" width="20.109375" style="116" bestFit="1" customWidth="1"/>
    <col min="16132" max="16132" width="18.109375" style="116" bestFit="1" customWidth="1"/>
    <col min="16133" max="16133" width="18.88671875" style="116" bestFit="1" customWidth="1"/>
    <col min="16134" max="16134" width="9" style="116" bestFit="1" customWidth="1"/>
    <col min="16135" max="16135" width="13.44140625" style="116" bestFit="1" customWidth="1"/>
    <col min="16136" max="16137" width="9.109375" style="116"/>
    <col min="16138" max="16138" width="14.88671875" style="116" bestFit="1" customWidth="1"/>
    <col min="16139" max="16384" width="9.109375" style="116"/>
  </cols>
  <sheetData>
    <row r="1" spans="1:10" ht="14.85" customHeight="1" x14ac:dyDescent="0.25">
      <c r="A1" s="244"/>
      <c r="B1" s="244"/>
      <c r="C1" s="244"/>
      <c r="D1" s="244"/>
      <c r="E1" s="244"/>
      <c r="F1" s="244"/>
    </row>
    <row r="2" spans="1:10" x14ac:dyDescent="0.25">
      <c r="A2" s="244"/>
      <c r="B2" s="244"/>
      <c r="C2" s="244"/>
      <c r="D2" s="244"/>
      <c r="E2" s="244"/>
      <c r="F2" s="244"/>
    </row>
    <row r="3" spans="1:10" x14ac:dyDescent="0.25">
      <c r="A3" s="244"/>
      <c r="B3" s="244"/>
      <c r="C3" s="244"/>
      <c r="D3" s="244"/>
      <c r="E3" s="244"/>
      <c r="F3" s="244"/>
    </row>
    <row r="4" spans="1:10" x14ac:dyDescent="0.25">
      <c r="A4" s="244"/>
      <c r="B4" s="244"/>
      <c r="C4" s="244"/>
      <c r="D4" s="244"/>
      <c r="E4" s="244"/>
      <c r="F4" s="244"/>
    </row>
    <row r="5" spans="1:10" x14ac:dyDescent="0.25">
      <c r="A5" s="244"/>
      <c r="B5" s="244"/>
      <c r="C5" s="244"/>
      <c r="D5" s="244"/>
      <c r="E5" s="244"/>
      <c r="F5" s="244"/>
    </row>
    <row r="6" spans="1:10" x14ac:dyDescent="0.25">
      <c r="A6" s="244"/>
      <c r="B6" s="244"/>
      <c r="C6" s="244"/>
      <c r="D6" s="244"/>
      <c r="E6" s="244"/>
      <c r="F6" s="244"/>
    </row>
    <row r="7" spans="1:10" x14ac:dyDescent="0.25">
      <c r="A7" s="245" t="str">
        <f>"PEMERINTAH "&amp;[1]Entitas!C4&amp;" "&amp;[1]Entitas!C3</f>
        <v>PEMERINTAH KABUPATEN SUMBAWA BARAT</v>
      </c>
      <c r="B7" s="245"/>
      <c r="C7" s="245"/>
      <c r="D7" s="245"/>
      <c r="E7" s="245"/>
      <c r="F7" s="245"/>
    </row>
    <row r="8" spans="1:10" x14ac:dyDescent="0.25">
      <c r="A8" s="245" t="s">
        <v>120</v>
      </c>
      <c r="B8" s="245"/>
      <c r="C8" s="245"/>
      <c r="D8" s="245"/>
      <c r="E8" s="245"/>
      <c r="F8" s="245"/>
    </row>
    <row r="9" spans="1:10" x14ac:dyDescent="0.25">
      <c r="A9" s="245" t="str">
        <f>"UNTUK TAHUN YANG BERAKHIR SAMPAI DENGAN 31 DESEMBER "&amp;[1]Entitas!C9&amp;" DAN "&amp;[1]Entitas!C9-1</f>
        <v>UNTUK TAHUN YANG BERAKHIR SAMPAI DENGAN 31 DESEMBER 2025 DAN 2024</v>
      </c>
      <c r="B9" s="245"/>
      <c r="C9" s="245"/>
      <c r="D9" s="245"/>
      <c r="E9" s="245"/>
      <c r="F9" s="245"/>
    </row>
    <row r="10" spans="1:10" x14ac:dyDescent="0.25">
      <c r="A10" s="246"/>
      <c r="B10" s="246"/>
      <c r="C10" s="246"/>
      <c r="D10" s="246"/>
      <c r="E10" s="246"/>
      <c r="F10" s="246"/>
    </row>
    <row r="11" spans="1:10" ht="14.4" x14ac:dyDescent="0.3">
      <c r="A11" s="247" t="s">
        <v>57</v>
      </c>
      <c r="B11" s="247"/>
      <c r="C11" s="247"/>
      <c r="D11" s="247"/>
      <c r="E11" s="247"/>
      <c r="F11" s="247"/>
      <c r="G11"/>
      <c r="H11"/>
      <c r="I11"/>
      <c r="J11"/>
    </row>
    <row r="12" spans="1:10" ht="27.6" x14ac:dyDescent="0.3">
      <c r="A12" s="117" t="s">
        <v>1</v>
      </c>
      <c r="B12" s="118" t="s">
        <v>2</v>
      </c>
      <c r="C12" s="118" t="str">
        <f>"TAHUN "&amp;[1]Entitas!C9</f>
        <v>TAHUN 2025</v>
      </c>
      <c r="D12" s="118" t="str">
        <f>"TAHUN "&amp;[1]Entitas!C9-1</f>
        <v>TAHUN 2024</v>
      </c>
      <c r="E12" s="119" t="s">
        <v>121</v>
      </c>
      <c r="F12" s="119" t="s">
        <v>3</v>
      </c>
      <c r="G12"/>
      <c r="H12"/>
      <c r="I12"/>
      <c r="J12"/>
    </row>
    <row r="13" spans="1:10" ht="14.4" x14ac:dyDescent="0.3">
      <c r="A13" s="120"/>
      <c r="B13" s="121"/>
      <c r="C13" s="122"/>
      <c r="D13" s="123"/>
      <c r="E13" s="123"/>
      <c r="F13" s="124"/>
      <c r="G13"/>
      <c r="H13"/>
      <c r="I13"/>
      <c r="J13"/>
    </row>
    <row r="14" spans="1:10" s="130" customFormat="1" ht="14.4" x14ac:dyDescent="0.3">
      <c r="A14" s="125" t="s">
        <v>122</v>
      </c>
      <c r="B14" s="126"/>
      <c r="C14" s="127"/>
      <c r="D14" s="128"/>
      <c r="E14" s="128"/>
      <c r="F14" s="129"/>
      <c r="G14"/>
      <c r="H14"/>
      <c r="I14"/>
      <c r="J14"/>
    </row>
    <row r="15" spans="1:10" s="130" customFormat="1" ht="14.4" x14ac:dyDescent="0.3">
      <c r="A15" s="131"/>
      <c r="B15" s="132"/>
      <c r="C15" s="133"/>
      <c r="D15" s="134"/>
      <c r="E15" s="134"/>
      <c r="F15" s="135"/>
      <c r="G15"/>
      <c r="H15"/>
      <c r="I15"/>
      <c r="J15"/>
    </row>
    <row r="16" spans="1:10" s="130" customFormat="1" ht="14.4" x14ac:dyDescent="0.3">
      <c r="A16" s="136" t="s">
        <v>123</v>
      </c>
      <c r="B16" s="137" t="s">
        <v>306</v>
      </c>
      <c r="C16" s="106">
        <v>2457571053869.5</v>
      </c>
      <c r="D16" s="106">
        <v>1534113590730.1499</v>
      </c>
      <c r="E16" s="106">
        <v>923457463139.3501</v>
      </c>
      <c r="F16" s="138">
        <v>60.194855760311562</v>
      </c>
      <c r="G16"/>
      <c r="H16"/>
      <c r="I16"/>
      <c r="J16"/>
    </row>
    <row r="17" spans="1:10" s="130" customFormat="1" ht="14.4" x14ac:dyDescent="0.3">
      <c r="A17" s="139" t="s">
        <v>124</v>
      </c>
      <c r="B17" s="140" t="s">
        <v>307</v>
      </c>
      <c r="C17" s="113">
        <v>233382380301.44</v>
      </c>
      <c r="D17" s="113">
        <v>204406415533.14999</v>
      </c>
      <c r="E17" s="113">
        <v>28975964768.290009</v>
      </c>
      <c r="F17" s="141">
        <v>14.175663074327908</v>
      </c>
      <c r="G17"/>
      <c r="H17"/>
      <c r="I17"/>
      <c r="J17"/>
    </row>
    <row r="18" spans="1:10" ht="14.4" x14ac:dyDescent="0.3">
      <c r="A18" s="107" t="s">
        <v>125</v>
      </c>
      <c r="B18" s="142" t="s">
        <v>310</v>
      </c>
      <c r="C18" s="112">
        <v>120816600264</v>
      </c>
      <c r="D18" s="112">
        <v>107232991128</v>
      </c>
      <c r="E18" s="112">
        <v>13583609136</v>
      </c>
      <c r="F18" s="143">
        <v>12.667378754534372</v>
      </c>
      <c r="G18"/>
      <c r="H18"/>
      <c r="I18"/>
      <c r="J18"/>
    </row>
    <row r="19" spans="1:10" ht="14.4" x14ac:dyDescent="0.3">
      <c r="A19" s="107" t="s">
        <v>126</v>
      </c>
      <c r="B19" s="142" t="s">
        <v>311</v>
      </c>
      <c r="C19" s="112">
        <v>60529513694</v>
      </c>
      <c r="D19" s="112">
        <v>7568351446.3400002</v>
      </c>
      <c r="E19" s="112">
        <v>52961162247.660004</v>
      </c>
      <c r="F19" s="143">
        <v>699.77144458945065</v>
      </c>
      <c r="G19"/>
      <c r="H19"/>
      <c r="I19"/>
      <c r="J19"/>
    </row>
    <row r="20" spans="1:10" ht="27.6" x14ac:dyDescent="0.3">
      <c r="A20" s="107" t="s">
        <v>127</v>
      </c>
      <c r="B20" s="142" t="s">
        <v>312</v>
      </c>
      <c r="C20" s="112">
        <v>7754789855</v>
      </c>
      <c r="D20" s="112">
        <v>207062877</v>
      </c>
      <c r="E20" s="112">
        <v>7547726978</v>
      </c>
      <c r="F20" s="143">
        <v>3645.1376931269047</v>
      </c>
      <c r="G20"/>
      <c r="H20"/>
      <c r="I20"/>
      <c r="J20"/>
    </row>
    <row r="21" spans="1:10" ht="14.4" x14ac:dyDescent="0.3">
      <c r="A21" s="107" t="s">
        <v>128</v>
      </c>
      <c r="B21" s="142" t="s">
        <v>313</v>
      </c>
      <c r="C21" s="112">
        <v>44281476488.440002</v>
      </c>
      <c r="D21" s="144">
        <v>89398010081.809998</v>
      </c>
      <c r="E21" s="112">
        <v>-45116533593.369995</v>
      </c>
      <c r="F21" s="143">
        <v>-50.467044570771655</v>
      </c>
      <c r="G21"/>
      <c r="H21"/>
      <c r="I21"/>
      <c r="J21"/>
    </row>
    <row r="22" spans="1:10" ht="14.4" x14ac:dyDescent="0.3">
      <c r="A22" s="145"/>
      <c r="B22" s="146"/>
      <c r="C22" s="112"/>
      <c r="D22" s="112"/>
      <c r="E22" s="112"/>
      <c r="F22" s="143"/>
      <c r="G22"/>
      <c r="H22"/>
      <c r="I22"/>
      <c r="J22"/>
    </row>
    <row r="23" spans="1:10" s="130" customFormat="1" ht="14.4" x14ac:dyDescent="0.3">
      <c r="A23" s="139" t="s">
        <v>129</v>
      </c>
      <c r="B23" s="140" t="s">
        <v>308</v>
      </c>
      <c r="C23" s="113">
        <v>1908244581015</v>
      </c>
      <c r="D23" s="113">
        <v>1105495176736</v>
      </c>
      <c r="E23" s="113">
        <v>802749404279</v>
      </c>
      <c r="F23" s="141">
        <v>72.614464646434385</v>
      </c>
      <c r="G23"/>
      <c r="H23"/>
      <c r="I23"/>
      <c r="J23"/>
    </row>
    <row r="24" spans="1:10" s="130" customFormat="1" ht="14.4" x14ac:dyDescent="0.3">
      <c r="A24" s="147" t="s">
        <v>130</v>
      </c>
      <c r="B24" s="140" t="s">
        <v>314</v>
      </c>
      <c r="C24" s="113">
        <v>1864594458094</v>
      </c>
      <c r="D24" s="113">
        <v>966492223869</v>
      </c>
      <c r="E24" s="113">
        <v>898102234225</v>
      </c>
      <c r="F24" s="141">
        <v>92.923896545155273</v>
      </c>
      <c r="G24"/>
      <c r="H24"/>
      <c r="I24"/>
      <c r="J24"/>
    </row>
    <row r="25" spans="1:10" s="130" customFormat="1" ht="14.4" customHeight="1" x14ac:dyDescent="0.3">
      <c r="A25" s="109" t="s">
        <v>131</v>
      </c>
      <c r="B25" s="225" t="s">
        <v>316</v>
      </c>
      <c r="C25" s="112">
        <v>0</v>
      </c>
      <c r="D25" s="112">
        <v>933446890869</v>
      </c>
      <c r="E25" s="112">
        <v>-933446890869</v>
      </c>
      <c r="F25" s="143">
        <v>-100</v>
      </c>
      <c r="G25"/>
      <c r="H25"/>
      <c r="I25"/>
      <c r="J25"/>
    </row>
    <row r="26" spans="1:10" s="130" customFormat="1" ht="14.4" customHeight="1" x14ac:dyDescent="0.3">
      <c r="A26" s="109" t="s">
        <v>132</v>
      </c>
      <c r="B26" s="142" t="s">
        <v>317</v>
      </c>
      <c r="C26" s="112">
        <v>1314768365100</v>
      </c>
      <c r="D26" s="237">
        <v>0</v>
      </c>
      <c r="E26" s="112">
        <v>1314768365100</v>
      </c>
      <c r="F26" s="237">
        <v>0</v>
      </c>
      <c r="G26"/>
      <c r="H26"/>
      <c r="I26"/>
      <c r="J26"/>
    </row>
    <row r="27" spans="1:10" s="130" customFormat="1" ht="14.4" customHeight="1" x14ac:dyDescent="0.3">
      <c r="A27" s="109" t="s">
        <v>133</v>
      </c>
      <c r="B27" s="142" t="s">
        <v>318</v>
      </c>
      <c r="C27" s="112">
        <v>425074556043</v>
      </c>
      <c r="D27" s="237">
        <v>0</v>
      </c>
      <c r="E27" s="112">
        <v>425074556043</v>
      </c>
      <c r="F27" s="237">
        <v>0</v>
      </c>
      <c r="G27"/>
      <c r="H27"/>
      <c r="I27"/>
      <c r="J27"/>
    </row>
    <row r="28" spans="1:10" s="130" customFormat="1" ht="14.4" customHeight="1" x14ac:dyDescent="0.3">
      <c r="A28" s="109" t="s">
        <v>134</v>
      </c>
      <c r="B28" s="142" t="s">
        <v>319</v>
      </c>
      <c r="C28" s="112">
        <v>111639151951</v>
      </c>
      <c r="D28" s="237">
        <v>0</v>
      </c>
      <c r="E28" s="112">
        <v>111639151951</v>
      </c>
      <c r="F28" s="237">
        <v>0</v>
      </c>
      <c r="G28"/>
      <c r="H28"/>
      <c r="I28"/>
      <c r="J28"/>
    </row>
    <row r="29" spans="1:10" s="130" customFormat="1" ht="14.4" x14ac:dyDescent="0.3">
      <c r="A29" s="109" t="s">
        <v>135</v>
      </c>
      <c r="B29" s="142" t="s">
        <v>320</v>
      </c>
      <c r="C29" s="112">
        <v>13112385000</v>
      </c>
      <c r="D29" s="112">
        <v>33045333000</v>
      </c>
      <c r="E29" s="112">
        <v>-19932948000</v>
      </c>
      <c r="F29" s="143">
        <v>-60.320009485151807</v>
      </c>
      <c r="G29"/>
      <c r="H29"/>
      <c r="I29"/>
      <c r="J29"/>
    </row>
    <row r="30" spans="1:10" s="130" customFormat="1" ht="14.4" x14ac:dyDescent="0.3">
      <c r="A30" s="147" t="s">
        <v>136</v>
      </c>
      <c r="B30" s="140" t="s">
        <v>315</v>
      </c>
      <c r="C30" s="113">
        <v>43650122921</v>
      </c>
      <c r="D30" s="113">
        <v>139002952867</v>
      </c>
      <c r="E30" s="113">
        <v>-95352829946</v>
      </c>
      <c r="F30" s="141">
        <v>-68.5977009691549</v>
      </c>
      <c r="G30"/>
      <c r="H30"/>
      <c r="I30"/>
      <c r="J30"/>
    </row>
    <row r="31" spans="1:10" s="130" customFormat="1" ht="14.4" x14ac:dyDescent="0.3">
      <c r="A31" s="109" t="s">
        <v>137</v>
      </c>
      <c r="B31" s="142" t="s">
        <v>395</v>
      </c>
      <c r="C31" s="112">
        <v>43585122921</v>
      </c>
      <c r="D31" s="112">
        <v>139002952867</v>
      </c>
      <c r="E31" s="112">
        <v>-95417829946</v>
      </c>
      <c r="F31" s="143">
        <v>-68.644462565696102</v>
      </c>
      <c r="G31"/>
      <c r="H31"/>
      <c r="I31"/>
      <c r="J31"/>
    </row>
    <row r="32" spans="1:10" s="130" customFormat="1" ht="14.4" x14ac:dyDescent="0.3">
      <c r="A32" s="109" t="s">
        <v>138</v>
      </c>
      <c r="B32" s="142" t="s">
        <v>396</v>
      </c>
      <c r="C32" s="112">
        <v>65000000</v>
      </c>
      <c r="D32" s="237">
        <v>0</v>
      </c>
      <c r="E32" s="112">
        <v>65000000</v>
      </c>
      <c r="F32" s="237">
        <v>0</v>
      </c>
      <c r="G32"/>
      <c r="H32"/>
      <c r="I32"/>
      <c r="J32"/>
    </row>
    <row r="33" spans="1:10" ht="14.4" x14ac:dyDescent="0.3">
      <c r="A33" s="148"/>
      <c r="B33" s="149"/>
      <c r="C33" s="112"/>
      <c r="D33" s="112"/>
      <c r="E33" s="112"/>
      <c r="F33" s="143"/>
      <c r="G33"/>
      <c r="H33"/>
      <c r="I33"/>
      <c r="J33"/>
    </row>
    <row r="34" spans="1:10" s="130" customFormat="1" ht="14.4" x14ac:dyDescent="0.3">
      <c r="A34" s="139" t="s">
        <v>139</v>
      </c>
      <c r="B34" s="140" t="s">
        <v>309</v>
      </c>
      <c r="C34" s="113">
        <v>315944092553.06</v>
      </c>
      <c r="D34" s="113">
        <v>224211998461</v>
      </c>
      <c r="E34" s="113">
        <v>91732094092.059998</v>
      </c>
      <c r="F34" s="141">
        <v>40.913106667668416</v>
      </c>
      <c r="G34"/>
      <c r="H34"/>
      <c r="I34"/>
      <c r="J34"/>
    </row>
    <row r="35" spans="1:10" ht="14.4" x14ac:dyDescent="0.3">
      <c r="A35" s="107" t="s">
        <v>140</v>
      </c>
      <c r="B35" s="142" t="s">
        <v>321</v>
      </c>
      <c r="C35" s="112">
        <v>17472317425.559998</v>
      </c>
      <c r="D35" s="112">
        <v>25192790350</v>
      </c>
      <c r="E35" s="112">
        <v>-7720472924.4400024</v>
      </c>
      <c r="F35" s="143">
        <v>-30.645564930206319</v>
      </c>
      <c r="G35"/>
      <c r="H35"/>
      <c r="I35"/>
      <c r="J35"/>
    </row>
    <row r="36" spans="1:10" ht="27.6" x14ac:dyDescent="0.3">
      <c r="A36" s="107" t="s">
        <v>141</v>
      </c>
      <c r="B36" s="142" t="s">
        <v>322</v>
      </c>
      <c r="C36" s="112">
        <v>298471775127.5</v>
      </c>
      <c r="D36" s="112">
        <v>199019208111</v>
      </c>
      <c r="E36" s="112">
        <v>99452567016.5</v>
      </c>
      <c r="F36" s="143">
        <v>49.971340937620354</v>
      </c>
      <c r="G36"/>
      <c r="H36"/>
      <c r="I36"/>
      <c r="J36"/>
    </row>
    <row r="37" spans="1:10" ht="14.4" x14ac:dyDescent="0.3">
      <c r="A37" s="111"/>
      <c r="B37" s="142"/>
      <c r="C37" s="112"/>
      <c r="D37" s="112"/>
      <c r="E37" s="112"/>
      <c r="F37" s="143"/>
      <c r="G37"/>
      <c r="H37"/>
      <c r="I37"/>
      <c r="J37"/>
    </row>
    <row r="38" spans="1:10" s="130" customFormat="1" ht="14.4" x14ac:dyDescent="0.3">
      <c r="A38" s="136" t="s">
        <v>142</v>
      </c>
      <c r="B38" s="137" t="s">
        <v>323</v>
      </c>
      <c r="C38" s="106">
        <v>1699732757331.75</v>
      </c>
      <c r="D38" s="106">
        <v>1538897553881.4099</v>
      </c>
      <c r="E38" s="106">
        <v>160835203450.34009</v>
      </c>
      <c r="F38" s="138">
        <v>10.451326213670383</v>
      </c>
      <c r="G38"/>
      <c r="H38"/>
      <c r="I38"/>
      <c r="J38"/>
    </row>
    <row r="39" spans="1:10" ht="14.4" x14ac:dyDescent="0.3">
      <c r="A39" s="139" t="s">
        <v>143</v>
      </c>
      <c r="B39" s="142" t="s">
        <v>324</v>
      </c>
      <c r="C39" s="113">
        <v>1567867573369.75</v>
      </c>
      <c r="D39" s="113">
        <v>1418535968938.4099</v>
      </c>
      <c r="E39" s="113">
        <v>149331604431.34009</v>
      </c>
      <c r="F39" s="141">
        <v>10.527163759061775</v>
      </c>
      <c r="G39"/>
      <c r="H39"/>
      <c r="I39"/>
      <c r="J39"/>
    </row>
    <row r="40" spans="1:10" ht="14.4" x14ac:dyDescent="0.3">
      <c r="A40" s="107" t="s">
        <v>144</v>
      </c>
      <c r="B40" s="142" t="s">
        <v>325</v>
      </c>
      <c r="C40" s="112">
        <v>587937280254</v>
      </c>
      <c r="D40" s="112">
        <v>504209539439.97998</v>
      </c>
      <c r="E40" s="112">
        <v>83727740814.02002</v>
      </c>
      <c r="F40" s="143">
        <v>16.60574310176985</v>
      </c>
      <c r="G40"/>
      <c r="H40"/>
      <c r="I40"/>
      <c r="J40"/>
    </row>
    <row r="41" spans="1:10" ht="14.4" x14ac:dyDescent="0.3">
      <c r="A41" s="107" t="s">
        <v>145</v>
      </c>
      <c r="B41" s="142" t="s">
        <v>326</v>
      </c>
      <c r="C41" s="112">
        <v>663266839030.97998</v>
      </c>
      <c r="D41" s="112">
        <v>603633129105.3999</v>
      </c>
      <c r="E41" s="112">
        <v>59633709925.580078</v>
      </c>
      <c r="F41" s="143">
        <v>9.8791313879605642</v>
      </c>
      <c r="G41"/>
      <c r="H41"/>
      <c r="I41"/>
      <c r="J41"/>
    </row>
    <row r="42" spans="1:10" ht="14.4" x14ac:dyDescent="0.3">
      <c r="A42" s="107" t="s">
        <v>146</v>
      </c>
      <c r="B42" s="142" t="s">
        <v>327</v>
      </c>
      <c r="C42" s="112">
        <v>54219580322.040001</v>
      </c>
      <c r="D42" s="112">
        <v>60421998213</v>
      </c>
      <c r="E42" s="112">
        <v>-6202417890.9599991</v>
      </c>
      <c r="F42" s="143">
        <v>-10.265165129255074</v>
      </c>
      <c r="G42"/>
      <c r="H42"/>
      <c r="I42"/>
      <c r="J42"/>
    </row>
    <row r="43" spans="1:10" ht="14.4" x14ac:dyDescent="0.3">
      <c r="A43" s="107" t="s">
        <v>147</v>
      </c>
      <c r="B43" s="142" t="s">
        <v>328</v>
      </c>
      <c r="C43" s="112">
        <v>14314100000</v>
      </c>
      <c r="D43" s="112">
        <v>21845800000</v>
      </c>
      <c r="E43" s="112">
        <v>-7531700000</v>
      </c>
      <c r="F43" s="143">
        <v>-34.476649973908032</v>
      </c>
      <c r="G43"/>
      <c r="H43"/>
      <c r="I43"/>
      <c r="J43"/>
    </row>
    <row r="44" spans="1:10" ht="14.4" x14ac:dyDescent="0.3">
      <c r="A44" s="107" t="s">
        <v>148</v>
      </c>
      <c r="B44" s="142" t="s">
        <v>329</v>
      </c>
      <c r="C44" s="112">
        <v>650128570.12999988</v>
      </c>
      <c r="D44" s="112">
        <v>253937072.59</v>
      </c>
      <c r="E44" s="112">
        <v>396191497.53999984</v>
      </c>
      <c r="F44" s="143">
        <v>156.01955771919918</v>
      </c>
      <c r="G44"/>
      <c r="H44"/>
      <c r="I44"/>
      <c r="J44"/>
    </row>
    <row r="45" spans="1:10" ht="14.4" x14ac:dyDescent="0.3">
      <c r="A45" s="107" t="s">
        <v>149</v>
      </c>
      <c r="B45" s="142" t="s">
        <v>330</v>
      </c>
      <c r="C45" s="112">
        <v>247479645192.60001</v>
      </c>
      <c r="D45" s="112">
        <v>228171565107.44</v>
      </c>
      <c r="E45" s="112">
        <v>19308080085.160004</v>
      </c>
      <c r="F45" s="143">
        <v>8.4620886375865183</v>
      </c>
      <c r="G45"/>
      <c r="H45"/>
      <c r="I45"/>
      <c r="J45"/>
    </row>
    <row r="46" spans="1:10" ht="14.4" x14ac:dyDescent="0.3">
      <c r="A46" s="150"/>
      <c r="B46" s="142"/>
      <c r="C46" s="112"/>
      <c r="D46" s="112"/>
      <c r="E46" s="112"/>
      <c r="F46" s="143"/>
      <c r="G46"/>
      <c r="H46"/>
      <c r="I46"/>
      <c r="J46"/>
    </row>
    <row r="47" spans="1:10" ht="14.4" x14ac:dyDescent="0.3">
      <c r="A47" s="139" t="s">
        <v>150</v>
      </c>
      <c r="B47" s="140" t="s">
        <v>331</v>
      </c>
      <c r="C47" s="113">
        <v>131865183962</v>
      </c>
      <c r="D47" s="113">
        <v>120361584943</v>
      </c>
      <c r="E47" s="113">
        <v>11503599019</v>
      </c>
      <c r="F47" s="141">
        <v>9.5575336802417432</v>
      </c>
      <c r="G47"/>
      <c r="H47"/>
      <c r="I47"/>
      <c r="J47"/>
    </row>
    <row r="48" spans="1:10" ht="14.4" x14ac:dyDescent="0.3">
      <c r="A48" s="107" t="s">
        <v>151</v>
      </c>
      <c r="B48" s="142" t="s">
        <v>332</v>
      </c>
      <c r="C48" s="112">
        <v>9960296381</v>
      </c>
      <c r="D48" s="112">
        <v>10552527397</v>
      </c>
      <c r="E48" s="112">
        <v>-592231016</v>
      </c>
      <c r="F48" s="143">
        <v>-5.612219648615806</v>
      </c>
      <c r="G48"/>
      <c r="H48"/>
      <c r="I48"/>
      <c r="J48"/>
    </row>
    <row r="49" spans="1:10" ht="14.4" x14ac:dyDescent="0.3">
      <c r="A49" s="107" t="s">
        <v>152</v>
      </c>
      <c r="B49" s="142" t="s">
        <v>333</v>
      </c>
      <c r="C49" s="112">
        <v>121904887581</v>
      </c>
      <c r="D49" s="112">
        <v>109809057546</v>
      </c>
      <c r="E49" s="112">
        <v>12095830035</v>
      </c>
      <c r="F49" s="143">
        <v>11.01532997852472</v>
      </c>
      <c r="G49"/>
      <c r="H49"/>
      <c r="I49"/>
      <c r="J49"/>
    </row>
    <row r="50" spans="1:10" ht="14.4" x14ac:dyDescent="0.3">
      <c r="A50" s="107"/>
      <c r="B50" s="142"/>
      <c r="C50" s="112"/>
      <c r="D50" s="112"/>
      <c r="E50" s="112"/>
      <c r="F50" s="143"/>
      <c r="G50"/>
      <c r="H50"/>
      <c r="I50"/>
      <c r="J50"/>
    </row>
    <row r="51" spans="1:10" s="130" customFormat="1" ht="14.4" x14ac:dyDescent="0.3">
      <c r="A51" s="151" t="s">
        <v>153</v>
      </c>
      <c r="B51" s="152" t="s">
        <v>323</v>
      </c>
      <c r="C51" s="153">
        <v>757838296537.75</v>
      </c>
      <c r="D51" s="154">
        <v>-4783963151.2600098</v>
      </c>
      <c r="E51" s="154">
        <v>762622259689.01001</v>
      </c>
      <c r="F51" s="155">
        <v>-15941.223533215321</v>
      </c>
      <c r="G51"/>
      <c r="H51"/>
      <c r="I51"/>
      <c r="J51"/>
    </row>
    <row r="52" spans="1:10" ht="14.4" x14ac:dyDescent="0.3">
      <c r="A52" s="150"/>
      <c r="B52" s="142"/>
      <c r="C52" s="112"/>
      <c r="D52" s="112"/>
      <c r="E52" s="112"/>
      <c r="F52" s="143"/>
      <c r="G52"/>
      <c r="H52"/>
      <c r="I52"/>
      <c r="J52"/>
    </row>
    <row r="53" spans="1:10" s="130" customFormat="1" ht="14.4" x14ac:dyDescent="0.3">
      <c r="A53" s="125" t="s">
        <v>154</v>
      </c>
      <c r="B53" s="126"/>
      <c r="C53" s="127"/>
      <c r="D53" s="128"/>
      <c r="E53" s="128"/>
      <c r="F53" s="129"/>
      <c r="G53"/>
      <c r="H53"/>
      <c r="I53"/>
      <c r="J53"/>
    </row>
    <row r="54" spans="1:10" ht="14.4" x14ac:dyDescent="0.3">
      <c r="A54" s="156"/>
      <c r="B54" s="142"/>
      <c r="C54" s="113"/>
      <c r="D54" s="113"/>
      <c r="E54" s="113"/>
      <c r="F54" s="141"/>
      <c r="G54"/>
      <c r="H54"/>
      <c r="I54"/>
      <c r="J54"/>
    </row>
    <row r="55" spans="1:10" s="130" customFormat="1" ht="14.4" x14ac:dyDescent="0.3">
      <c r="A55" s="136" t="s">
        <v>155</v>
      </c>
      <c r="B55" s="137" t="s">
        <v>334</v>
      </c>
      <c r="C55" s="106">
        <v>1589758967</v>
      </c>
      <c r="D55" s="235">
        <v>0</v>
      </c>
      <c r="E55" s="106">
        <v>1589758967</v>
      </c>
      <c r="F55" s="235">
        <v>0</v>
      </c>
      <c r="G55"/>
      <c r="H55"/>
      <c r="I55"/>
      <c r="J55"/>
    </row>
    <row r="56" spans="1:10" ht="27.6" x14ac:dyDescent="0.3">
      <c r="A56" s="157" t="s">
        <v>156</v>
      </c>
      <c r="B56" s="142" t="s">
        <v>336</v>
      </c>
      <c r="C56" s="112">
        <v>344070111</v>
      </c>
      <c r="D56" s="237">
        <v>0</v>
      </c>
      <c r="E56" s="112">
        <v>344070111</v>
      </c>
      <c r="F56" s="237">
        <v>0</v>
      </c>
      <c r="G56"/>
      <c r="H56"/>
      <c r="I56"/>
      <c r="J56"/>
    </row>
    <row r="57" spans="1:10" ht="14.4" x14ac:dyDescent="0.3">
      <c r="A57" s="157" t="s">
        <v>157</v>
      </c>
      <c r="B57" s="142" t="s">
        <v>337</v>
      </c>
      <c r="C57" s="112">
        <v>1245688856</v>
      </c>
      <c r="D57" s="237">
        <v>0</v>
      </c>
      <c r="E57" s="112">
        <v>1245688856</v>
      </c>
      <c r="F57" s="237">
        <v>0</v>
      </c>
      <c r="G57"/>
      <c r="H57"/>
      <c r="I57"/>
      <c r="J57"/>
    </row>
    <row r="58" spans="1:10" ht="14.4" x14ac:dyDescent="0.3">
      <c r="A58" s="156"/>
      <c r="B58" s="142"/>
      <c r="C58" s="113"/>
      <c r="D58" s="113"/>
      <c r="E58" s="113"/>
      <c r="F58" s="141"/>
      <c r="G58"/>
      <c r="H58"/>
      <c r="I58"/>
      <c r="J58"/>
    </row>
    <row r="59" spans="1:10" s="130" customFormat="1" ht="14.4" x14ac:dyDescent="0.3">
      <c r="A59" s="136" t="s">
        <v>158</v>
      </c>
      <c r="B59" s="137" t="s">
        <v>335</v>
      </c>
      <c r="C59" s="106">
        <v>349230684.98000002</v>
      </c>
      <c r="D59" s="106">
        <v>2162509692.9200001</v>
      </c>
      <c r="E59" s="106">
        <v>-1813279007.9400001</v>
      </c>
      <c r="F59" s="138">
        <v>-83.850676548485666</v>
      </c>
      <c r="G59"/>
      <c r="H59"/>
      <c r="I59"/>
      <c r="J59"/>
    </row>
    <row r="60" spans="1:10" ht="27.6" x14ac:dyDescent="0.3">
      <c r="A60" s="157" t="s">
        <v>159</v>
      </c>
      <c r="B60" s="142" t="s">
        <v>338</v>
      </c>
      <c r="C60" s="112">
        <v>26061000</v>
      </c>
      <c r="D60" s="112">
        <v>1765159389</v>
      </c>
      <c r="E60" s="112">
        <v>-1739098389</v>
      </c>
      <c r="F60" s="143">
        <v>-98.523589418473762</v>
      </c>
      <c r="G60"/>
      <c r="H60"/>
      <c r="I60"/>
      <c r="J60"/>
    </row>
    <row r="61" spans="1:10" ht="14.4" x14ac:dyDescent="0.3">
      <c r="A61" s="157" t="s">
        <v>160</v>
      </c>
      <c r="B61" s="142" t="s">
        <v>339</v>
      </c>
      <c r="C61" s="112">
        <v>323169684.98000002</v>
      </c>
      <c r="D61" s="112">
        <v>397350303.92000002</v>
      </c>
      <c r="E61" s="112">
        <v>-74180618.939999998</v>
      </c>
      <c r="F61" s="143">
        <v>-18.668821492819358</v>
      </c>
      <c r="G61"/>
      <c r="H61"/>
      <c r="I61"/>
      <c r="J61"/>
    </row>
    <row r="62" spans="1:10" ht="14.4" x14ac:dyDescent="0.3">
      <c r="A62" s="156"/>
      <c r="B62" s="142"/>
      <c r="C62" s="113"/>
      <c r="D62" s="113"/>
      <c r="E62" s="113"/>
      <c r="F62" s="141"/>
      <c r="G62"/>
      <c r="H62"/>
      <c r="I62"/>
      <c r="J62"/>
    </row>
    <row r="63" spans="1:10" s="130" customFormat="1" ht="27.6" x14ac:dyDescent="0.3">
      <c r="A63" s="151" t="s">
        <v>161</v>
      </c>
      <c r="B63" s="152"/>
      <c r="C63" s="153">
        <v>1240528282.02</v>
      </c>
      <c r="D63" s="154">
        <v>-2162509692.9200001</v>
      </c>
      <c r="E63" s="154">
        <v>3403037974.9400001</v>
      </c>
      <c r="F63" s="155">
        <v>-157.36521256211969</v>
      </c>
      <c r="G63"/>
      <c r="H63"/>
      <c r="I63"/>
      <c r="J63"/>
    </row>
    <row r="64" spans="1:10" ht="14.4" x14ac:dyDescent="0.3">
      <c r="A64" s="156"/>
      <c r="B64" s="142"/>
      <c r="C64" s="113"/>
      <c r="D64" s="113"/>
      <c r="E64" s="113"/>
      <c r="F64" s="141"/>
      <c r="G64"/>
      <c r="H64"/>
      <c r="I64"/>
      <c r="J64"/>
    </row>
    <row r="65" spans="1:10" s="130" customFormat="1" ht="14.4" x14ac:dyDescent="0.3">
      <c r="A65" s="151" t="s">
        <v>162</v>
      </c>
      <c r="B65" s="152"/>
      <c r="C65" s="153">
        <v>759078824819.77002</v>
      </c>
      <c r="D65" s="154">
        <v>-6946472844.1800098</v>
      </c>
      <c r="E65" s="154">
        <v>766025297663.95007</v>
      </c>
      <c r="F65" s="155">
        <v>-11027.543256082143</v>
      </c>
      <c r="G65"/>
      <c r="H65"/>
      <c r="I65"/>
      <c r="J65"/>
    </row>
    <row r="66" spans="1:10" ht="14.4" x14ac:dyDescent="0.3">
      <c r="A66" s="156"/>
      <c r="B66" s="142"/>
      <c r="C66" s="113"/>
      <c r="D66" s="113"/>
      <c r="E66" s="113"/>
      <c r="F66" s="141"/>
      <c r="G66"/>
      <c r="H66"/>
      <c r="I66"/>
      <c r="J66"/>
    </row>
    <row r="67" spans="1:10" s="130" customFormat="1" ht="14.4" x14ac:dyDescent="0.3">
      <c r="A67" s="125" t="s">
        <v>163</v>
      </c>
      <c r="B67" s="126" t="s">
        <v>340</v>
      </c>
      <c r="C67" s="127"/>
      <c r="D67" s="128"/>
      <c r="E67" s="128"/>
      <c r="F67" s="129"/>
      <c r="G67"/>
      <c r="H67"/>
      <c r="I67"/>
      <c r="J67"/>
    </row>
    <row r="68" spans="1:10" ht="14.4" x14ac:dyDescent="0.3">
      <c r="A68" s="157"/>
      <c r="B68" s="142"/>
      <c r="C68" s="112"/>
      <c r="D68" s="112"/>
      <c r="E68" s="112"/>
      <c r="F68" s="143"/>
      <c r="G68"/>
      <c r="H68"/>
      <c r="I68"/>
      <c r="J68"/>
    </row>
    <row r="69" spans="1:10" s="130" customFormat="1" ht="14.4" x14ac:dyDescent="0.3">
      <c r="A69" s="136" t="s">
        <v>164</v>
      </c>
      <c r="B69" s="137" t="s">
        <v>342</v>
      </c>
      <c r="C69" s="236">
        <v>0</v>
      </c>
      <c r="D69" s="236">
        <v>0</v>
      </c>
      <c r="E69" s="236">
        <v>0</v>
      </c>
      <c r="F69" s="236">
        <v>0</v>
      </c>
      <c r="G69"/>
      <c r="H69"/>
      <c r="I69"/>
      <c r="J69"/>
    </row>
    <row r="70" spans="1:10" s="130" customFormat="1" ht="14.4" x14ac:dyDescent="0.3">
      <c r="A70" s="136" t="s">
        <v>165</v>
      </c>
      <c r="B70" s="137" t="s">
        <v>343</v>
      </c>
      <c r="C70" s="106">
        <v>2043118598</v>
      </c>
      <c r="D70" s="106">
        <v>3364608300</v>
      </c>
      <c r="E70" s="106">
        <v>-1321489702</v>
      </c>
      <c r="F70" s="138">
        <v>-39.276182668871144</v>
      </c>
      <c r="G70"/>
      <c r="H70"/>
      <c r="I70"/>
      <c r="J70"/>
    </row>
    <row r="71" spans="1:10" ht="14.4" x14ac:dyDescent="0.3">
      <c r="A71" s="157" t="s">
        <v>166</v>
      </c>
      <c r="B71" s="142" t="s">
        <v>344</v>
      </c>
      <c r="C71" s="112">
        <v>2043118598</v>
      </c>
      <c r="D71" s="112">
        <v>3364608300</v>
      </c>
      <c r="E71" s="112">
        <v>-1321489702</v>
      </c>
      <c r="F71" s="143">
        <v>-39.276182668871144</v>
      </c>
      <c r="G71"/>
      <c r="H71"/>
      <c r="I71"/>
      <c r="J71"/>
    </row>
    <row r="72" spans="1:10" ht="14.4" x14ac:dyDescent="0.3">
      <c r="A72" s="158"/>
      <c r="B72" s="159"/>
      <c r="C72" s="160"/>
      <c r="D72" s="160"/>
      <c r="E72" s="160"/>
      <c r="F72" s="161"/>
      <c r="G72"/>
      <c r="H72"/>
      <c r="I72"/>
      <c r="J72"/>
    </row>
    <row r="73" spans="1:10" s="130" customFormat="1" ht="27" customHeight="1" x14ac:dyDescent="0.3">
      <c r="A73" s="162" t="s">
        <v>167</v>
      </c>
      <c r="B73" s="163" t="s">
        <v>341</v>
      </c>
      <c r="C73" s="114">
        <v>757035706221.77002</v>
      </c>
      <c r="D73" s="114">
        <v>-10311081144.18001</v>
      </c>
      <c r="E73" s="114">
        <v>767346787365.95007</v>
      </c>
      <c r="F73" s="164">
        <v>-7441.9624541415969</v>
      </c>
      <c r="G73"/>
      <c r="H73"/>
      <c r="I73"/>
      <c r="J73"/>
    </row>
    <row r="74" spans="1:10" s="130" customFormat="1" ht="14.4" x14ac:dyDescent="0.3">
      <c r="A74" s="165"/>
      <c r="B74" s="166"/>
      <c r="C74" s="167"/>
      <c r="D74" s="167"/>
      <c r="E74" s="167"/>
      <c r="F74" s="168"/>
      <c r="G74"/>
      <c r="H74"/>
      <c r="I74"/>
      <c r="J74"/>
    </row>
    <row r="75" spans="1:10" s="130" customFormat="1" ht="15" customHeight="1" x14ac:dyDescent="0.3">
      <c r="A75" s="243" t="s">
        <v>55</v>
      </c>
      <c r="B75" s="243"/>
      <c r="C75" s="243"/>
      <c r="D75" s="243"/>
      <c r="E75" s="243"/>
      <c r="F75" s="243"/>
      <c r="G75"/>
      <c r="H75"/>
      <c r="I75"/>
      <c r="J75"/>
    </row>
    <row r="76" spans="1:10" ht="14.4" x14ac:dyDescent="0.3">
      <c r="A76" s="243"/>
      <c r="B76" s="243"/>
      <c r="C76" s="243"/>
      <c r="D76" s="243"/>
      <c r="E76" s="243"/>
      <c r="F76" s="243"/>
      <c r="G76"/>
      <c r="H76"/>
      <c r="I76"/>
      <c r="J76"/>
    </row>
    <row r="77" spans="1:10" ht="17.399999999999999" x14ac:dyDescent="0.3">
      <c r="A77" s="130"/>
      <c r="B77" s="169"/>
      <c r="C77" s="167"/>
      <c r="D77" s="262" t="str">
        <f>[1]Entitas!C5&amp;" "&amp;[1]Entitas!C3</f>
        <v>BUPATI SUMBAWA BARAT</v>
      </c>
      <c r="E77" s="262"/>
      <c r="F77" s="262"/>
      <c r="G77"/>
      <c r="H77"/>
      <c r="I77"/>
      <c r="J77"/>
    </row>
    <row r="78" spans="1:10" ht="17.399999999999999" x14ac:dyDescent="0.3">
      <c r="A78" s="130"/>
      <c r="B78" s="169"/>
      <c r="C78" s="167"/>
      <c r="D78" s="242"/>
      <c r="E78" s="242"/>
      <c r="F78" s="242"/>
      <c r="G78"/>
      <c r="H78"/>
      <c r="I78"/>
      <c r="J78"/>
    </row>
    <row r="79" spans="1:10" ht="17.399999999999999" x14ac:dyDescent="0.3">
      <c r="A79" s="130"/>
      <c r="B79" s="169"/>
      <c r="C79" s="167"/>
      <c r="D79" s="242"/>
      <c r="E79" s="242"/>
      <c r="F79" s="242"/>
      <c r="G79"/>
      <c r="H79"/>
      <c r="I79"/>
      <c r="J79"/>
    </row>
    <row r="80" spans="1:10" ht="14.4" x14ac:dyDescent="0.3">
      <c r="B80" s="169"/>
      <c r="C80" s="167"/>
      <c r="D80" s="116"/>
      <c r="E80" s="116"/>
      <c r="F80" s="116"/>
      <c r="G80"/>
      <c r="H80"/>
      <c r="I80"/>
      <c r="J80"/>
    </row>
    <row r="81" spans="1:10" ht="17.399999999999999" x14ac:dyDescent="0.3">
      <c r="A81" s="130"/>
      <c r="B81" s="174"/>
      <c r="C81" s="167"/>
      <c r="D81" s="171"/>
      <c r="E81" s="172"/>
      <c r="F81" s="173"/>
      <c r="G81"/>
      <c r="H81"/>
      <c r="I81"/>
      <c r="J81"/>
    </row>
    <row r="82" spans="1:10" ht="17.399999999999999" x14ac:dyDescent="0.3">
      <c r="A82" s="130"/>
      <c r="B82" s="174"/>
      <c r="C82" s="167"/>
      <c r="D82" s="171"/>
      <c r="E82" s="172"/>
      <c r="F82" s="173"/>
      <c r="G82"/>
      <c r="H82"/>
      <c r="I82"/>
      <c r="J82"/>
    </row>
    <row r="83" spans="1:10" ht="17.399999999999999" x14ac:dyDescent="0.3">
      <c r="A83" s="130"/>
      <c r="B83" s="174"/>
      <c r="C83" s="167"/>
      <c r="D83" s="262" t="str">
        <f>[1]Entitas!C6</f>
        <v>H. AMAR NURMANSYAH, ST.,M.Si</v>
      </c>
      <c r="E83" s="262"/>
      <c r="F83" s="262"/>
      <c r="G83"/>
      <c r="H83"/>
      <c r="I83"/>
      <c r="J83"/>
    </row>
    <row r="84" spans="1:10" ht="14.4" x14ac:dyDescent="0.3">
      <c r="A84" s="130"/>
      <c r="B84" s="174"/>
      <c r="C84" s="175"/>
      <c r="D84" s="176"/>
      <c r="E84" s="177"/>
      <c r="F84" s="178"/>
      <c r="G84"/>
      <c r="H84"/>
      <c r="I84"/>
      <c r="J84"/>
    </row>
    <row r="85" spans="1:10" ht="14.4" x14ac:dyDescent="0.3">
      <c r="G85"/>
      <c r="H85"/>
      <c r="I85"/>
      <c r="J85"/>
    </row>
  </sheetData>
  <mergeCells count="9">
    <mergeCell ref="A75:F76"/>
    <mergeCell ref="D77:F77"/>
    <mergeCell ref="D83:F83"/>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5" fitToHeight="0" orientation="portrait" useFirstPageNumber="1" r:id="rId1"/>
  <headerFooter scaleWithDoc="0"/>
  <rowBreaks count="1" manualBreakCount="1">
    <brk id="66"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D2AF-4366-45B9-B0F4-8B111DE05923}">
  <sheetPr codeName="Sheet17">
    <tabColor rgb="FF1B6744"/>
    <pageSetUpPr fitToPage="1"/>
  </sheetPr>
  <dimension ref="A1:H86"/>
  <sheetViews>
    <sheetView view="pageBreakPreview" topLeftCell="A41" zoomScale="85" zoomScaleNormal="100" zoomScaleSheetLayoutView="85" workbookViewId="0">
      <selection activeCell="C73" sqref="C73"/>
    </sheetView>
  </sheetViews>
  <sheetFormatPr defaultColWidth="9.109375" defaultRowHeight="13.8" x14ac:dyDescent="0.25"/>
  <cols>
    <col min="1" max="1" width="51.109375" style="184" customWidth="1"/>
    <col min="2" max="2" width="10.88671875" style="184" bestFit="1" customWidth="1"/>
    <col min="3" max="3" width="24" style="218" bestFit="1" customWidth="1"/>
    <col min="4" max="4" width="24" style="195" bestFit="1" customWidth="1"/>
    <col min="5" max="5" width="21.88671875" style="183" customWidth="1"/>
    <col min="6" max="6" width="21.109375" style="184" customWidth="1"/>
    <col min="7" max="8" width="22.109375" style="184" bestFit="1" customWidth="1"/>
    <col min="9" max="251" width="9.109375" style="184"/>
    <col min="252" max="252" width="2.44140625" style="184" customWidth="1"/>
    <col min="253" max="253" width="2.88671875" style="184" customWidth="1"/>
    <col min="254" max="255" width="1.109375" style="184" customWidth="1"/>
    <col min="256" max="256" width="2.88671875" style="184" customWidth="1"/>
    <col min="257" max="257" width="55.109375" style="184" customWidth="1"/>
    <col min="258" max="258" width="10.44140625" style="184" customWidth="1"/>
    <col min="259" max="259" width="18.88671875" style="184" bestFit="1" customWidth="1"/>
    <col min="260" max="260" width="18.44140625" style="184" bestFit="1" customWidth="1"/>
    <col min="261" max="261" width="9.109375" style="184"/>
    <col min="262" max="262" width="11.88671875" style="184" bestFit="1" customWidth="1"/>
    <col min="263" max="507" width="9.109375" style="184"/>
    <col min="508" max="508" width="2.44140625" style="184" customWidth="1"/>
    <col min="509" max="509" width="2.88671875" style="184" customWidth="1"/>
    <col min="510" max="511" width="1.109375" style="184" customWidth="1"/>
    <col min="512" max="512" width="2.88671875" style="184" customWidth="1"/>
    <col min="513" max="513" width="55.109375" style="184" customWidth="1"/>
    <col min="514" max="514" width="10.44140625" style="184" customWidth="1"/>
    <col min="515" max="515" width="18.88671875" style="184" bestFit="1" customWidth="1"/>
    <col min="516" max="516" width="18.44140625" style="184" bestFit="1" customWidth="1"/>
    <col min="517" max="517" width="9.109375" style="184"/>
    <col min="518" max="518" width="11.88671875" style="184" bestFit="1" customWidth="1"/>
    <col min="519" max="763" width="9.109375" style="184"/>
    <col min="764" max="764" width="2.44140625" style="184" customWidth="1"/>
    <col min="765" max="765" width="2.88671875" style="184" customWidth="1"/>
    <col min="766" max="767" width="1.109375" style="184" customWidth="1"/>
    <col min="768" max="768" width="2.88671875" style="184" customWidth="1"/>
    <col min="769" max="769" width="55.109375" style="184" customWidth="1"/>
    <col min="770" max="770" width="10.44140625" style="184" customWidth="1"/>
    <col min="771" max="771" width="18.88671875" style="184" bestFit="1" customWidth="1"/>
    <col min="772" max="772" width="18.44140625" style="184" bestFit="1" customWidth="1"/>
    <col min="773" max="773" width="9.109375" style="184"/>
    <col min="774" max="774" width="11.88671875" style="184" bestFit="1" customWidth="1"/>
    <col min="775" max="1019" width="9.109375" style="184"/>
    <col min="1020" max="1020" width="2.44140625" style="184" customWidth="1"/>
    <col min="1021" max="1021" width="2.88671875" style="184" customWidth="1"/>
    <col min="1022" max="1023" width="1.109375" style="184" customWidth="1"/>
    <col min="1024" max="1024" width="2.88671875" style="184" customWidth="1"/>
    <col min="1025" max="1025" width="55.109375" style="184" customWidth="1"/>
    <col min="1026" max="1026" width="10.44140625" style="184" customWidth="1"/>
    <col min="1027" max="1027" width="18.88671875" style="184" bestFit="1" customWidth="1"/>
    <col min="1028" max="1028" width="18.44140625" style="184" bestFit="1" customWidth="1"/>
    <col min="1029" max="1029" width="9.109375" style="184"/>
    <col min="1030" max="1030" width="11.88671875" style="184" bestFit="1" customWidth="1"/>
    <col min="1031" max="1275" width="9.109375" style="184"/>
    <col min="1276" max="1276" width="2.44140625" style="184" customWidth="1"/>
    <col min="1277" max="1277" width="2.88671875" style="184" customWidth="1"/>
    <col min="1278" max="1279" width="1.109375" style="184" customWidth="1"/>
    <col min="1280" max="1280" width="2.88671875" style="184" customWidth="1"/>
    <col min="1281" max="1281" width="55.109375" style="184" customWidth="1"/>
    <col min="1282" max="1282" width="10.44140625" style="184" customWidth="1"/>
    <col min="1283" max="1283" width="18.88671875" style="184" bestFit="1" customWidth="1"/>
    <col min="1284" max="1284" width="18.44140625" style="184" bestFit="1" customWidth="1"/>
    <col min="1285" max="1285" width="9.109375" style="184"/>
    <col min="1286" max="1286" width="11.88671875" style="184" bestFit="1" customWidth="1"/>
    <col min="1287" max="1531" width="9.109375" style="184"/>
    <col min="1532" max="1532" width="2.44140625" style="184" customWidth="1"/>
    <col min="1533" max="1533" width="2.88671875" style="184" customWidth="1"/>
    <col min="1534" max="1535" width="1.109375" style="184" customWidth="1"/>
    <col min="1536" max="1536" width="2.88671875" style="184" customWidth="1"/>
    <col min="1537" max="1537" width="55.109375" style="184" customWidth="1"/>
    <col min="1538" max="1538" width="10.44140625" style="184" customWidth="1"/>
    <col min="1539" max="1539" width="18.88671875" style="184" bestFit="1" customWidth="1"/>
    <col min="1540" max="1540" width="18.44140625" style="184" bestFit="1" customWidth="1"/>
    <col min="1541" max="1541" width="9.109375" style="184"/>
    <col min="1542" max="1542" width="11.88671875" style="184" bestFit="1" customWidth="1"/>
    <col min="1543" max="1787" width="9.109375" style="184"/>
    <col min="1788" max="1788" width="2.44140625" style="184" customWidth="1"/>
    <col min="1789" max="1789" width="2.88671875" style="184" customWidth="1"/>
    <col min="1790" max="1791" width="1.109375" style="184" customWidth="1"/>
    <col min="1792" max="1792" width="2.88671875" style="184" customWidth="1"/>
    <col min="1793" max="1793" width="55.109375" style="184" customWidth="1"/>
    <col min="1794" max="1794" width="10.44140625" style="184" customWidth="1"/>
    <col min="1795" max="1795" width="18.88671875" style="184" bestFit="1" customWidth="1"/>
    <col min="1796" max="1796" width="18.44140625" style="184" bestFit="1" customWidth="1"/>
    <col min="1797" max="1797" width="9.109375" style="184"/>
    <col min="1798" max="1798" width="11.88671875" style="184" bestFit="1" customWidth="1"/>
    <col min="1799" max="2043" width="9.109375" style="184"/>
    <col min="2044" max="2044" width="2.44140625" style="184" customWidth="1"/>
    <col min="2045" max="2045" width="2.88671875" style="184" customWidth="1"/>
    <col min="2046" max="2047" width="1.109375" style="184" customWidth="1"/>
    <col min="2048" max="2048" width="2.88671875" style="184" customWidth="1"/>
    <col min="2049" max="2049" width="55.109375" style="184" customWidth="1"/>
    <col min="2050" max="2050" width="10.44140625" style="184" customWidth="1"/>
    <col min="2051" max="2051" width="18.88671875" style="184" bestFit="1" customWidth="1"/>
    <col min="2052" max="2052" width="18.44140625" style="184" bestFit="1" customWidth="1"/>
    <col min="2053" max="2053" width="9.109375" style="184"/>
    <col min="2054" max="2054" width="11.88671875" style="184" bestFit="1" customWidth="1"/>
    <col min="2055" max="2299" width="9.109375" style="184"/>
    <col min="2300" max="2300" width="2.44140625" style="184" customWidth="1"/>
    <col min="2301" max="2301" width="2.88671875" style="184" customWidth="1"/>
    <col min="2302" max="2303" width="1.109375" style="184" customWidth="1"/>
    <col min="2304" max="2304" width="2.88671875" style="184" customWidth="1"/>
    <col min="2305" max="2305" width="55.109375" style="184" customWidth="1"/>
    <col min="2306" max="2306" width="10.44140625" style="184" customWidth="1"/>
    <col min="2307" max="2307" width="18.88671875" style="184" bestFit="1" customWidth="1"/>
    <col min="2308" max="2308" width="18.44140625" style="184" bestFit="1" customWidth="1"/>
    <col min="2309" max="2309" width="9.109375" style="184"/>
    <col min="2310" max="2310" width="11.88671875" style="184" bestFit="1" customWidth="1"/>
    <col min="2311" max="2555" width="9.109375" style="184"/>
    <col min="2556" max="2556" width="2.44140625" style="184" customWidth="1"/>
    <col min="2557" max="2557" width="2.88671875" style="184" customWidth="1"/>
    <col min="2558" max="2559" width="1.109375" style="184" customWidth="1"/>
    <col min="2560" max="2560" width="2.88671875" style="184" customWidth="1"/>
    <col min="2561" max="2561" width="55.109375" style="184" customWidth="1"/>
    <col min="2562" max="2562" width="10.44140625" style="184" customWidth="1"/>
    <col min="2563" max="2563" width="18.88671875" style="184" bestFit="1" customWidth="1"/>
    <col min="2564" max="2564" width="18.44140625" style="184" bestFit="1" customWidth="1"/>
    <col min="2565" max="2565" width="9.109375" style="184"/>
    <col min="2566" max="2566" width="11.88671875" style="184" bestFit="1" customWidth="1"/>
    <col min="2567" max="2811" width="9.109375" style="184"/>
    <col min="2812" max="2812" width="2.44140625" style="184" customWidth="1"/>
    <col min="2813" max="2813" width="2.88671875" style="184" customWidth="1"/>
    <col min="2814" max="2815" width="1.109375" style="184" customWidth="1"/>
    <col min="2816" max="2816" width="2.88671875" style="184" customWidth="1"/>
    <col min="2817" max="2817" width="55.109375" style="184" customWidth="1"/>
    <col min="2818" max="2818" width="10.44140625" style="184" customWidth="1"/>
    <col min="2819" max="2819" width="18.88671875" style="184" bestFit="1" customWidth="1"/>
    <col min="2820" max="2820" width="18.44140625" style="184" bestFit="1" customWidth="1"/>
    <col min="2821" max="2821" width="9.109375" style="184"/>
    <col min="2822" max="2822" width="11.88671875" style="184" bestFit="1" customWidth="1"/>
    <col min="2823" max="3067" width="9.109375" style="184"/>
    <col min="3068" max="3068" width="2.44140625" style="184" customWidth="1"/>
    <col min="3069" max="3069" width="2.88671875" style="184" customWidth="1"/>
    <col min="3070" max="3071" width="1.109375" style="184" customWidth="1"/>
    <col min="3072" max="3072" width="2.88671875" style="184" customWidth="1"/>
    <col min="3073" max="3073" width="55.109375" style="184" customWidth="1"/>
    <col min="3074" max="3074" width="10.44140625" style="184" customWidth="1"/>
    <col min="3075" max="3075" width="18.88671875" style="184" bestFit="1" customWidth="1"/>
    <col min="3076" max="3076" width="18.44140625" style="184" bestFit="1" customWidth="1"/>
    <col min="3077" max="3077" width="9.109375" style="184"/>
    <col min="3078" max="3078" width="11.88671875" style="184" bestFit="1" customWidth="1"/>
    <col min="3079" max="3323" width="9.109375" style="184"/>
    <col min="3324" max="3324" width="2.44140625" style="184" customWidth="1"/>
    <col min="3325" max="3325" width="2.88671875" style="184" customWidth="1"/>
    <col min="3326" max="3327" width="1.109375" style="184" customWidth="1"/>
    <col min="3328" max="3328" width="2.88671875" style="184" customWidth="1"/>
    <col min="3329" max="3329" width="55.109375" style="184" customWidth="1"/>
    <col min="3330" max="3330" width="10.44140625" style="184" customWidth="1"/>
    <col min="3331" max="3331" width="18.88671875" style="184" bestFit="1" customWidth="1"/>
    <col min="3332" max="3332" width="18.44140625" style="184" bestFit="1" customWidth="1"/>
    <col min="3333" max="3333" width="9.109375" style="184"/>
    <col min="3334" max="3334" width="11.88671875" style="184" bestFit="1" customWidth="1"/>
    <col min="3335" max="3579" width="9.109375" style="184"/>
    <col min="3580" max="3580" width="2.44140625" style="184" customWidth="1"/>
    <col min="3581" max="3581" width="2.88671875" style="184" customWidth="1"/>
    <col min="3582" max="3583" width="1.109375" style="184" customWidth="1"/>
    <col min="3584" max="3584" width="2.88671875" style="184" customWidth="1"/>
    <col min="3585" max="3585" width="55.109375" style="184" customWidth="1"/>
    <col min="3586" max="3586" width="10.44140625" style="184" customWidth="1"/>
    <col min="3587" max="3587" width="18.88671875" style="184" bestFit="1" customWidth="1"/>
    <col min="3588" max="3588" width="18.44140625" style="184" bestFit="1" customWidth="1"/>
    <col min="3589" max="3589" width="9.109375" style="184"/>
    <col min="3590" max="3590" width="11.88671875" style="184" bestFit="1" customWidth="1"/>
    <col min="3591" max="3835" width="9.109375" style="184"/>
    <col min="3836" max="3836" width="2.44140625" style="184" customWidth="1"/>
    <col min="3837" max="3837" width="2.88671875" style="184" customWidth="1"/>
    <col min="3838" max="3839" width="1.109375" style="184" customWidth="1"/>
    <col min="3840" max="3840" width="2.88671875" style="184" customWidth="1"/>
    <col min="3841" max="3841" width="55.109375" style="184" customWidth="1"/>
    <col min="3842" max="3842" width="10.44140625" style="184" customWidth="1"/>
    <col min="3843" max="3843" width="18.88671875" style="184" bestFit="1" customWidth="1"/>
    <col min="3844" max="3844" width="18.44140625" style="184" bestFit="1" customWidth="1"/>
    <col min="3845" max="3845" width="9.109375" style="184"/>
    <col min="3846" max="3846" width="11.88671875" style="184" bestFit="1" customWidth="1"/>
    <col min="3847" max="4091" width="9.109375" style="184"/>
    <col min="4092" max="4092" width="2.44140625" style="184" customWidth="1"/>
    <col min="4093" max="4093" width="2.88671875" style="184" customWidth="1"/>
    <col min="4094" max="4095" width="1.109375" style="184" customWidth="1"/>
    <col min="4096" max="4096" width="2.88671875" style="184" customWidth="1"/>
    <col min="4097" max="4097" width="55.109375" style="184" customWidth="1"/>
    <col min="4098" max="4098" width="10.44140625" style="184" customWidth="1"/>
    <col min="4099" max="4099" width="18.88671875" style="184" bestFit="1" customWidth="1"/>
    <col min="4100" max="4100" width="18.44140625" style="184" bestFit="1" customWidth="1"/>
    <col min="4101" max="4101" width="9.109375" style="184"/>
    <col min="4102" max="4102" width="11.88671875" style="184" bestFit="1" customWidth="1"/>
    <col min="4103" max="4347" width="9.109375" style="184"/>
    <col min="4348" max="4348" width="2.44140625" style="184" customWidth="1"/>
    <col min="4349" max="4349" width="2.88671875" style="184" customWidth="1"/>
    <col min="4350" max="4351" width="1.109375" style="184" customWidth="1"/>
    <col min="4352" max="4352" width="2.88671875" style="184" customWidth="1"/>
    <col min="4353" max="4353" width="55.109375" style="184" customWidth="1"/>
    <col min="4354" max="4354" width="10.44140625" style="184" customWidth="1"/>
    <col min="4355" max="4355" width="18.88671875" style="184" bestFit="1" customWidth="1"/>
    <col min="4356" max="4356" width="18.44140625" style="184" bestFit="1" customWidth="1"/>
    <col min="4357" max="4357" width="9.109375" style="184"/>
    <col min="4358" max="4358" width="11.88671875" style="184" bestFit="1" customWidth="1"/>
    <col min="4359" max="4603" width="9.109375" style="184"/>
    <col min="4604" max="4604" width="2.44140625" style="184" customWidth="1"/>
    <col min="4605" max="4605" width="2.88671875" style="184" customWidth="1"/>
    <col min="4606" max="4607" width="1.109375" style="184" customWidth="1"/>
    <col min="4608" max="4608" width="2.88671875" style="184" customWidth="1"/>
    <col min="4609" max="4609" width="55.109375" style="184" customWidth="1"/>
    <col min="4610" max="4610" width="10.44140625" style="184" customWidth="1"/>
    <col min="4611" max="4611" width="18.88671875" style="184" bestFit="1" customWidth="1"/>
    <col min="4612" max="4612" width="18.44140625" style="184" bestFit="1" customWidth="1"/>
    <col min="4613" max="4613" width="9.109375" style="184"/>
    <col min="4614" max="4614" width="11.88671875" style="184" bestFit="1" customWidth="1"/>
    <col min="4615" max="4859" width="9.109375" style="184"/>
    <col min="4860" max="4860" width="2.44140625" style="184" customWidth="1"/>
    <col min="4861" max="4861" width="2.88671875" style="184" customWidth="1"/>
    <col min="4862" max="4863" width="1.109375" style="184" customWidth="1"/>
    <col min="4864" max="4864" width="2.88671875" style="184" customWidth="1"/>
    <col min="4865" max="4865" width="55.109375" style="184" customWidth="1"/>
    <col min="4866" max="4866" width="10.44140625" style="184" customWidth="1"/>
    <col min="4867" max="4867" width="18.88671875" style="184" bestFit="1" customWidth="1"/>
    <col min="4868" max="4868" width="18.44140625" style="184" bestFit="1" customWidth="1"/>
    <col min="4869" max="4869" width="9.109375" style="184"/>
    <col min="4870" max="4870" width="11.88671875" style="184" bestFit="1" customWidth="1"/>
    <col min="4871" max="5115" width="9.109375" style="184"/>
    <col min="5116" max="5116" width="2.44140625" style="184" customWidth="1"/>
    <col min="5117" max="5117" width="2.88671875" style="184" customWidth="1"/>
    <col min="5118" max="5119" width="1.109375" style="184" customWidth="1"/>
    <col min="5120" max="5120" width="2.88671875" style="184" customWidth="1"/>
    <col min="5121" max="5121" width="55.109375" style="184" customWidth="1"/>
    <col min="5122" max="5122" width="10.44140625" style="184" customWidth="1"/>
    <col min="5123" max="5123" width="18.88671875" style="184" bestFit="1" customWidth="1"/>
    <col min="5124" max="5124" width="18.44140625" style="184" bestFit="1" customWidth="1"/>
    <col min="5125" max="5125" width="9.109375" style="184"/>
    <col min="5126" max="5126" width="11.88671875" style="184" bestFit="1" customWidth="1"/>
    <col min="5127" max="5371" width="9.109375" style="184"/>
    <col min="5372" max="5372" width="2.44140625" style="184" customWidth="1"/>
    <col min="5373" max="5373" width="2.88671875" style="184" customWidth="1"/>
    <col min="5374" max="5375" width="1.109375" style="184" customWidth="1"/>
    <col min="5376" max="5376" width="2.88671875" style="184" customWidth="1"/>
    <col min="5377" max="5377" width="55.109375" style="184" customWidth="1"/>
    <col min="5378" max="5378" width="10.44140625" style="184" customWidth="1"/>
    <col min="5379" max="5379" width="18.88671875" style="184" bestFit="1" customWidth="1"/>
    <col min="5380" max="5380" width="18.44140625" style="184" bestFit="1" customWidth="1"/>
    <col min="5381" max="5381" width="9.109375" style="184"/>
    <col min="5382" max="5382" width="11.88671875" style="184" bestFit="1" customWidth="1"/>
    <col min="5383" max="5627" width="9.109375" style="184"/>
    <col min="5628" max="5628" width="2.44140625" style="184" customWidth="1"/>
    <col min="5629" max="5629" width="2.88671875" style="184" customWidth="1"/>
    <col min="5630" max="5631" width="1.109375" style="184" customWidth="1"/>
    <col min="5632" max="5632" width="2.88671875" style="184" customWidth="1"/>
    <col min="5633" max="5633" width="55.109375" style="184" customWidth="1"/>
    <col min="5634" max="5634" width="10.44140625" style="184" customWidth="1"/>
    <col min="5635" max="5635" width="18.88671875" style="184" bestFit="1" customWidth="1"/>
    <col min="5636" max="5636" width="18.44140625" style="184" bestFit="1" customWidth="1"/>
    <col min="5637" max="5637" width="9.109375" style="184"/>
    <col min="5638" max="5638" width="11.88671875" style="184" bestFit="1" customWidth="1"/>
    <col min="5639" max="5883" width="9.109375" style="184"/>
    <col min="5884" max="5884" width="2.44140625" style="184" customWidth="1"/>
    <col min="5885" max="5885" width="2.88671875" style="184" customWidth="1"/>
    <col min="5886" max="5887" width="1.109375" style="184" customWidth="1"/>
    <col min="5888" max="5888" width="2.88671875" style="184" customWidth="1"/>
    <col min="5889" max="5889" width="55.109375" style="184" customWidth="1"/>
    <col min="5890" max="5890" width="10.44140625" style="184" customWidth="1"/>
    <col min="5891" max="5891" width="18.88671875" style="184" bestFit="1" customWidth="1"/>
    <col min="5892" max="5892" width="18.44140625" style="184" bestFit="1" customWidth="1"/>
    <col min="5893" max="5893" width="9.109375" style="184"/>
    <col min="5894" max="5894" width="11.88671875" style="184" bestFit="1" customWidth="1"/>
    <col min="5895" max="6139" width="9.109375" style="184"/>
    <col min="6140" max="6140" width="2.44140625" style="184" customWidth="1"/>
    <col min="6141" max="6141" width="2.88671875" style="184" customWidth="1"/>
    <col min="6142" max="6143" width="1.109375" style="184" customWidth="1"/>
    <col min="6144" max="6144" width="2.88671875" style="184" customWidth="1"/>
    <col min="6145" max="6145" width="55.109375" style="184" customWidth="1"/>
    <col min="6146" max="6146" width="10.44140625" style="184" customWidth="1"/>
    <col min="6147" max="6147" width="18.88671875" style="184" bestFit="1" customWidth="1"/>
    <col min="6148" max="6148" width="18.44140625" style="184" bestFit="1" customWidth="1"/>
    <col min="6149" max="6149" width="9.109375" style="184"/>
    <col min="6150" max="6150" width="11.88671875" style="184" bestFit="1" customWidth="1"/>
    <col min="6151" max="6395" width="9.109375" style="184"/>
    <col min="6396" max="6396" width="2.44140625" style="184" customWidth="1"/>
    <col min="6397" max="6397" width="2.88671875" style="184" customWidth="1"/>
    <col min="6398" max="6399" width="1.109375" style="184" customWidth="1"/>
    <col min="6400" max="6400" width="2.88671875" style="184" customWidth="1"/>
    <col min="6401" max="6401" width="55.109375" style="184" customWidth="1"/>
    <col min="6402" max="6402" width="10.44140625" style="184" customWidth="1"/>
    <col min="6403" max="6403" width="18.88671875" style="184" bestFit="1" customWidth="1"/>
    <col min="6404" max="6404" width="18.44140625" style="184" bestFit="1" customWidth="1"/>
    <col min="6405" max="6405" width="9.109375" style="184"/>
    <col min="6406" max="6406" width="11.88671875" style="184" bestFit="1" customWidth="1"/>
    <col min="6407" max="6651" width="9.109375" style="184"/>
    <col min="6652" max="6652" width="2.44140625" style="184" customWidth="1"/>
    <col min="6653" max="6653" width="2.88671875" style="184" customWidth="1"/>
    <col min="6654" max="6655" width="1.109375" style="184" customWidth="1"/>
    <col min="6656" max="6656" width="2.88671875" style="184" customWidth="1"/>
    <col min="6657" max="6657" width="55.109375" style="184" customWidth="1"/>
    <col min="6658" max="6658" width="10.44140625" style="184" customWidth="1"/>
    <col min="6659" max="6659" width="18.88671875" style="184" bestFit="1" customWidth="1"/>
    <col min="6660" max="6660" width="18.44140625" style="184" bestFit="1" customWidth="1"/>
    <col min="6661" max="6661" width="9.109375" style="184"/>
    <col min="6662" max="6662" width="11.88671875" style="184" bestFit="1" customWidth="1"/>
    <col min="6663" max="6907" width="9.109375" style="184"/>
    <col min="6908" max="6908" width="2.44140625" style="184" customWidth="1"/>
    <col min="6909" max="6909" width="2.88671875" style="184" customWidth="1"/>
    <col min="6910" max="6911" width="1.109375" style="184" customWidth="1"/>
    <col min="6912" max="6912" width="2.88671875" style="184" customWidth="1"/>
    <col min="6913" max="6913" width="55.109375" style="184" customWidth="1"/>
    <col min="6914" max="6914" width="10.44140625" style="184" customWidth="1"/>
    <col min="6915" max="6915" width="18.88671875" style="184" bestFit="1" customWidth="1"/>
    <col min="6916" max="6916" width="18.44140625" style="184" bestFit="1" customWidth="1"/>
    <col min="6917" max="6917" width="9.109375" style="184"/>
    <col min="6918" max="6918" width="11.88671875" style="184" bestFit="1" customWidth="1"/>
    <col min="6919" max="7163" width="9.109375" style="184"/>
    <col min="7164" max="7164" width="2.44140625" style="184" customWidth="1"/>
    <col min="7165" max="7165" width="2.88671875" style="184" customWidth="1"/>
    <col min="7166" max="7167" width="1.109375" style="184" customWidth="1"/>
    <col min="7168" max="7168" width="2.88671875" style="184" customWidth="1"/>
    <col min="7169" max="7169" width="55.109375" style="184" customWidth="1"/>
    <col min="7170" max="7170" width="10.44140625" style="184" customWidth="1"/>
    <col min="7171" max="7171" width="18.88671875" style="184" bestFit="1" customWidth="1"/>
    <col min="7172" max="7172" width="18.44140625" style="184" bestFit="1" customWidth="1"/>
    <col min="7173" max="7173" width="9.109375" style="184"/>
    <col min="7174" max="7174" width="11.88671875" style="184" bestFit="1" customWidth="1"/>
    <col min="7175" max="7419" width="9.109375" style="184"/>
    <col min="7420" max="7420" width="2.44140625" style="184" customWidth="1"/>
    <col min="7421" max="7421" width="2.88671875" style="184" customWidth="1"/>
    <col min="7422" max="7423" width="1.109375" style="184" customWidth="1"/>
    <col min="7424" max="7424" width="2.88671875" style="184" customWidth="1"/>
    <col min="7425" max="7425" width="55.109375" style="184" customWidth="1"/>
    <col min="7426" max="7426" width="10.44140625" style="184" customWidth="1"/>
    <col min="7427" max="7427" width="18.88671875" style="184" bestFit="1" customWidth="1"/>
    <col min="7428" max="7428" width="18.44140625" style="184" bestFit="1" customWidth="1"/>
    <col min="7429" max="7429" width="9.109375" style="184"/>
    <col min="7430" max="7430" width="11.88671875" style="184" bestFit="1" customWidth="1"/>
    <col min="7431" max="7675" width="9.109375" style="184"/>
    <col min="7676" max="7676" width="2.44140625" style="184" customWidth="1"/>
    <col min="7677" max="7677" width="2.88671875" style="184" customWidth="1"/>
    <col min="7678" max="7679" width="1.109375" style="184" customWidth="1"/>
    <col min="7680" max="7680" width="2.88671875" style="184" customWidth="1"/>
    <col min="7681" max="7681" width="55.109375" style="184" customWidth="1"/>
    <col min="7682" max="7682" width="10.44140625" style="184" customWidth="1"/>
    <col min="7683" max="7683" width="18.88671875" style="184" bestFit="1" customWidth="1"/>
    <col min="7684" max="7684" width="18.44140625" style="184" bestFit="1" customWidth="1"/>
    <col min="7685" max="7685" width="9.109375" style="184"/>
    <col min="7686" max="7686" width="11.88671875" style="184" bestFit="1" customWidth="1"/>
    <col min="7687" max="7931" width="9.109375" style="184"/>
    <col min="7932" max="7932" width="2.44140625" style="184" customWidth="1"/>
    <col min="7933" max="7933" width="2.88671875" style="184" customWidth="1"/>
    <col min="7934" max="7935" width="1.109375" style="184" customWidth="1"/>
    <col min="7936" max="7936" width="2.88671875" style="184" customWidth="1"/>
    <col min="7937" max="7937" width="55.109375" style="184" customWidth="1"/>
    <col min="7938" max="7938" width="10.44140625" style="184" customWidth="1"/>
    <col min="7939" max="7939" width="18.88671875" style="184" bestFit="1" customWidth="1"/>
    <col min="7940" max="7940" width="18.44140625" style="184" bestFit="1" customWidth="1"/>
    <col min="7941" max="7941" width="9.109375" style="184"/>
    <col min="7942" max="7942" width="11.88671875" style="184" bestFit="1" customWidth="1"/>
    <col min="7943" max="8187" width="9.109375" style="184"/>
    <col min="8188" max="8188" width="2.44140625" style="184" customWidth="1"/>
    <col min="8189" max="8189" width="2.88671875" style="184" customWidth="1"/>
    <col min="8190" max="8191" width="1.109375" style="184" customWidth="1"/>
    <col min="8192" max="8192" width="2.88671875" style="184" customWidth="1"/>
    <col min="8193" max="8193" width="55.109375" style="184" customWidth="1"/>
    <col min="8194" max="8194" width="10.44140625" style="184" customWidth="1"/>
    <col min="8195" max="8195" width="18.88671875" style="184" bestFit="1" customWidth="1"/>
    <col min="8196" max="8196" width="18.44140625" style="184" bestFit="1" customWidth="1"/>
    <col min="8197" max="8197" width="9.109375" style="184"/>
    <col min="8198" max="8198" width="11.88671875" style="184" bestFit="1" customWidth="1"/>
    <col min="8199" max="8443" width="9.109375" style="184"/>
    <col min="8444" max="8444" width="2.44140625" style="184" customWidth="1"/>
    <col min="8445" max="8445" width="2.88671875" style="184" customWidth="1"/>
    <col min="8446" max="8447" width="1.109375" style="184" customWidth="1"/>
    <col min="8448" max="8448" width="2.88671875" style="184" customWidth="1"/>
    <col min="8449" max="8449" width="55.109375" style="184" customWidth="1"/>
    <col min="8450" max="8450" width="10.44140625" style="184" customWidth="1"/>
    <col min="8451" max="8451" width="18.88671875" style="184" bestFit="1" customWidth="1"/>
    <col min="8452" max="8452" width="18.44140625" style="184" bestFit="1" customWidth="1"/>
    <col min="8453" max="8453" width="9.109375" style="184"/>
    <col min="8454" max="8454" width="11.88671875" style="184" bestFit="1" customWidth="1"/>
    <col min="8455" max="8699" width="9.109375" style="184"/>
    <col min="8700" max="8700" width="2.44140625" style="184" customWidth="1"/>
    <col min="8701" max="8701" width="2.88671875" style="184" customWidth="1"/>
    <col min="8702" max="8703" width="1.109375" style="184" customWidth="1"/>
    <col min="8704" max="8704" width="2.88671875" style="184" customWidth="1"/>
    <col min="8705" max="8705" width="55.109375" style="184" customWidth="1"/>
    <col min="8706" max="8706" width="10.44140625" style="184" customWidth="1"/>
    <col min="8707" max="8707" width="18.88671875" style="184" bestFit="1" customWidth="1"/>
    <col min="8708" max="8708" width="18.44140625" style="184" bestFit="1" customWidth="1"/>
    <col min="8709" max="8709" width="9.109375" style="184"/>
    <col min="8710" max="8710" width="11.88671875" style="184" bestFit="1" customWidth="1"/>
    <col min="8711" max="8955" width="9.109375" style="184"/>
    <col min="8956" max="8956" width="2.44140625" style="184" customWidth="1"/>
    <col min="8957" max="8957" width="2.88671875" style="184" customWidth="1"/>
    <col min="8958" max="8959" width="1.109375" style="184" customWidth="1"/>
    <col min="8960" max="8960" width="2.88671875" style="184" customWidth="1"/>
    <col min="8961" max="8961" width="55.109375" style="184" customWidth="1"/>
    <col min="8962" max="8962" width="10.44140625" style="184" customWidth="1"/>
    <col min="8963" max="8963" width="18.88671875" style="184" bestFit="1" customWidth="1"/>
    <col min="8964" max="8964" width="18.44140625" style="184" bestFit="1" customWidth="1"/>
    <col min="8965" max="8965" width="9.109375" style="184"/>
    <col min="8966" max="8966" width="11.88671875" style="184" bestFit="1" customWidth="1"/>
    <col min="8967" max="9211" width="9.109375" style="184"/>
    <col min="9212" max="9212" width="2.44140625" style="184" customWidth="1"/>
    <col min="9213" max="9213" width="2.88671875" style="184" customWidth="1"/>
    <col min="9214" max="9215" width="1.109375" style="184" customWidth="1"/>
    <col min="9216" max="9216" width="2.88671875" style="184" customWidth="1"/>
    <col min="9217" max="9217" width="55.109375" style="184" customWidth="1"/>
    <col min="9218" max="9218" width="10.44140625" style="184" customWidth="1"/>
    <col min="9219" max="9219" width="18.88671875" style="184" bestFit="1" customWidth="1"/>
    <col min="9220" max="9220" width="18.44140625" style="184" bestFit="1" customWidth="1"/>
    <col min="9221" max="9221" width="9.109375" style="184"/>
    <col min="9222" max="9222" width="11.88671875" style="184" bestFit="1" customWidth="1"/>
    <col min="9223" max="9467" width="9.109375" style="184"/>
    <col min="9468" max="9468" width="2.44140625" style="184" customWidth="1"/>
    <col min="9469" max="9469" width="2.88671875" style="184" customWidth="1"/>
    <col min="9470" max="9471" width="1.109375" style="184" customWidth="1"/>
    <col min="9472" max="9472" width="2.88671875" style="184" customWidth="1"/>
    <col min="9473" max="9473" width="55.109375" style="184" customWidth="1"/>
    <col min="9474" max="9474" width="10.44140625" style="184" customWidth="1"/>
    <col min="9475" max="9475" width="18.88671875" style="184" bestFit="1" customWidth="1"/>
    <col min="9476" max="9476" width="18.44140625" style="184" bestFit="1" customWidth="1"/>
    <col min="9477" max="9477" width="9.109375" style="184"/>
    <col min="9478" max="9478" width="11.88671875" style="184" bestFit="1" customWidth="1"/>
    <col min="9479" max="9723" width="9.109375" style="184"/>
    <col min="9724" max="9724" width="2.44140625" style="184" customWidth="1"/>
    <col min="9725" max="9725" width="2.88671875" style="184" customWidth="1"/>
    <col min="9726" max="9727" width="1.109375" style="184" customWidth="1"/>
    <col min="9728" max="9728" width="2.88671875" style="184" customWidth="1"/>
    <col min="9729" max="9729" width="55.109375" style="184" customWidth="1"/>
    <col min="9730" max="9730" width="10.44140625" style="184" customWidth="1"/>
    <col min="9731" max="9731" width="18.88671875" style="184" bestFit="1" customWidth="1"/>
    <col min="9732" max="9732" width="18.44140625" style="184" bestFit="1" customWidth="1"/>
    <col min="9733" max="9733" width="9.109375" style="184"/>
    <col min="9734" max="9734" width="11.88671875" style="184" bestFit="1" customWidth="1"/>
    <col min="9735" max="9979" width="9.109375" style="184"/>
    <col min="9980" max="9980" width="2.44140625" style="184" customWidth="1"/>
    <col min="9981" max="9981" width="2.88671875" style="184" customWidth="1"/>
    <col min="9982" max="9983" width="1.109375" style="184" customWidth="1"/>
    <col min="9984" max="9984" width="2.88671875" style="184" customWidth="1"/>
    <col min="9985" max="9985" width="55.109375" style="184" customWidth="1"/>
    <col min="9986" max="9986" width="10.44140625" style="184" customWidth="1"/>
    <col min="9987" max="9987" width="18.88671875" style="184" bestFit="1" customWidth="1"/>
    <col min="9988" max="9988" width="18.44140625" style="184" bestFit="1" customWidth="1"/>
    <col min="9989" max="9989" width="9.109375" style="184"/>
    <col min="9990" max="9990" width="11.88671875" style="184" bestFit="1" customWidth="1"/>
    <col min="9991" max="10235" width="9.109375" style="184"/>
    <col min="10236" max="10236" width="2.44140625" style="184" customWidth="1"/>
    <col min="10237" max="10237" width="2.88671875" style="184" customWidth="1"/>
    <col min="10238" max="10239" width="1.109375" style="184" customWidth="1"/>
    <col min="10240" max="10240" width="2.88671875" style="184" customWidth="1"/>
    <col min="10241" max="10241" width="55.109375" style="184" customWidth="1"/>
    <col min="10242" max="10242" width="10.44140625" style="184" customWidth="1"/>
    <col min="10243" max="10243" width="18.88671875" style="184" bestFit="1" customWidth="1"/>
    <col min="10244" max="10244" width="18.44140625" style="184" bestFit="1" customWidth="1"/>
    <col min="10245" max="10245" width="9.109375" style="184"/>
    <col min="10246" max="10246" width="11.88671875" style="184" bestFit="1" customWidth="1"/>
    <col min="10247" max="10491" width="9.109375" style="184"/>
    <col min="10492" max="10492" width="2.44140625" style="184" customWidth="1"/>
    <col min="10493" max="10493" width="2.88671875" style="184" customWidth="1"/>
    <col min="10494" max="10495" width="1.109375" style="184" customWidth="1"/>
    <col min="10496" max="10496" width="2.88671875" style="184" customWidth="1"/>
    <col min="10497" max="10497" width="55.109375" style="184" customWidth="1"/>
    <col min="10498" max="10498" width="10.44140625" style="184" customWidth="1"/>
    <col min="10499" max="10499" width="18.88671875" style="184" bestFit="1" customWidth="1"/>
    <col min="10500" max="10500" width="18.44140625" style="184" bestFit="1" customWidth="1"/>
    <col min="10501" max="10501" width="9.109375" style="184"/>
    <col min="10502" max="10502" width="11.88671875" style="184" bestFit="1" customWidth="1"/>
    <col min="10503" max="10747" width="9.109375" style="184"/>
    <col min="10748" max="10748" width="2.44140625" style="184" customWidth="1"/>
    <col min="10749" max="10749" width="2.88671875" style="184" customWidth="1"/>
    <col min="10750" max="10751" width="1.109375" style="184" customWidth="1"/>
    <col min="10752" max="10752" width="2.88671875" style="184" customWidth="1"/>
    <col min="10753" max="10753" width="55.109375" style="184" customWidth="1"/>
    <col min="10754" max="10754" width="10.44140625" style="184" customWidth="1"/>
    <col min="10755" max="10755" width="18.88671875" style="184" bestFit="1" customWidth="1"/>
    <col min="10756" max="10756" width="18.44140625" style="184" bestFit="1" customWidth="1"/>
    <col min="10757" max="10757" width="9.109375" style="184"/>
    <col min="10758" max="10758" width="11.88671875" style="184" bestFit="1" customWidth="1"/>
    <col min="10759" max="11003" width="9.109375" style="184"/>
    <col min="11004" max="11004" width="2.44140625" style="184" customWidth="1"/>
    <col min="11005" max="11005" width="2.88671875" style="184" customWidth="1"/>
    <col min="11006" max="11007" width="1.109375" style="184" customWidth="1"/>
    <col min="11008" max="11008" width="2.88671875" style="184" customWidth="1"/>
    <col min="11009" max="11009" width="55.109375" style="184" customWidth="1"/>
    <col min="11010" max="11010" width="10.44140625" style="184" customWidth="1"/>
    <col min="11011" max="11011" width="18.88671875" style="184" bestFit="1" customWidth="1"/>
    <col min="11012" max="11012" width="18.44140625" style="184" bestFit="1" customWidth="1"/>
    <col min="11013" max="11013" width="9.109375" style="184"/>
    <col min="11014" max="11014" width="11.88671875" style="184" bestFit="1" customWidth="1"/>
    <col min="11015" max="11259" width="9.109375" style="184"/>
    <col min="11260" max="11260" width="2.44140625" style="184" customWidth="1"/>
    <col min="11261" max="11261" width="2.88671875" style="184" customWidth="1"/>
    <col min="11262" max="11263" width="1.109375" style="184" customWidth="1"/>
    <col min="11264" max="11264" width="2.88671875" style="184" customWidth="1"/>
    <col min="11265" max="11265" width="55.109375" style="184" customWidth="1"/>
    <col min="11266" max="11266" width="10.44140625" style="184" customWidth="1"/>
    <col min="11267" max="11267" width="18.88671875" style="184" bestFit="1" customWidth="1"/>
    <col min="11268" max="11268" width="18.44140625" style="184" bestFit="1" customWidth="1"/>
    <col min="11269" max="11269" width="9.109375" style="184"/>
    <col min="11270" max="11270" width="11.88671875" style="184" bestFit="1" customWidth="1"/>
    <col min="11271" max="11515" width="9.109375" style="184"/>
    <col min="11516" max="11516" width="2.44140625" style="184" customWidth="1"/>
    <col min="11517" max="11517" width="2.88671875" style="184" customWidth="1"/>
    <col min="11518" max="11519" width="1.109375" style="184" customWidth="1"/>
    <col min="11520" max="11520" width="2.88671875" style="184" customWidth="1"/>
    <col min="11521" max="11521" width="55.109375" style="184" customWidth="1"/>
    <col min="11522" max="11522" width="10.44140625" style="184" customWidth="1"/>
    <col min="11523" max="11523" width="18.88671875" style="184" bestFit="1" customWidth="1"/>
    <col min="11524" max="11524" width="18.44140625" style="184" bestFit="1" customWidth="1"/>
    <col min="11525" max="11525" width="9.109375" style="184"/>
    <col min="11526" max="11526" width="11.88671875" style="184" bestFit="1" customWidth="1"/>
    <col min="11527" max="11771" width="9.109375" style="184"/>
    <col min="11772" max="11772" width="2.44140625" style="184" customWidth="1"/>
    <col min="11773" max="11773" width="2.88671875" style="184" customWidth="1"/>
    <col min="11774" max="11775" width="1.109375" style="184" customWidth="1"/>
    <col min="11776" max="11776" width="2.88671875" style="184" customWidth="1"/>
    <col min="11777" max="11777" width="55.109375" style="184" customWidth="1"/>
    <col min="11778" max="11778" width="10.44140625" style="184" customWidth="1"/>
    <col min="11779" max="11779" width="18.88671875" style="184" bestFit="1" customWidth="1"/>
    <col min="11780" max="11780" width="18.44140625" style="184" bestFit="1" customWidth="1"/>
    <col min="11781" max="11781" width="9.109375" style="184"/>
    <col min="11782" max="11782" width="11.88671875" style="184" bestFit="1" customWidth="1"/>
    <col min="11783" max="12027" width="9.109375" style="184"/>
    <col min="12028" max="12028" width="2.44140625" style="184" customWidth="1"/>
    <col min="12029" max="12029" width="2.88671875" style="184" customWidth="1"/>
    <col min="12030" max="12031" width="1.109375" style="184" customWidth="1"/>
    <col min="12032" max="12032" width="2.88671875" style="184" customWidth="1"/>
    <col min="12033" max="12033" width="55.109375" style="184" customWidth="1"/>
    <col min="12034" max="12034" width="10.44140625" style="184" customWidth="1"/>
    <col min="12035" max="12035" width="18.88671875" style="184" bestFit="1" customWidth="1"/>
    <col min="12036" max="12036" width="18.44140625" style="184" bestFit="1" customWidth="1"/>
    <col min="12037" max="12037" width="9.109375" style="184"/>
    <col min="12038" max="12038" width="11.88671875" style="184" bestFit="1" customWidth="1"/>
    <col min="12039" max="12283" width="9.109375" style="184"/>
    <col min="12284" max="12284" width="2.44140625" style="184" customWidth="1"/>
    <col min="12285" max="12285" width="2.88671875" style="184" customWidth="1"/>
    <col min="12286" max="12287" width="1.109375" style="184" customWidth="1"/>
    <col min="12288" max="12288" width="2.88671875" style="184" customWidth="1"/>
    <col min="12289" max="12289" width="55.109375" style="184" customWidth="1"/>
    <col min="12290" max="12290" width="10.44140625" style="184" customWidth="1"/>
    <col min="12291" max="12291" width="18.88671875" style="184" bestFit="1" customWidth="1"/>
    <col min="12292" max="12292" width="18.44140625" style="184" bestFit="1" customWidth="1"/>
    <col min="12293" max="12293" width="9.109375" style="184"/>
    <col min="12294" max="12294" width="11.88671875" style="184" bestFit="1" customWidth="1"/>
    <col min="12295" max="12539" width="9.109375" style="184"/>
    <col min="12540" max="12540" width="2.44140625" style="184" customWidth="1"/>
    <col min="12541" max="12541" width="2.88671875" style="184" customWidth="1"/>
    <col min="12542" max="12543" width="1.109375" style="184" customWidth="1"/>
    <col min="12544" max="12544" width="2.88671875" style="184" customWidth="1"/>
    <col min="12545" max="12545" width="55.109375" style="184" customWidth="1"/>
    <col min="12546" max="12546" width="10.44140625" style="184" customWidth="1"/>
    <col min="12547" max="12547" width="18.88671875" style="184" bestFit="1" customWidth="1"/>
    <col min="12548" max="12548" width="18.44140625" style="184" bestFit="1" customWidth="1"/>
    <col min="12549" max="12549" width="9.109375" style="184"/>
    <col min="12550" max="12550" width="11.88671875" style="184" bestFit="1" customWidth="1"/>
    <col min="12551" max="12795" width="9.109375" style="184"/>
    <col min="12796" max="12796" width="2.44140625" style="184" customWidth="1"/>
    <col min="12797" max="12797" width="2.88671875" style="184" customWidth="1"/>
    <col min="12798" max="12799" width="1.109375" style="184" customWidth="1"/>
    <col min="12800" max="12800" width="2.88671875" style="184" customWidth="1"/>
    <col min="12801" max="12801" width="55.109375" style="184" customWidth="1"/>
    <col min="12802" max="12802" width="10.44140625" style="184" customWidth="1"/>
    <col min="12803" max="12803" width="18.88671875" style="184" bestFit="1" customWidth="1"/>
    <col min="12804" max="12804" width="18.44140625" style="184" bestFit="1" customWidth="1"/>
    <col min="12805" max="12805" width="9.109375" style="184"/>
    <col min="12806" max="12806" width="11.88671875" style="184" bestFit="1" customWidth="1"/>
    <col min="12807" max="13051" width="9.109375" style="184"/>
    <col min="13052" max="13052" width="2.44140625" style="184" customWidth="1"/>
    <col min="13053" max="13053" width="2.88671875" style="184" customWidth="1"/>
    <col min="13054" max="13055" width="1.109375" style="184" customWidth="1"/>
    <col min="13056" max="13056" width="2.88671875" style="184" customWidth="1"/>
    <col min="13057" max="13057" width="55.109375" style="184" customWidth="1"/>
    <col min="13058" max="13058" width="10.44140625" style="184" customWidth="1"/>
    <col min="13059" max="13059" width="18.88671875" style="184" bestFit="1" customWidth="1"/>
    <col min="13060" max="13060" width="18.44140625" style="184" bestFit="1" customWidth="1"/>
    <col min="13061" max="13061" width="9.109375" style="184"/>
    <col min="13062" max="13062" width="11.88671875" style="184" bestFit="1" customWidth="1"/>
    <col min="13063" max="13307" width="9.109375" style="184"/>
    <col min="13308" max="13308" width="2.44140625" style="184" customWidth="1"/>
    <col min="13309" max="13309" width="2.88671875" style="184" customWidth="1"/>
    <col min="13310" max="13311" width="1.109375" style="184" customWidth="1"/>
    <col min="13312" max="13312" width="2.88671875" style="184" customWidth="1"/>
    <col min="13313" max="13313" width="55.109375" style="184" customWidth="1"/>
    <col min="13314" max="13314" width="10.44140625" style="184" customWidth="1"/>
    <col min="13315" max="13315" width="18.88671875" style="184" bestFit="1" customWidth="1"/>
    <col min="13316" max="13316" width="18.44140625" style="184" bestFit="1" customWidth="1"/>
    <col min="13317" max="13317" width="9.109375" style="184"/>
    <col min="13318" max="13318" width="11.88671875" style="184" bestFit="1" customWidth="1"/>
    <col min="13319" max="13563" width="9.109375" style="184"/>
    <col min="13564" max="13564" width="2.44140625" style="184" customWidth="1"/>
    <col min="13565" max="13565" width="2.88671875" style="184" customWidth="1"/>
    <col min="13566" max="13567" width="1.109375" style="184" customWidth="1"/>
    <col min="13568" max="13568" width="2.88671875" style="184" customWidth="1"/>
    <col min="13569" max="13569" width="55.109375" style="184" customWidth="1"/>
    <col min="13570" max="13570" width="10.44140625" style="184" customWidth="1"/>
    <col min="13571" max="13571" width="18.88671875" style="184" bestFit="1" customWidth="1"/>
    <col min="13572" max="13572" width="18.44140625" style="184" bestFit="1" customWidth="1"/>
    <col min="13573" max="13573" width="9.109375" style="184"/>
    <col min="13574" max="13574" width="11.88671875" style="184" bestFit="1" customWidth="1"/>
    <col min="13575" max="13819" width="9.109375" style="184"/>
    <col min="13820" max="13820" width="2.44140625" style="184" customWidth="1"/>
    <col min="13821" max="13821" width="2.88671875" style="184" customWidth="1"/>
    <col min="13822" max="13823" width="1.109375" style="184" customWidth="1"/>
    <col min="13824" max="13824" width="2.88671875" style="184" customWidth="1"/>
    <col min="13825" max="13825" width="55.109375" style="184" customWidth="1"/>
    <col min="13826" max="13826" width="10.44140625" style="184" customWidth="1"/>
    <col min="13827" max="13827" width="18.88671875" style="184" bestFit="1" customWidth="1"/>
    <col min="13828" max="13828" width="18.44140625" style="184" bestFit="1" customWidth="1"/>
    <col min="13829" max="13829" width="9.109375" style="184"/>
    <col min="13830" max="13830" width="11.88671875" style="184" bestFit="1" customWidth="1"/>
    <col min="13831" max="14075" width="9.109375" style="184"/>
    <col min="14076" max="14076" width="2.44140625" style="184" customWidth="1"/>
    <col min="14077" max="14077" width="2.88671875" style="184" customWidth="1"/>
    <col min="14078" max="14079" width="1.109375" style="184" customWidth="1"/>
    <col min="14080" max="14080" width="2.88671875" style="184" customWidth="1"/>
    <col min="14081" max="14081" width="55.109375" style="184" customWidth="1"/>
    <col min="14082" max="14082" width="10.44140625" style="184" customWidth="1"/>
    <col min="14083" max="14083" width="18.88671875" style="184" bestFit="1" customWidth="1"/>
    <col min="14084" max="14084" width="18.44140625" style="184" bestFit="1" customWidth="1"/>
    <col min="14085" max="14085" width="9.109375" style="184"/>
    <col min="14086" max="14086" width="11.88671875" style="184" bestFit="1" customWidth="1"/>
    <col min="14087" max="14331" width="9.109375" style="184"/>
    <col min="14332" max="14332" width="2.44140625" style="184" customWidth="1"/>
    <col min="14333" max="14333" width="2.88671875" style="184" customWidth="1"/>
    <col min="14334" max="14335" width="1.109375" style="184" customWidth="1"/>
    <col min="14336" max="14336" width="2.88671875" style="184" customWidth="1"/>
    <col min="14337" max="14337" width="55.109375" style="184" customWidth="1"/>
    <col min="14338" max="14338" width="10.44140625" style="184" customWidth="1"/>
    <col min="14339" max="14339" width="18.88671875" style="184" bestFit="1" customWidth="1"/>
    <col min="14340" max="14340" width="18.44140625" style="184" bestFit="1" customWidth="1"/>
    <col min="14341" max="14341" width="9.109375" style="184"/>
    <col min="14342" max="14342" width="11.88671875" style="184" bestFit="1" customWidth="1"/>
    <col min="14343" max="14587" width="9.109375" style="184"/>
    <col min="14588" max="14588" width="2.44140625" style="184" customWidth="1"/>
    <col min="14589" max="14589" width="2.88671875" style="184" customWidth="1"/>
    <col min="14590" max="14591" width="1.109375" style="184" customWidth="1"/>
    <col min="14592" max="14592" width="2.88671875" style="184" customWidth="1"/>
    <col min="14593" max="14593" width="55.109375" style="184" customWidth="1"/>
    <col min="14594" max="14594" width="10.44140625" style="184" customWidth="1"/>
    <col min="14595" max="14595" width="18.88671875" style="184" bestFit="1" customWidth="1"/>
    <col min="14596" max="14596" width="18.44140625" style="184" bestFit="1" customWidth="1"/>
    <col min="14597" max="14597" width="9.109375" style="184"/>
    <col min="14598" max="14598" width="11.88671875" style="184" bestFit="1" customWidth="1"/>
    <col min="14599" max="14843" width="9.109375" style="184"/>
    <col min="14844" max="14844" width="2.44140625" style="184" customWidth="1"/>
    <col min="14845" max="14845" width="2.88671875" style="184" customWidth="1"/>
    <col min="14846" max="14847" width="1.109375" style="184" customWidth="1"/>
    <col min="14848" max="14848" width="2.88671875" style="184" customWidth="1"/>
    <col min="14849" max="14849" width="55.109375" style="184" customWidth="1"/>
    <col min="14850" max="14850" width="10.44140625" style="184" customWidth="1"/>
    <col min="14851" max="14851" width="18.88671875" style="184" bestFit="1" customWidth="1"/>
    <col min="14852" max="14852" width="18.44140625" style="184" bestFit="1" customWidth="1"/>
    <col min="14853" max="14853" width="9.109375" style="184"/>
    <col min="14854" max="14854" width="11.88671875" style="184" bestFit="1" customWidth="1"/>
    <col min="14855" max="15099" width="9.109375" style="184"/>
    <col min="15100" max="15100" width="2.44140625" style="184" customWidth="1"/>
    <col min="15101" max="15101" width="2.88671875" style="184" customWidth="1"/>
    <col min="15102" max="15103" width="1.109375" style="184" customWidth="1"/>
    <col min="15104" max="15104" width="2.88671875" style="184" customWidth="1"/>
    <col min="15105" max="15105" width="55.109375" style="184" customWidth="1"/>
    <col min="15106" max="15106" width="10.44140625" style="184" customWidth="1"/>
    <col min="15107" max="15107" width="18.88671875" style="184" bestFit="1" customWidth="1"/>
    <col min="15108" max="15108" width="18.44140625" style="184" bestFit="1" customWidth="1"/>
    <col min="15109" max="15109" width="9.109375" style="184"/>
    <col min="15110" max="15110" width="11.88671875" style="184" bestFit="1" customWidth="1"/>
    <col min="15111" max="15355" width="9.109375" style="184"/>
    <col min="15356" max="15356" width="2.44140625" style="184" customWidth="1"/>
    <col min="15357" max="15357" width="2.88671875" style="184" customWidth="1"/>
    <col min="15358" max="15359" width="1.109375" style="184" customWidth="1"/>
    <col min="15360" max="15360" width="2.88671875" style="184" customWidth="1"/>
    <col min="15361" max="15361" width="55.109375" style="184" customWidth="1"/>
    <col min="15362" max="15362" width="10.44140625" style="184" customWidth="1"/>
    <col min="15363" max="15363" width="18.88671875" style="184" bestFit="1" customWidth="1"/>
    <col min="15364" max="15364" width="18.44140625" style="184" bestFit="1" customWidth="1"/>
    <col min="15365" max="15365" width="9.109375" style="184"/>
    <col min="15366" max="15366" width="11.88671875" style="184" bestFit="1" customWidth="1"/>
    <col min="15367" max="15611" width="9.109375" style="184"/>
    <col min="15612" max="15612" width="2.44140625" style="184" customWidth="1"/>
    <col min="15613" max="15613" width="2.88671875" style="184" customWidth="1"/>
    <col min="15614" max="15615" width="1.109375" style="184" customWidth="1"/>
    <col min="15616" max="15616" width="2.88671875" style="184" customWidth="1"/>
    <col min="15617" max="15617" width="55.109375" style="184" customWidth="1"/>
    <col min="15618" max="15618" width="10.44140625" style="184" customWidth="1"/>
    <col min="15619" max="15619" width="18.88671875" style="184" bestFit="1" customWidth="1"/>
    <col min="15620" max="15620" width="18.44140625" style="184" bestFit="1" customWidth="1"/>
    <col min="15621" max="15621" width="9.109375" style="184"/>
    <col min="15622" max="15622" width="11.88671875" style="184" bestFit="1" customWidth="1"/>
    <col min="15623" max="15867" width="9.109375" style="184"/>
    <col min="15868" max="15868" width="2.44140625" style="184" customWidth="1"/>
    <col min="15869" max="15869" width="2.88671875" style="184" customWidth="1"/>
    <col min="15870" max="15871" width="1.109375" style="184" customWidth="1"/>
    <col min="15872" max="15872" width="2.88671875" style="184" customWidth="1"/>
    <col min="15873" max="15873" width="55.109375" style="184" customWidth="1"/>
    <col min="15874" max="15874" width="10.44140625" style="184" customWidth="1"/>
    <col min="15875" max="15875" width="18.88671875" style="184" bestFit="1" customWidth="1"/>
    <col min="15876" max="15876" width="18.44140625" style="184" bestFit="1" customWidth="1"/>
    <col min="15877" max="15877" width="9.109375" style="184"/>
    <col min="15878" max="15878" width="11.88671875" style="184" bestFit="1" customWidth="1"/>
    <col min="15879" max="16123" width="9.109375" style="184"/>
    <col min="16124" max="16124" width="2.44140625" style="184" customWidth="1"/>
    <col min="16125" max="16125" width="2.88671875" style="184" customWidth="1"/>
    <col min="16126" max="16127" width="1.109375" style="184" customWidth="1"/>
    <col min="16128" max="16128" width="2.88671875" style="184" customWidth="1"/>
    <col min="16129" max="16129" width="55.109375" style="184" customWidth="1"/>
    <col min="16130" max="16130" width="10.44140625" style="184" customWidth="1"/>
    <col min="16131" max="16131" width="18.88671875" style="184" bestFit="1" customWidth="1"/>
    <col min="16132" max="16132" width="18.44140625" style="184" bestFit="1" customWidth="1"/>
    <col min="16133" max="16133" width="9.109375" style="184"/>
    <col min="16134" max="16134" width="11.88671875" style="184" bestFit="1" customWidth="1"/>
    <col min="16135" max="16384" width="9.109375" style="184"/>
  </cols>
  <sheetData>
    <row r="1" spans="1:8" ht="14.85" customHeight="1" x14ac:dyDescent="0.25">
      <c r="A1" s="263"/>
      <c r="B1" s="263"/>
      <c r="C1" s="263"/>
      <c r="D1" s="263"/>
    </row>
    <row r="2" spans="1:8" x14ac:dyDescent="0.25">
      <c r="A2" s="263"/>
      <c r="B2" s="263"/>
      <c r="C2" s="263"/>
      <c r="D2" s="263"/>
    </row>
    <row r="3" spans="1:8" x14ac:dyDescent="0.25">
      <c r="A3" s="263"/>
      <c r="B3" s="263"/>
      <c r="C3" s="263"/>
      <c r="D3" s="263"/>
    </row>
    <row r="4" spans="1:8" x14ac:dyDescent="0.25">
      <c r="A4" s="263"/>
      <c r="B4" s="263"/>
      <c r="C4" s="263"/>
      <c r="D4" s="263"/>
    </row>
    <row r="5" spans="1:8" x14ac:dyDescent="0.25">
      <c r="A5" s="263"/>
      <c r="B5" s="263"/>
      <c r="C5" s="263"/>
      <c r="D5" s="263"/>
    </row>
    <row r="6" spans="1:8" x14ac:dyDescent="0.25">
      <c r="A6" s="263"/>
      <c r="B6" s="263"/>
      <c r="C6" s="263"/>
      <c r="D6" s="263"/>
    </row>
    <row r="7" spans="1:8" x14ac:dyDescent="0.25">
      <c r="A7" s="264" t="str">
        <f>"PEMERINTAH "&amp;[1]Entitas!C4&amp;" "&amp;[1]Entitas!C3</f>
        <v>PEMERINTAH KABUPATEN SUMBAWA BARAT</v>
      </c>
      <c r="B7" s="264"/>
      <c r="C7" s="264"/>
      <c r="D7" s="264"/>
    </row>
    <row r="8" spans="1:8" x14ac:dyDescent="0.25">
      <c r="A8" s="264" t="s">
        <v>168</v>
      </c>
      <c r="B8" s="264"/>
      <c r="C8" s="264"/>
      <c r="D8" s="264"/>
    </row>
    <row r="9" spans="1:8" x14ac:dyDescent="0.25">
      <c r="A9" s="264" t="str">
        <f>"UNTUK TAHUN YANG BERAKHIR SAMPAI DENGAN 31 DESEMBER "&amp;[1]Entitas!C9&amp;" DAN "&amp;[1]Entitas!C9-1</f>
        <v>UNTUK TAHUN YANG BERAKHIR SAMPAI DENGAN 31 DESEMBER 2025 DAN 2024</v>
      </c>
      <c r="B9" s="264"/>
      <c r="C9" s="264"/>
      <c r="D9" s="264"/>
    </row>
    <row r="10" spans="1:8" s="187" customFormat="1" x14ac:dyDescent="0.25">
      <c r="A10" s="185"/>
      <c r="B10" s="185"/>
      <c r="C10" s="185"/>
      <c r="D10" s="185"/>
      <c r="E10" s="186"/>
    </row>
    <row r="11" spans="1:8" s="187" customFormat="1" x14ac:dyDescent="0.25">
      <c r="A11" s="185"/>
      <c r="B11" s="185"/>
      <c r="C11" s="185"/>
      <c r="D11" s="188" t="s">
        <v>57</v>
      </c>
      <c r="E11" s="266"/>
      <c r="F11" s="266"/>
      <c r="G11" s="266"/>
      <c r="H11" s="266"/>
    </row>
    <row r="12" spans="1:8" ht="26.1" customHeight="1" x14ac:dyDescent="0.25">
      <c r="A12" s="100" t="s">
        <v>1</v>
      </c>
      <c r="B12" s="100" t="s">
        <v>2</v>
      </c>
      <c r="C12" s="101" t="str">
        <f>"TAHUN "&amp;[1]Entitas!C9</f>
        <v>TAHUN 2025</v>
      </c>
      <c r="D12" s="101" t="str">
        <f>"TAHUN "&amp;[1]Entitas!C9-1</f>
        <v>TAHUN 2024</v>
      </c>
      <c r="E12" s="189"/>
      <c r="F12" s="189"/>
      <c r="G12" s="110"/>
      <c r="H12" s="110"/>
    </row>
    <row r="13" spans="1:8" x14ac:dyDescent="0.25">
      <c r="A13" s="190"/>
      <c r="B13" s="190"/>
      <c r="C13" s="191"/>
      <c r="D13" s="191"/>
    </row>
    <row r="14" spans="1:8" x14ac:dyDescent="0.25">
      <c r="A14" s="192" t="s">
        <v>169</v>
      </c>
      <c r="B14" s="193" t="s">
        <v>345</v>
      </c>
      <c r="C14" s="194"/>
      <c r="D14" s="194"/>
      <c r="F14" s="195"/>
      <c r="G14" s="196"/>
      <c r="H14" s="196"/>
    </row>
    <row r="15" spans="1:8" x14ac:dyDescent="0.25">
      <c r="A15" s="197" t="s">
        <v>170</v>
      </c>
      <c r="B15" s="136" t="s">
        <v>346</v>
      </c>
      <c r="C15" s="106">
        <v>2881112824093.9399</v>
      </c>
      <c r="D15" s="106">
        <v>2191893631484.8101</v>
      </c>
      <c r="F15" s="195"/>
      <c r="G15" s="196"/>
      <c r="H15" s="196"/>
    </row>
    <row r="16" spans="1:8" x14ac:dyDescent="0.25">
      <c r="A16" s="198" t="s">
        <v>6</v>
      </c>
      <c r="B16" s="108" t="s">
        <v>348</v>
      </c>
      <c r="C16" s="112">
        <v>116547605456</v>
      </c>
      <c r="D16" s="112">
        <v>106869886739</v>
      </c>
      <c r="F16" s="195"/>
      <c r="G16" s="196"/>
      <c r="H16" s="196"/>
    </row>
    <row r="17" spans="1:8" x14ac:dyDescent="0.25">
      <c r="A17" s="198" t="s">
        <v>7</v>
      </c>
      <c r="B17" s="108" t="s">
        <v>349</v>
      </c>
      <c r="C17" s="112">
        <v>12110315742</v>
      </c>
      <c r="D17" s="112">
        <v>8061317063</v>
      </c>
      <c r="F17" s="199"/>
      <c r="G17" s="196"/>
      <c r="H17" s="196"/>
    </row>
    <row r="18" spans="1:8" x14ac:dyDescent="0.25">
      <c r="A18" s="198" t="s">
        <v>8</v>
      </c>
      <c r="B18" s="108" t="s">
        <v>350</v>
      </c>
      <c r="C18" s="112">
        <v>7754789855</v>
      </c>
      <c r="D18" s="112">
        <v>7673963553</v>
      </c>
      <c r="F18" s="199"/>
      <c r="G18" s="196"/>
      <c r="H18" s="196"/>
    </row>
    <row r="19" spans="1:8" x14ac:dyDescent="0.25">
      <c r="A19" s="198" t="s">
        <v>171</v>
      </c>
      <c r="B19" s="108" t="s">
        <v>351</v>
      </c>
      <c r="C19" s="112">
        <v>94493634692.440002</v>
      </c>
      <c r="D19" s="112">
        <v>88265357446.809998</v>
      </c>
      <c r="F19" s="199"/>
      <c r="G19" s="196"/>
      <c r="H19" s="196"/>
    </row>
    <row r="20" spans="1:8" x14ac:dyDescent="0.25">
      <c r="A20" s="198" t="s">
        <v>11</v>
      </c>
      <c r="B20" s="108" t="s">
        <v>352</v>
      </c>
      <c r="C20" s="112">
        <v>2282648598101</v>
      </c>
      <c r="D20" s="112">
        <v>1020370894861</v>
      </c>
      <c r="F20" s="199"/>
      <c r="G20" s="196"/>
      <c r="H20" s="196"/>
    </row>
    <row r="21" spans="1:8" x14ac:dyDescent="0.25">
      <c r="A21" s="198" t="s">
        <v>18</v>
      </c>
      <c r="B21" s="108" t="s">
        <v>353</v>
      </c>
      <c r="C21" s="112">
        <v>69086105120</v>
      </c>
      <c r="D21" s="112">
        <v>124693969711</v>
      </c>
      <c r="F21" s="195"/>
      <c r="G21" s="196"/>
      <c r="H21" s="196"/>
    </row>
    <row r="22" spans="1:8" x14ac:dyDescent="0.25">
      <c r="A22" s="198" t="s">
        <v>22</v>
      </c>
      <c r="B22" s="108" t="s">
        <v>354</v>
      </c>
      <c r="C22" s="237">
        <v>0</v>
      </c>
      <c r="D22" s="112">
        <v>8828000</v>
      </c>
      <c r="G22" s="196"/>
      <c r="H22" s="196"/>
    </row>
    <row r="23" spans="1:8" ht="27.6" x14ac:dyDescent="0.25">
      <c r="A23" s="198" t="s">
        <v>23</v>
      </c>
      <c r="B23" s="108" t="s">
        <v>355</v>
      </c>
      <c r="C23" s="112">
        <v>298471775127.5</v>
      </c>
      <c r="D23" s="112">
        <v>835949414111</v>
      </c>
      <c r="F23" s="195"/>
      <c r="G23" s="196"/>
      <c r="H23" s="196"/>
    </row>
    <row r="24" spans="1:8" x14ac:dyDescent="0.25">
      <c r="A24" s="197" t="s">
        <v>172</v>
      </c>
      <c r="B24" s="136" t="s">
        <v>347</v>
      </c>
      <c r="C24" s="106">
        <v>1498620154321.97</v>
      </c>
      <c r="D24" s="106">
        <v>1351480813445.73</v>
      </c>
      <c r="F24" s="195"/>
      <c r="G24" s="196"/>
      <c r="H24" s="196"/>
    </row>
    <row r="25" spans="1:8" x14ac:dyDescent="0.25">
      <c r="A25" s="198" t="s">
        <v>26</v>
      </c>
      <c r="B25" s="200" t="s">
        <v>356</v>
      </c>
      <c r="C25" s="112">
        <v>587895147363</v>
      </c>
      <c r="D25" s="112">
        <v>504599443369.97998</v>
      </c>
      <c r="F25" s="195"/>
      <c r="G25" s="196"/>
      <c r="H25" s="196"/>
    </row>
    <row r="26" spans="1:8" x14ac:dyDescent="0.25">
      <c r="A26" s="198" t="s">
        <v>27</v>
      </c>
      <c r="B26" s="200" t="s">
        <v>357</v>
      </c>
      <c r="C26" s="112">
        <v>658266899846.96997</v>
      </c>
      <c r="D26" s="112">
        <v>590036550619.75</v>
      </c>
      <c r="F26" s="195"/>
      <c r="G26" s="196"/>
      <c r="H26" s="196"/>
    </row>
    <row r="27" spans="1:8" x14ac:dyDescent="0.25">
      <c r="A27" s="198" t="s">
        <v>28</v>
      </c>
      <c r="B27" s="200" t="s">
        <v>358</v>
      </c>
      <c r="C27" s="112">
        <v>54495863552</v>
      </c>
      <c r="D27" s="112">
        <v>60030578713</v>
      </c>
      <c r="F27" s="195"/>
      <c r="G27" s="196"/>
      <c r="H27" s="196"/>
    </row>
    <row r="28" spans="1:8" x14ac:dyDescent="0.25">
      <c r="A28" s="198" t="s">
        <v>29</v>
      </c>
      <c r="B28" s="200" t="s">
        <v>359</v>
      </c>
      <c r="C28" s="112">
        <v>14314100000</v>
      </c>
      <c r="D28" s="112">
        <v>21845800000</v>
      </c>
      <c r="F28" s="195"/>
      <c r="G28" s="196"/>
      <c r="H28" s="196"/>
    </row>
    <row r="29" spans="1:8" x14ac:dyDescent="0.25">
      <c r="A29" s="198" t="s">
        <v>38</v>
      </c>
      <c r="B29" s="200" t="s">
        <v>360</v>
      </c>
      <c r="C29" s="112">
        <v>2043118598</v>
      </c>
      <c r="D29" s="112">
        <v>3364608300</v>
      </c>
      <c r="F29" s="195"/>
      <c r="G29" s="196"/>
      <c r="H29" s="196"/>
    </row>
    <row r="30" spans="1:8" x14ac:dyDescent="0.25">
      <c r="A30" s="198" t="s">
        <v>40</v>
      </c>
      <c r="B30" s="200" t="s">
        <v>361</v>
      </c>
      <c r="C30" s="112">
        <v>9960296381</v>
      </c>
      <c r="D30" s="112">
        <v>10552527397</v>
      </c>
      <c r="F30" s="195"/>
      <c r="G30" s="196"/>
      <c r="H30" s="196"/>
    </row>
    <row r="31" spans="1:8" x14ac:dyDescent="0.25">
      <c r="A31" s="198" t="s">
        <v>42</v>
      </c>
      <c r="B31" s="200" t="s">
        <v>362</v>
      </c>
      <c r="C31" s="112">
        <v>171644728581</v>
      </c>
      <c r="D31" s="112">
        <v>161051305046</v>
      </c>
      <c r="F31" s="195"/>
      <c r="G31" s="196"/>
      <c r="H31" s="196"/>
    </row>
    <row r="32" spans="1:8" x14ac:dyDescent="0.25">
      <c r="A32" s="202" t="s">
        <v>173</v>
      </c>
      <c r="B32" s="203"/>
      <c r="C32" s="204">
        <v>1382492669771.97</v>
      </c>
      <c r="D32" s="204">
        <v>840412818039.08008</v>
      </c>
      <c r="F32" s="195"/>
      <c r="G32" s="196"/>
      <c r="H32" s="196"/>
    </row>
    <row r="33" spans="1:8" x14ac:dyDescent="0.25">
      <c r="A33" s="200"/>
      <c r="B33" s="201"/>
      <c r="C33" s="112"/>
      <c r="D33" s="112"/>
      <c r="G33" s="196"/>
      <c r="H33" s="196"/>
    </row>
    <row r="34" spans="1:8" x14ac:dyDescent="0.25">
      <c r="A34" s="192" t="s">
        <v>174</v>
      </c>
      <c r="B34" s="193" t="s">
        <v>363</v>
      </c>
      <c r="C34" s="194"/>
      <c r="D34" s="194"/>
      <c r="F34" s="195"/>
      <c r="G34" s="196"/>
      <c r="H34" s="196"/>
    </row>
    <row r="35" spans="1:8" x14ac:dyDescent="0.25">
      <c r="A35" s="197" t="s">
        <v>175</v>
      </c>
      <c r="B35" s="136" t="s">
        <v>366</v>
      </c>
      <c r="C35" s="106">
        <v>606468577</v>
      </c>
      <c r="D35" s="235">
        <v>0</v>
      </c>
      <c r="F35" s="195"/>
      <c r="G35" s="196"/>
      <c r="H35" s="196"/>
    </row>
    <row r="36" spans="1:8" x14ac:dyDescent="0.25">
      <c r="A36" s="198" t="s">
        <v>176</v>
      </c>
      <c r="B36" s="200" t="s">
        <v>368</v>
      </c>
      <c r="C36" s="112">
        <v>606468577</v>
      </c>
      <c r="D36" s="237">
        <v>0</v>
      </c>
      <c r="F36" s="195"/>
      <c r="G36" s="196"/>
      <c r="H36" s="196"/>
    </row>
    <row r="37" spans="1:8" x14ac:dyDescent="0.25">
      <c r="A37" s="197" t="s">
        <v>177</v>
      </c>
      <c r="B37" s="136" t="s">
        <v>367</v>
      </c>
      <c r="C37" s="106">
        <v>571178192639</v>
      </c>
      <c r="D37" s="106">
        <v>737563721966</v>
      </c>
      <c r="F37" s="195"/>
      <c r="G37" s="196"/>
      <c r="H37" s="196"/>
    </row>
    <row r="38" spans="1:8" x14ac:dyDescent="0.25">
      <c r="A38" s="198" t="s">
        <v>31</v>
      </c>
      <c r="B38" s="200" t="s">
        <v>369</v>
      </c>
      <c r="C38" s="112">
        <v>14918666272</v>
      </c>
      <c r="D38" s="112">
        <v>64694958117</v>
      </c>
      <c r="F38" s="195"/>
      <c r="G38" s="196"/>
      <c r="H38" s="196"/>
    </row>
    <row r="39" spans="1:8" x14ac:dyDescent="0.25">
      <c r="A39" s="198" t="s">
        <v>32</v>
      </c>
      <c r="B39" s="200" t="s">
        <v>370</v>
      </c>
      <c r="C39" s="112">
        <v>104519745081</v>
      </c>
      <c r="D39" s="112">
        <v>100320013039</v>
      </c>
      <c r="F39" s="195"/>
      <c r="G39" s="196"/>
      <c r="H39" s="196"/>
    </row>
    <row r="40" spans="1:8" x14ac:dyDescent="0.25">
      <c r="A40" s="198" t="s">
        <v>33</v>
      </c>
      <c r="B40" s="200" t="s">
        <v>371</v>
      </c>
      <c r="C40" s="112">
        <v>117608552753</v>
      </c>
      <c r="D40" s="112">
        <v>138034850857</v>
      </c>
      <c r="F40" s="195"/>
      <c r="G40" s="196"/>
      <c r="H40" s="196"/>
    </row>
    <row r="41" spans="1:8" x14ac:dyDescent="0.25">
      <c r="A41" s="198" t="s">
        <v>34</v>
      </c>
      <c r="B41" s="200" t="s">
        <v>372</v>
      </c>
      <c r="C41" s="112">
        <v>317616860031</v>
      </c>
      <c r="D41" s="112">
        <v>380208673163</v>
      </c>
      <c r="F41" s="195"/>
      <c r="G41" s="196"/>
      <c r="H41" s="196"/>
    </row>
    <row r="42" spans="1:8" x14ac:dyDescent="0.25">
      <c r="A42" s="198" t="s">
        <v>35</v>
      </c>
      <c r="B42" s="200" t="s">
        <v>373</v>
      </c>
      <c r="C42" s="112">
        <v>4206116502</v>
      </c>
      <c r="D42" s="112">
        <v>4224281790</v>
      </c>
      <c r="F42" s="195"/>
      <c r="G42" s="196"/>
      <c r="H42" s="196"/>
    </row>
    <row r="43" spans="1:8" x14ac:dyDescent="0.25">
      <c r="A43" s="198" t="s">
        <v>36</v>
      </c>
      <c r="B43" s="200" t="s">
        <v>374</v>
      </c>
      <c r="C43" s="112">
        <v>1951532000</v>
      </c>
      <c r="D43" s="112">
        <v>80945000</v>
      </c>
      <c r="F43" s="195"/>
      <c r="G43" s="196"/>
      <c r="H43" s="196"/>
    </row>
    <row r="44" spans="1:8" x14ac:dyDescent="0.25">
      <c r="A44" s="198" t="s">
        <v>50</v>
      </c>
      <c r="B44" s="200" t="s">
        <v>375</v>
      </c>
      <c r="C44" s="112">
        <v>10356720000</v>
      </c>
      <c r="D44" s="112">
        <v>50000000000</v>
      </c>
      <c r="F44" s="195"/>
      <c r="G44" s="196"/>
      <c r="H44" s="196"/>
    </row>
    <row r="45" spans="1:8" x14ac:dyDescent="0.25">
      <c r="A45" s="202" t="s">
        <v>178</v>
      </c>
      <c r="B45" s="203"/>
      <c r="C45" s="204">
        <v>-570571724062</v>
      </c>
      <c r="D45" s="204">
        <v>-737563721966</v>
      </c>
      <c r="F45" s="195"/>
      <c r="G45" s="196"/>
      <c r="H45" s="196"/>
    </row>
    <row r="46" spans="1:8" x14ac:dyDescent="0.25">
      <c r="A46" s="200"/>
      <c r="B46" s="201"/>
      <c r="C46" s="112"/>
      <c r="D46" s="112"/>
      <c r="G46" s="196"/>
      <c r="H46" s="196"/>
    </row>
    <row r="47" spans="1:8" x14ac:dyDescent="0.25">
      <c r="A47" s="192" t="s">
        <v>179</v>
      </c>
      <c r="B47" s="193" t="s">
        <v>364</v>
      </c>
      <c r="C47" s="194"/>
      <c r="D47" s="194"/>
      <c r="G47" s="196"/>
      <c r="H47" s="196"/>
    </row>
    <row r="48" spans="1:8" x14ac:dyDescent="0.25">
      <c r="A48" s="197" t="s">
        <v>180</v>
      </c>
      <c r="B48" s="136" t="s">
        <v>376</v>
      </c>
      <c r="C48" s="106">
        <v>1193696160</v>
      </c>
      <c r="D48" s="106">
        <v>530696892</v>
      </c>
      <c r="G48" s="196"/>
      <c r="H48" s="196"/>
    </row>
    <row r="49" spans="1:8" x14ac:dyDescent="0.25">
      <c r="A49" s="198" t="s">
        <v>48</v>
      </c>
      <c r="B49" s="200" t="s">
        <v>378</v>
      </c>
      <c r="C49" s="112">
        <v>1193696160</v>
      </c>
      <c r="D49" s="112">
        <v>530696892</v>
      </c>
      <c r="G49" s="196"/>
      <c r="H49" s="196"/>
    </row>
    <row r="50" spans="1:8" x14ac:dyDescent="0.25">
      <c r="A50" s="197" t="s">
        <v>181</v>
      </c>
      <c r="B50" s="136" t="s">
        <v>377</v>
      </c>
      <c r="C50" s="235">
        <v>0</v>
      </c>
      <c r="D50" s="235">
        <v>0</v>
      </c>
      <c r="G50" s="196"/>
      <c r="H50" s="196"/>
    </row>
    <row r="51" spans="1:8" x14ac:dyDescent="0.25">
      <c r="A51" s="198"/>
      <c r="B51" s="201"/>
      <c r="C51" s="112"/>
      <c r="D51" s="112"/>
      <c r="G51" s="196"/>
      <c r="H51" s="196"/>
    </row>
    <row r="52" spans="1:8" x14ac:dyDescent="0.25">
      <c r="A52" s="202" t="s">
        <v>182</v>
      </c>
      <c r="B52" s="203"/>
      <c r="C52" s="204">
        <v>1193696160</v>
      </c>
      <c r="D52" s="204">
        <v>530696892</v>
      </c>
      <c r="G52" s="196"/>
      <c r="H52" s="196"/>
    </row>
    <row r="53" spans="1:8" x14ac:dyDescent="0.25">
      <c r="A53" s="200"/>
      <c r="B53" s="201"/>
      <c r="C53" s="112"/>
      <c r="D53" s="112"/>
      <c r="G53" s="196"/>
      <c r="H53" s="196"/>
    </row>
    <row r="54" spans="1:8" x14ac:dyDescent="0.25">
      <c r="A54" s="192" t="s">
        <v>183</v>
      </c>
      <c r="B54" s="193" t="s">
        <v>365</v>
      </c>
      <c r="C54" s="194"/>
      <c r="D54" s="194"/>
      <c r="G54" s="196"/>
      <c r="H54" s="196"/>
    </row>
    <row r="55" spans="1:8" x14ac:dyDescent="0.25">
      <c r="A55" s="197" t="s">
        <v>184</v>
      </c>
      <c r="B55" s="136" t="s">
        <v>379</v>
      </c>
      <c r="C55" s="106">
        <v>178867357738.01999</v>
      </c>
      <c r="D55" s="106">
        <v>132839239754</v>
      </c>
      <c r="G55" s="196"/>
      <c r="H55" s="196"/>
    </row>
    <row r="56" spans="1:8" x14ac:dyDescent="0.25">
      <c r="A56" s="198" t="s">
        <v>185</v>
      </c>
      <c r="B56" s="200" t="s">
        <v>381</v>
      </c>
      <c r="C56" s="112">
        <v>166903364738.01999</v>
      </c>
      <c r="D56" s="112">
        <v>114074606811</v>
      </c>
      <c r="G56" s="196"/>
      <c r="H56" s="196"/>
    </row>
    <row r="57" spans="1:8" ht="27.6" x14ac:dyDescent="0.25">
      <c r="A57" s="198" t="s">
        <v>186</v>
      </c>
      <c r="B57" s="200" t="s">
        <v>382</v>
      </c>
      <c r="C57" s="112">
        <v>11963993000</v>
      </c>
      <c r="D57" s="112">
        <v>18762142943</v>
      </c>
      <c r="G57" s="196"/>
      <c r="H57" s="196"/>
    </row>
    <row r="58" spans="1:8" x14ac:dyDescent="0.25">
      <c r="A58" s="198" t="s">
        <v>187</v>
      </c>
      <c r="B58" s="200" t="s">
        <v>383</v>
      </c>
      <c r="C58" s="237">
        <v>0</v>
      </c>
      <c r="D58" s="112">
        <v>2490000</v>
      </c>
      <c r="G58" s="196"/>
      <c r="H58" s="196"/>
    </row>
    <row r="59" spans="1:8" x14ac:dyDescent="0.25">
      <c r="A59" s="197" t="s">
        <v>188</v>
      </c>
      <c r="B59" s="136" t="s">
        <v>380</v>
      </c>
      <c r="C59" s="106">
        <v>178867422738.01999</v>
      </c>
      <c r="D59" s="106">
        <v>132801995811</v>
      </c>
      <c r="G59" s="196"/>
      <c r="H59" s="196"/>
    </row>
    <row r="60" spans="1:8" x14ac:dyDescent="0.25">
      <c r="A60" s="198" t="s">
        <v>189</v>
      </c>
      <c r="B60" s="200" t="s">
        <v>384</v>
      </c>
      <c r="C60" s="112">
        <v>166903429738.01999</v>
      </c>
      <c r="D60" s="112">
        <v>114074606811</v>
      </c>
      <c r="G60" s="196"/>
      <c r="H60" s="196"/>
    </row>
    <row r="61" spans="1:8" ht="16.350000000000001" customHeight="1" x14ac:dyDescent="0.25">
      <c r="A61" s="198" t="s">
        <v>190</v>
      </c>
      <c r="B61" s="200" t="s">
        <v>385</v>
      </c>
      <c r="C61" s="112">
        <v>11963993000</v>
      </c>
      <c r="D61" s="112">
        <v>18727389000</v>
      </c>
      <c r="G61" s="196"/>
      <c r="H61" s="196"/>
    </row>
    <row r="62" spans="1:8" x14ac:dyDescent="0.25">
      <c r="A62" s="198" t="s">
        <v>191</v>
      </c>
      <c r="B62" s="200" t="s">
        <v>386</v>
      </c>
      <c r="C62" s="237">
        <v>0</v>
      </c>
      <c r="D62" s="237">
        <v>0</v>
      </c>
      <c r="G62" s="196"/>
      <c r="H62" s="196"/>
    </row>
    <row r="63" spans="1:8" x14ac:dyDescent="0.25">
      <c r="A63" s="202" t="s">
        <v>192</v>
      </c>
      <c r="B63" s="203"/>
      <c r="C63" s="204">
        <v>-65000</v>
      </c>
      <c r="D63" s="204">
        <v>37243943</v>
      </c>
      <c r="G63" s="196"/>
      <c r="H63" s="196"/>
    </row>
    <row r="64" spans="1:8" x14ac:dyDescent="0.25">
      <c r="A64" s="200"/>
      <c r="B64" s="201"/>
      <c r="C64" s="112"/>
      <c r="D64" s="112"/>
      <c r="G64" s="196"/>
      <c r="H64" s="196"/>
    </row>
    <row r="65" spans="1:8" x14ac:dyDescent="0.25">
      <c r="A65" s="103" t="s">
        <v>193</v>
      </c>
      <c r="B65" s="205" t="s">
        <v>387</v>
      </c>
      <c r="C65" s="104">
        <v>813114576869.96997</v>
      </c>
      <c r="D65" s="104">
        <v>103417036908.08008</v>
      </c>
      <c r="F65" s="195"/>
      <c r="G65" s="196"/>
      <c r="H65" s="196"/>
    </row>
    <row r="66" spans="1:8" x14ac:dyDescent="0.25">
      <c r="A66" s="200"/>
      <c r="B66" s="201"/>
      <c r="C66" s="112"/>
      <c r="D66" s="112"/>
      <c r="F66" s="241"/>
      <c r="G66" s="196"/>
      <c r="H66" s="196"/>
    </row>
    <row r="67" spans="1:8" x14ac:dyDescent="0.25">
      <c r="A67" s="103" t="s">
        <v>194</v>
      </c>
      <c r="B67" s="205" t="s">
        <v>388</v>
      </c>
      <c r="C67" s="104">
        <v>331601213062.02002</v>
      </c>
      <c r="D67" s="104">
        <v>228217596094.40997</v>
      </c>
      <c r="F67" s="195"/>
      <c r="G67" s="196"/>
      <c r="H67" s="196"/>
    </row>
    <row r="68" spans="1:8" x14ac:dyDescent="0.25">
      <c r="A68" s="200"/>
      <c r="B68" s="201"/>
      <c r="C68" s="112"/>
      <c r="D68" s="112"/>
      <c r="G68" s="196"/>
      <c r="H68" s="196"/>
    </row>
    <row r="69" spans="1:8" x14ac:dyDescent="0.25">
      <c r="A69" s="103" t="s">
        <v>195</v>
      </c>
      <c r="B69" s="205" t="s">
        <v>389</v>
      </c>
      <c r="C69" s="104">
        <v>13585000</v>
      </c>
      <c r="D69" s="104">
        <v>-33484940.469999999</v>
      </c>
      <c r="F69" s="195"/>
      <c r="G69" s="196"/>
      <c r="H69" s="196"/>
    </row>
    <row r="70" spans="1:8" x14ac:dyDescent="0.25">
      <c r="A70" s="206"/>
      <c r="B70" s="207"/>
      <c r="C70" s="102"/>
      <c r="D70" s="102"/>
      <c r="G70" s="196"/>
      <c r="H70" s="196"/>
    </row>
    <row r="71" spans="1:8" x14ac:dyDescent="0.25">
      <c r="A71" s="103" t="s">
        <v>196</v>
      </c>
      <c r="B71" s="205"/>
      <c r="C71" s="239">
        <v>0</v>
      </c>
      <c r="D71" s="104">
        <v>13650000</v>
      </c>
      <c r="G71" s="196"/>
      <c r="H71" s="196"/>
    </row>
    <row r="72" spans="1:8" ht="14.4" thickBot="1" x14ac:dyDescent="0.3">
      <c r="A72" s="200"/>
      <c r="B72" s="201"/>
      <c r="C72" s="112"/>
      <c r="D72" s="112"/>
      <c r="G72" s="196"/>
      <c r="H72" s="196"/>
    </row>
    <row r="73" spans="1:8" ht="26.1" customHeight="1" x14ac:dyDescent="0.25">
      <c r="A73" s="208" t="s">
        <v>197</v>
      </c>
      <c r="B73" s="238" t="s">
        <v>390</v>
      </c>
      <c r="C73" s="209">
        <v>1144729374931.99</v>
      </c>
      <c r="D73" s="209">
        <v>331614798062.02002</v>
      </c>
      <c r="F73" s="195"/>
      <c r="G73" s="196"/>
      <c r="H73" s="196"/>
    </row>
    <row r="74" spans="1:8" ht="6.6" customHeight="1" x14ac:dyDescent="0.25">
      <c r="B74" s="210"/>
      <c r="C74" s="211"/>
      <c r="D74" s="212"/>
    </row>
    <row r="75" spans="1:8" ht="16.350000000000001" customHeight="1" x14ac:dyDescent="0.25">
      <c r="A75" s="243" t="s">
        <v>55</v>
      </c>
      <c r="B75" s="243"/>
      <c r="C75" s="243"/>
      <c r="D75" s="243"/>
      <c r="F75" s="195"/>
    </row>
    <row r="76" spans="1:8" ht="16.350000000000001" customHeight="1" x14ac:dyDescent="0.25">
      <c r="A76" s="243"/>
      <c r="B76" s="243"/>
      <c r="C76" s="243"/>
      <c r="D76" s="243"/>
      <c r="F76" s="195"/>
    </row>
    <row r="77" spans="1:8" x14ac:dyDescent="0.25">
      <c r="B77" s="210"/>
      <c r="C77" s="211"/>
      <c r="D77" s="212"/>
    </row>
    <row r="78" spans="1:8" x14ac:dyDescent="0.25">
      <c r="B78" s="210"/>
      <c r="C78" s="211"/>
      <c r="D78" s="212"/>
    </row>
    <row r="79" spans="1:8" ht="17.399999999999999" x14ac:dyDescent="0.3">
      <c r="C79" s="265" t="str">
        <f>[1]Entitas!C5&amp;" "&amp;[1]Entitas!C3</f>
        <v>BUPATI SUMBAWA BARAT</v>
      </c>
      <c r="D79" s="265"/>
    </row>
    <row r="80" spans="1:8" ht="17.399999999999999" x14ac:dyDescent="0.3">
      <c r="C80" s="265"/>
      <c r="D80" s="265"/>
    </row>
    <row r="81" spans="3:4" ht="17.399999999999999" x14ac:dyDescent="0.3">
      <c r="C81" s="213"/>
      <c r="D81" s="213"/>
    </row>
    <row r="82" spans="3:4" ht="17.399999999999999" x14ac:dyDescent="0.3">
      <c r="C82" s="214"/>
      <c r="D82" s="215"/>
    </row>
    <row r="83" spans="3:4" ht="17.399999999999999" hidden="1" x14ac:dyDescent="0.3">
      <c r="C83" s="267"/>
      <c r="D83" s="267"/>
    </row>
    <row r="84" spans="3:4" ht="17.399999999999999" hidden="1" x14ac:dyDescent="0.3">
      <c r="C84" s="268"/>
      <c r="D84" s="268"/>
    </row>
    <row r="85" spans="3:4" ht="17.399999999999999" x14ac:dyDescent="0.3">
      <c r="C85" s="216"/>
      <c r="D85" s="217"/>
    </row>
    <row r="86" spans="3:4" ht="17.399999999999999" x14ac:dyDescent="0.3">
      <c r="C86" s="265" t="str">
        <f>[1]Entitas!C6</f>
        <v>H. AMAR NURMANSYAH, ST.,M.Si</v>
      </c>
      <c r="D86" s="265"/>
    </row>
  </sheetData>
  <mergeCells count="11">
    <mergeCell ref="E11:H11"/>
    <mergeCell ref="C79:D79"/>
    <mergeCell ref="C80:D80"/>
    <mergeCell ref="C83:D83"/>
    <mergeCell ref="C84:D84"/>
    <mergeCell ref="A75:D76"/>
    <mergeCell ref="A1:D6"/>
    <mergeCell ref="A7:D7"/>
    <mergeCell ref="A8:D8"/>
    <mergeCell ref="A9:D9"/>
    <mergeCell ref="C86:D86"/>
  </mergeCells>
  <printOptions horizontalCentered="1"/>
  <pageMargins left="1.1811023622047245" right="0.78740157480314965" top="0.59055118110236227" bottom="1.1811023622047245" header="0.39370078740157483" footer="0.59055118110236227"/>
  <pageSetup paperSize="9" scale="72"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42FA-CDAE-4A3C-8D18-300E8F0AFF8C}">
  <sheetPr codeName="Sheet19">
    <tabColor rgb="FF1B6744"/>
    <pageSetUpPr fitToPage="1"/>
  </sheetPr>
  <dimension ref="A1:H52"/>
  <sheetViews>
    <sheetView tabSelected="1" view="pageBreakPreview" zoomScale="85" zoomScaleNormal="100" zoomScaleSheetLayoutView="85" workbookViewId="0">
      <selection activeCell="C14" sqref="C14:D28"/>
    </sheetView>
  </sheetViews>
  <sheetFormatPr defaultColWidth="8.88671875" defaultRowHeight="13.8" x14ac:dyDescent="0.3"/>
  <cols>
    <col min="1" max="1" width="40.88671875" style="71" bestFit="1" customWidth="1"/>
    <col min="2" max="2" width="10.109375" style="71" bestFit="1" customWidth="1"/>
    <col min="3" max="3" width="24.44140625" style="71" bestFit="1" customWidth="1"/>
    <col min="4" max="4" width="26.5546875" style="71" customWidth="1"/>
    <col min="5" max="8" width="22.88671875" style="71" bestFit="1" customWidth="1"/>
    <col min="9" max="256" width="8.88671875" style="71"/>
    <col min="257" max="257" width="59.88671875" style="71" bestFit="1" customWidth="1"/>
    <col min="258" max="258" width="10.44140625" style="71" customWidth="1"/>
    <col min="259" max="260" width="18" style="71" bestFit="1" customWidth="1"/>
    <col min="261" max="261" width="15.44140625" style="71" bestFit="1" customWidth="1"/>
    <col min="262" max="512" width="8.88671875" style="71"/>
    <col min="513" max="513" width="59.88671875" style="71" bestFit="1" customWidth="1"/>
    <col min="514" max="514" width="10.44140625" style="71" customWidth="1"/>
    <col min="515" max="516" width="18" style="71" bestFit="1" customWidth="1"/>
    <col min="517" max="517" width="15.44140625" style="71" bestFit="1" customWidth="1"/>
    <col min="518" max="768" width="8.88671875" style="71"/>
    <col min="769" max="769" width="59.88671875" style="71" bestFit="1" customWidth="1"/>
    <col min="770" max="770" width="10.44140625" style="71" customWidth="1"/>
    <col min="771" max="772" width="18" style="71" bestFit="1" customWidth="1"/>
    <col min="773" max="773" width="15.44140625" style="71" bestFit="1" customWidth="1"/>
    <col min="774" max="1024" width="8.88671875" style="71"/>
    <col min="1025" max="1025" width="59.88671875" style="71" bestFit="1" customWidth="1"/>
    <col min="1026" max="1026" width="10.44140625" style="71" customWidth="1"/>
    <col min="1027" max="1028" width="18" style="71" bestFit="1" customWidth="1"/>
    <col min="1029" max="1029" width="15.44140625" style="71" bestFit="1" customWidth="1"/>
    <col min="1030" max="1280" width="8.88671875" style="71"/>
    <col min="1281" max="1281" width="59.88671875" style="71" bestFit="1" customWidth="1"/>
    <col min="1282" max="1282" width="10.44140625" style="71" customWidth="1"/>
    <col min="1283" max="1284" width="18" style="71" bestFit="1" customWidth="1"/>
    <col min="1285" max="1285" width="15.44140625" style="71" bestFit="1" customWidth="1"/>
    <col min="1286" max="1536" width="8.88671875" style="71"/>
    <col min="1537" max="1537" width="59.88671875" style="71" bestFit="1" customWidth="1"/>
    <col min="1538" max="1538" width="10.44140625" style="71" customWidth="1"/>
    <col min="1539" max="1540" width="18" style="71" bestFit="1" customWidth="1"/>
    <col min="1541" max="1541" width="15.44140625" style="71" bestFit="1" customWidth="1"/>
    <col min="1542" max="1792" width="8.88671875" style="71"/>
    <col min="1793" max="1793" width="59.88671875" style="71" bestFit="1" customWidth="1"/>
    <col min="1794" max="1794" width="10.44140625" style="71" customWidth="1"/>
    <col min="1795" max="1796" width="18" style="71" bestFit="1" customWidth="1"/>
    <col min="1797" max="1797" width="15.44140625" style="71" bestFit="1" customWidth="1"/>
    <col min="1798" max="2048" width="8.88671875" style="71"/>
    <col min="2049" max="2049" width="59.88671875" style="71" bestFit="1" customWidth="1"/>
    <col min="2050" max="2050" width="10.44140625" style="71" customWidth="1"/>
    <col min="2051" max="2052" width="18" style="71" bestFit="1" customWidth="1"/>
    <col min="2053" max="2053" width="15.44140625" style="71" bestFit="1" customWidth="1"/>
    <col min="2054" max="2304" width="8.88671875" style="71"/>
    <col min="2305" max="2305" width="59.88671875" style="71" bestFit="1" customWidth="1"/>
    <col min="2306" max="2306" width="10.44140625" style="71" customWidth="1"/>
    <col min="2307" max="2308" width="18" style="71" bestFit="1" customWidth="1"/>
    <col min="2309" max="2309" width="15.44140625" style="71" bestFit="1" customWidth="1"/>
    <col min="2310" max="2560" width="8.88671875" style="71"/>
    <col min="2561" max="2561" width="59.88671875" style="71" bestFit="1" customWidth="1"/>
    <col min="2562" max="2562" width="10.44140625" style="71" customWidth="1"/>
    <col min="2563" max="2564" width="18" style="71" bestFit="1" customWidth="1"/>
    <col min="2565" max="2565" width="15.44140625" style="71" bestFit="1" customWidth="1"/>
    <col min="2566" max="2816" width="8.88671875" style="71"/>
    <col min="2817" max="2817" width="59.88671875" style="71" bestFit="1" customWidth="1"/>
    <col min="2818" max="2818" width="10.44140625" style="71" customWidth="1"/>
    <col min="2819" max="2820" width="18" style="71" bestFit="1" customWidth="1"/>
    <col min="2821" max="2821" width="15.44140625" style="71" bestFit="1" customWidth="1"/>
    <col min="2822" max="3072" width="8.88671875" style="71"/>
    <col min="3073" max="3073" width="59.88671875" style="71" bestFit="1" customWidth="1"/>
    <col min="3074" max="3074" width="10.44140625" style="71" customWidth="1"/>
    <col min="3075" max="3076" width="18" style="71" bestFit="1" customWidth="1"/>
    <col min="3077" max="3077" width="15.44140625" style="71" bestFit="1" customWidth="1"/>
    <col min="3078" max="3328" width="8.88671875" style="71"/>
    <col min="3329" max="3329" width="59.88671875" style="71" bestFit="1" customWidth="1"/>
    <col min="3330" max="3330" width="10.44140625" style="71" customWidth="1"/>
    <col min="3331" max="3332" width="18" style="71" bestFit="1" customWidth="1"/>
    <col min="3333" max="3333" width="15.44140625" style="71" bestFit="1" customWidth="1"/>
    <col min="3334" max="3584" width="8.88671875" style="71"/>
    <col min="3585" max="3585" width="59.88671875" style="71" bestFit="1" customWidth="1"/>
    <col min="3586" max="3586" width="10.44140625" style="71" customWidth="1"/>
    <col min="3587" max="3588" width="18" style="71" bestFit="1" customWidth="1"/>
    <col min="3589" max="3589" width="15.44140625" style="71" bestFit="1" customWidth="1"/>
    <col min="3590" max="3840" width="8.88671875" style="71"/>
    <col min="3841" max="3841" width="59.88671875" style="71" bestFit="1" customWidth="1"/>
    <col min="3842" max="3842" width="10.44140625" style="71" customWidth="1"/>
    <col min="3843" max="3844" width="18" style="71" bestFit="1" customWidth="1"/>
    <col min="3845" max="3845" width="15.44140625" style="71" bestFit="1" customWidth="1"/>
    <col min="3846" max="4096" width="8.88671875" style="71"/>
    <col min="4097" max="4097" width="59.88671875" style="71" bestFit="1" customWidth="1"/>
    <col min="4098" max="4098" width="10.44140625" style="71" customWidth="1"/>
    <col min="4099" max="4100" width="18" style="71" bestFit="1" customWidth="1"/>
    <col min="4101" max="4101" width="15.44140625" style="71" bestFit="1" customWidth="1"/>
    <col min="4102" max="4352" width="8.88671875" style="71"/>
    <col min="4353" max="4353" width="59.88671875" style="71" bestFit="1" customWidth="1"/>
    <col min="4354" max="4354" width="10.44140625" style="71" customWidth="1"/>
    <col min="4355" max="4356" width="18" style="71" bestFit="1" customWidth="1"/>
    <col min="4357" max="4357" width="15.44140625" style="71" bestFit="1" customWidth="1"/>
    <col min="4358" max="4608" width="8.88671875" style="71"/>
    <col min="4609" max="4609" width="59.88671875" style="71" bestFit="1" customWidth="1"/>
    <col min="4610" max="4610" width="10.44140625" style="71" customWidth="1"/>
    <col min="4611" max="4612" width="18" style="71" bestFit="1" customWidth="1"/>
    <col min="4613" max="4613" width="15.44140625" style="71" bestFit="1" customWidth="1"/>
    <col min="4614" max="4864" width="8.88671875" style="71"/>
    <col min="4865" max="4865" width="59.88671875" style="71" bestFit="1" customWidth="1"/>
    <col min="4866" max="4866" width="10.44140625" style="71" customWidth="1"/>
    <col min="4867" max="4868" width="18" style="71" bestFit="1" customWidth="1"/>
    <col min="4869" max="4869" width="15.44140625" style="71" bestFit="1" customWidth="1"/>
    <col min="4870" max="5120" width="8.88671875" style="71"/>
    <col min="5121" max="5121" width="59.88671875" style="71" bestFit="1" customWidth="1"/>
    <col min="5122" max="5122" width="10.44140625" style="71" customWidth="1"/>
    <col min="5123" max="5124" width="18" style="71" bestFit="1" customWidth="1"/>
    <col min="5125" max="5125" width="15.44140625" style="71" bestFit="1" customWidth="1"/>
    <col min="5126" max="5376" width="8.88671875" style="71"/>
    <col min="5377" max="5377" width="59.88671875" style="71" bestFit="1" customWidth="1"/>
    <col min="5378" max="5378" width="10.44140625" style="71" customWidth="1"/>
    <col min="5379" max="5380" width="18" style="71" bestFit="1" customWidth="1"/>
    <col min="5381" max="5381" width="15.44140625" style="71" bestFit="1" customWidth="1"/>
    <col min="5382" max="5632" width="8.88671875" style="71"/>
    <col min="5633" max="5633" width="59.88671875" style="71" bestFit="1" customWidth="1"/>
    <col min="5634" max="5634" width="10.44140625" style="71" customWidth="1"/>
    <col min="5635" max="5636" width="18" style="71" bestFit="1" customWidth="1"/>
    <col min="5637" max="5637" width="15.44140625" style="71" bestFit="1" customWidth="1"/>
    <col min="5638" max="5888" width="8.88671875" style="71"/>
    <col min="5889" max="5889" width="59.88671875" style="71" bestFit="1" customWidth="1"/>
    <col min="5890" max="5890" width="10.44140625" style="71" customWidth="1"/>
    <col min="5891" max="5892" width="18" style="71" bestFit="1" customWidth="1"/>
    <col min="5893" max="5893" width="15.44140625" style="71" bestFit="1" customWidth="1"/>
    <col min="5894" max="6144" width="8.88671875" style="71"/>
    <col min="6145" max="6145" width="59.88671875" style="71" bestFit="1" customWidth="1"/>
    <col min="6146" max="6146" width="10.44140625" style="71" customWidth="1"/>
    <col min="6147" max="6148" width="18" style="71" bestFit="1" customWidth="1"/>
    <col min="6149" max="6149" width="15.44140625" style="71" bestFit="1" customWidth="1"/>
    <col min="6150" max="6400" width="8.88671875" style="71"/>
    <col min="6401" max="6401" width="59.88671875" style="71" bestFit="1" customWidth="1"/>
    <col min="6402" max="6402" width="10.44140625" style="71" customWidth="1"/>
    <col min="6403" max="6404" width="18" style="71" bestFit="1" customWidth="1"/>
    <col min="6405" max="6405" width="15.44140625" style="71" bestFit="1" customWidth="1"/>
    <col min="6406" max="6656" width="8.88671875" style="71"/>
    <col min="6657" max="6657" width="59.88671875" style="71" bestFit="1" customWidth="1"/>
    <col min="6658" max="6658" width="10.44140625" style="71" customWidth="1"/>
    <col min="6659" max="6660" width="18" style="71" bestFit="1" customWidth="1"/>
    <col min="6661" max="6661" width="15.44140625" style="71" bestFit="1" customWidth="1"/>
    <col min="6662" max="6912" width="8.88671875" style="71"/>
    <col min="6913" max="6913" width="59.88671875" style="71" bestFit="1" customWidth="1"/>
    <col min="6914" max="6914" width="10.44140625" style="71" customWidth="1"/>
    <col min="6915" max="6916" width="18" style="71" bestFit="1" customWidth="1"/>
    <col min="6917" max="6917" width="15.44140625" style="71" bestFit="1" customWidth="1"/>
    <col min="6918" max="7168" width="8.88671875" style="71"/>
    <col min="7169" max="7169" width="59.88671875" style="71" bestFit="1" customWidth="1"/>
    <col min="7170" max="7170" width="10.44140625" style="71" customWidth="1"/>
    <col min="7171" max="7172" width="18" style="71" bestFit="1" customWidth="1"/>
    <col min="7173" max="7173" width="15.44140625" style="71" bestFit="1" customWidth="1"/>
    <col min="7174" max="7424" width="8.88671875" style="71"/>
    <col min="7425" max="7425" width="59.88671875" style="71" bestFit="1" customWidth="1"/>
    <col min="7426" max="7426" width="10.44140625" style="71" customWidth="1"/>
    <col min="7427" max="7428" width="18" style="71" bestFit="1" customWidth="1"/>
    <col min="7429" max="7429" width="15.44140625" style="71" bestFit="1" customWidth="1"/>
    <col min="7430" max="7680" width="8.88671875" style="71"/>
    <col min="7681" max="7681" width="59.88671875" style="71" bestFit="1" customWidth="1"/>
    <col min="7682" max="7682" width="10.44140625" style="71" customWidth="1"/>
    <col min="7683" max="7684" width="18" style="71" bestFit="1" customWidth="1"/>
    <col min="7685" max="7685" width="15.44140625" style="71" bestFit="1" customWidth="1"/>
    <col min="7686" max="7936" width="8.88671875" style="71"/>
    <col min="7937" max="7937" width="59.88671875" style="71" bestFit="1" customWidth="1"/>
    <col min="7938" max="7938" width="10.44140625" style="71" customWidth="1"/>
    <col min="7939" max="7940" width="18" style="71" bestFit="1" customWidth="1"/>
    <col min="7941" max="7941" width="15.44140625" style="71" bestFit="1" customWidth="1"/>
    <col min="7942" max="8192" width="8.88671875" style="71"/>
    <col min="8193" max="8193" width="59.88671875" style="71" bestFit="1" customWidth="1"/>
    <col min="8194" max="8194" width="10.44140625" style="71" customWidth="1"/>
    <col min="8195" max="8196" width="18" style="71" bestFit="1" customWidth="1"/>
    <col min="8197" max="8197" width="15.44140625" style="71" bestFit="1" customWidth="1"/>
    <col min="8198" max="8448" width="8.88671875" style="71"/>
    <col min="8449" max="8449" width="59.88671875" style="71" bestFit="1" customWidth="1"/>
    <col min="8450" max="8450" width="10.44140625" style="71" customWidth="1"/>
    <col min="8451" max="8452" width="18" style="71" bestFit="1" customWidth="1"/>
    <col min="8453" max="8453" width="15.44140625" style="71" bestFit="1" customWidth="1"/>
    <col min="8454" max="8704" width="8.88671875" style="71"/>
    <col min="8705" max="8705" width="59.88671875" style="71" bestFit="1" customWidth="1"/>
    <col min="8706" max="8706" width="10.44140625" style="71" customWidth="1"/>
    <col min="8707" max="8708" width="18" style="71" bestFit="1" customWidth="1"/>
    <col min="8709" max="8709" width="15.44140625" style="71" bestFit="1" customWidth="1"/>
    <col min="8710" max="8960" width="8.88671875" style="71"/>
    <col min="8961" max="8961" width="59.88671875" style="71" bestFit="1" customWidth="1"/>
    <col min="8962" max="8962" width="10.44140625" style="71" customWidth="1"/>
    <col min="8963" max="8964" width="18" style="71" bestFit="1" customWidth="1"/>
    <col min="8965" max="8965" width="15.44140625" style="71" bestFit="1" customWidth="1"/>
    <col min="8966" max="9216" width="8.88671875" style="71"/>
    <col min="9217" max="9217" width="59.88671875" style="71" bestFit="1" customWidth="1"/>
    <col min="9218" max="9218" width="10.44140625" style="71" customWidth="1"/>
    <col min="9219" max="9220" width="18" style="71" bestFit="1" customWidth="1"/>
    <col min="9221" max="9221" width="15.44140625" style="71" bestFit="1" customWidth="1"/>
    <col min="9222" max="9472" width="8.88671875" style="71"/>
    <col min="9473" max="9473" width="59.88671875" style="71" bestFit="1" customWidth="1"/>
    <col min="9474" max="9474" width="10.44140625" style="71" customWidth="1"/>
    <col min="9475" max="9476" width="18" style="71" bestFit="1" customWidth="1"/>
    <col min="9477" max="9477" width="15.44140625" style="71" bestFit="1" customWidth="1"/>
    <col min="9478" max="9728" width="8.88671875" style="71"/>
    <col min="9729" max="9729" width="59.88671875" style="71" bestFit="1" customWidth="1"/>
    <col min="9730" max="9730" width="10.44140625" style="71" customWidth="1"/>
    <col min="9731" max="9732" width="18" style="71" bestFit="1" customWidth="1"/>
    <col min="9733" max="9733" width="15.44140625" style="71" bestFit="1" customWidth="1"/>
    <col min="9734" max="9984" width="8.88671875" style="71"/>
    <col min="9985" max="9985" width="59.88671875" style="71" bestFit="1" customWidth="1"/>
    <col min="9986" max="9986" width="10.44140625" style="71" customWidth="1"/>
    <col min="9987" max="9988" width="18" style="71" bestFit="1" customWidth="1"/>
    <col min="9989" max="9989" width="15.44140625" style="71" bestFit="1" customWidth="1"/>
    <col min="9990" max="10240" width="8.88671875" style="71"/>
    <col min="10241" max="10241" width="59.88671875" style="71" bestFit="1" customWidth="1"/>
    <col min="10242" max="10242" width="10.44140625" style="71" customWidth="1"/>
    <col min="10243" max="10244" width="18" style="71" bestFit="1" customWidth="1"/>
    <col min="10245" max="10245" width="15.44140625" style="71" bestFit="1" customWidth="1"/>
    <col min="10246" max="10496" width="8.88671875" style="71"/>
    <col min="10497" max="10497" width="59.88671875" style="71" bestFit="1" customWidth="1"/>
    <col min="10498" max="10498" width="10.44140625" style="71" customWidth="1"/>
    <col min="10499" max="10500" width="18" style="71" bestFit="1" customWidth="1"/>
    <col min="10501" max="10501" width="15.44140625" style="71" bestFit="1" customWidth="1"/>
    <col min="10502" max="10752" width="8.88671875" style="71"/>
    <col min="10753" max="10753" width="59.88671875" style="71" bestFit="1" customWidth="1"/>
    <col min="10754" max="10754" width="10.44140625" style="71" customWidth="1"/>
    <col min="10755" max="10756" width="18" style="71" bestFit="1" customWidth="1"/>
    <col min="10757" max="10757" width="15.44140625" style="71" bestFit="1" customWidth="1"/>
    <col min="10758" max="11008" width="8.88671875" style="71"/>
    <col min="11009" max="11009" width="59.88671875" style="71" bestFit="1" customWidth="1"/>
    <col min="11010" max="11010" width="10.44140625" style="71" customWidth="1"/>
    <col min="11011" max="11012" width="18" style="71" bestFit="1" customWidth="1"/>
    <col min="11013" max="11013" width="15.44140625" style="71" bestFit="1" customWidth="1"/>
    <col min="11014" max="11264" width="8.88671875" style="71"/>
    <col min="11265" max="11265" width="59.88671875" style="71" bestFit="1" customWidth="1"/>
    <col min="11266" max="11266" width="10.44140625" style="71" customWidth="1"/>
    <col min="11267" max="11268" width="18" style="71" bestFit="1" customWidth="1"/>
    <col min="11269" max="11269" width="15.44140625" style="71" bestFit="1" customWidth="1"/>
    <col min="11270" max="11520" width="8.88671875" style="71"/>
    <col min="11521" max="11521" width="59.88671875" style="71" bestFit="1" customWidth="1"/>
    <col min="11522" max="11522" width="10.44140625" style="71" customWidth="1"/>
    <col min="11523" max="11524" width="18" style="71" bestFit="1" customWidth="1"/>
    <col min="11525" max="11525" width="15.44140625" style="71" bestFit="1" customWidth="1"/>
    <col min="11526" max="11776" width="8.88671875" style="71"/>
    <col min="11777" max="11777" width="59.88671875" style="71" bestFit="1" customWidth="1"/>
    <col min="11778" max="11778" width="10.44140625" style="71" customWidth="1"/>
    <col min="11779" max="11780" width="18" style="71" bestFit="1" customWidth="1"/>
    <col min="11781" max="11781" width="15.44140625" style="71" bestFit="1" customWidth="1"/>
    <col min="11782" max="12032" width="8.88671875" style="71"/>
    <col min="12033" max="12033" width="59.88671875" style="71" bestFit="1" customWidth="1"/>
    <col min="12034" max="12034" width="10.44140625" style="71" customWidth="1"/>
    <col min="12035" max="12036" width="18" style="71" bestFit="1" customWidth="1"/>
    <col min="12037" max="12037" width="15.44140625" style="71" bestFit="1" customWidth="1"/>
    <col min="12038" max="12288" width="8.88671875" style="71"/>
    <col min="12289" max="12289" width="59.88671875" style="71" bestFit="1" customWidth="1"/>
    <col min="12290" max="12290" width="10.44140625" style="71" customWidth="1"/>
    <col min="12291" max="12292" width="18" style="71" bestFit="1" customWidth="1"/>
    <col min="12293" max="12293" width="15.44140625" style="71" bestFit="1" customWidth="1"/>
    <col min="12294" max="12544" width="8.88671875" style="71"/>
    <col min="12545" max="12545" width="59.88671875" style="71" bestFit="1" customWidth="1"/>
    <col min="12546" max="12546" width="10.44140625" style="71" customWidth="1"/>
    <col min="12547" max="12548" width="18" style="71" bestFit="1" customWidth="1"/>
    <col min="12549" max="12549" width="15.44140625" style="71" bestFit="1" customWidth="1"/>
    <col min="12550" max="12800" width="8.88671875" style="71"/>
    <col min="12801" max="12801" width="59.88671875" style="71" bestFit="1" customWidth="1"/>
    <col min="12802" max="12802" width="10.44140625" style="71" customWidth="1"/>
    <col min="12803" max="12804" width="18" style="71" bestFit="1" customWidth="1"/>
    <col min="12805" max="12805" width="15.44140625" style="71" bestFit="1" customWidth="1"/>
    <col min="12806" max="13056" width="8.88671875" style="71"/>
    <col min="13057" max="13057" width="59.88671875" style="71" bestFit="1" customWidth="1"/>
    <col min="13058" max="13058" width="10.44140625" style="71" customWidth="1"/>
    <col min="13059" max="13060" width="18" style="71" bestFit="1" customWidth="1"/>
    <col min="13061" max="13061" width="15.44140625" style="71" bestFit="1" customWidth="1"/>
    <col min="13062" max="13312" width="8.88671875" style="71"/>
    <col min="13313" max="13313" width="59.88671875" style="71" bestFit="1" customWidth="1"/>
    <col min="13314" max="13314" width="10.44140625" style="71" customWidth="1"/>
    <col min="13315" max="13316" width="18" style="71" bestFit="1" customWidth="1"/>
    <col min="13317" max="13317" width="15.44140625" style="71" bestFit="1" customWidth="1"/>
    <col min="13318" max="13568" width="8.88671875" style="71"/>
    <col min="13569" max="13569" width="59.88671875" style="71" bestFit="1" customWidth="1"/>
    <col min="13570" max="13570" width="10.44140625" style="71" customWidth="1"/>
    <col min="13571" max="13572" width="18" style="71" bestFit="1" customWidth="1"/>
    <col min="13573" max="13573" width="15.44140625" style="71" bestFit="1" customWidth="1"/>
    <col min="13574" max="13824" width="8.88671875" style="71"/>
    <col min="13825" max="13825" width="59.88671875" style="71" bestFit="1" customWidth="1"/>
    <col min="13826" max="13826" width="10.44140625" style="71" customWidth="1"/>
    <col min="13827" max="13828" width="18" style="71" bestFit="1" customWidth="1"/>
    <col min="13829" max="13829" width="15.44140625" style="71" bestFit="1" customWidth="1"/>
    <col min="13830" max="14080" width="8.88671875" style="71"/>
    <col min="14081" max="14081" width="59.88671875" style="71" bestFit="1" customWidth="1"/>
    <col min="14082" max="14082" width="10.44140625" style="71" customWidth="1"/>
    <col min="14083" max="14084" width="18" style="71" bestFit="1" customWidth="1"/>
    <col min="14085" max="14085" width="15.44140625" style="71" bestFit="1" customWidth="1"/>
    <col min="14086" max="14336" width="8.88671875" style="71"/>
    <col min="14337" max="14337" width="59.88671875" style="71" bestFit="1" customWidth="1"/>
    <col min="14338" max="14338" width="10.44140625" style="71" customWidth="1"/>
    <col min="14339" max="14340" width="18" style="71" bestFit="1" customWidth="1"/>
    <col min="14341" max="14341" width="15.44140625" style="71" bestFit="1" customWidth="1"/>
    <col min="14342" max="14592" width="8.88671875" style="71"/>
    <col min="14593" max="14593" width="59.88671875" style="71" bestFit="1" customWidth="1"/>
    <col min="14594" max="14594" width="10.44140625" style="71" customWidth="1"/>
    <col min="14595" max="14596" width="18" style="71" bestFit="1" customWidth="1"/>
    <col min="14597" max="14597" width="15.44140625" style="71" bestFit="1" customWidth="1"/>
    <col min="14598" max="14848" width="8.88671875" style="71"/>
    <col min="14849" max="14849" width="59.88671875" style="71" bestFit="1" customWidth="1"/>
    <col min="14850" max="14850" width="10.44140625" style="71" customWidth="1"/>
    <col min="14851" max="14852" width="18" style="71" bestFit="1" customWidth="1"/>
    <col min="14853" max="14853" width="15.44140625" style="71" bestFit="1" customWidth="1"/>
    <col min="14854" max="15104" width="8.88671875" style="71"/>
    <col min="15105" max="15105" width="59.88671875" style="71" bestFit="1" customWidth="1"/>
    <col min="15106" max="15106" width="10.44140625" style="71" customWidth="1"/>
    <col min="15107" max="15108" width="18" style="71" bestFit="1" customWidth="1"/>
    <col min="15109" max="15109" width="15.44140625" style="71" bestFit="1" customWidth="1"/>
    <col min="15110" max="15360" width="8.88671875" style="71"/>
    <col min="15361" max="15361" width="59.88671875" style="71" bestFit="1" customWidth="1"/>
    <col min="15362" max="15362" width="10.44140625" style="71" customWidth="1"/>
    <col min="15363" max="15364" width="18" style="71" bestFit="1" customWidth="1"/>
    <col min="15365" max="15365" width="15.44140625" style="71" bestFit="1" customWidth="1"/>
    <col min="15366" max="15616" width="8.88671875" style="71"/>
    <col min="15617" max="15617" width="59.88671875" style="71" bestFit="1" customWidth="1"/>
    <col min="15618" max="15618" width="10.44140625" style="71" customWidth="1"/>
    <col min="15619" max="15620" width="18" style="71" bestFit="1" customWidth="1"/>
    <col min="15621" max="15621" width="15.44140625" style="71" bestFit="1" customWidth="1"/>
    <col min="15622" max="15872" width="8.88671875" style="71"/>
    <col min="15873" max="15873" width="59.88671875" style="71" bestFit="1" customWidth="1"/>
    <col min="15874" max="15874" width="10.44140625" style="71" customWidth="1"/>
    <col min="15875" max="15876" width="18" style="71" bestFit="1" customWidth="1"/>
    <col min="15877" max="15877" width="15.44140625" style="71" bestFit="1" customWidth="1"/>
    <col min="15878" max="16128" width="8.88671875" style="71"/>
    <col min="16129" max="16129" width="59.88671875" style="71" bestFit="1" customWidth="1"/>
    <col min="16130" max="16130" width="10.44140625" style="71" customWidth="1"/>
    <col min="16131" max="16132" width="18" style="71" bestFit="1" customWidth="1"/>
    <col min="16133" max="16133" width="15.44140625" style="71" bestFit="1" customWidth="1"/>
    <col min="16134" max="16384" width="8.88671875" style="71"/>
  </cols>
  <sheetData>
    <row r="1" spans="1:8" ht="14.85" customHeight="1" x14ac:dyDescent="0.3">
      <c r="A1" s="258"/>
      <c r="B1" s="258"/>
      <c r="C1" s="258"/>
      <c r="D1" s="258"/>
    </row>
    <row r="2" spans="1:8" x14ac:dyDescent="0.3">
      <c r="A2" s="258"/>
      <c r="B2" s="258"/>
      <c r="C2" s="258"/>
      <c r="D2" s="258"/>
    </row>
    <row r="3" spans="1:8" x14ac:dyDescent="0.3">
      <c r="A3" s="258"/>
      <c r="B3" s="258"/>
      <c r="C3" s="258"/>
      <c r="D3" s="258"/>
    </row>
    <row r="4" spans="1:8" x14ac:dyDescent="0.3">
      <c r="A4" s="258"/>
      <c r="B4" s="258"/>
      <c r="C4" s="258"/>
      <c r="D4" s="258"/>
    </row>
    <row r="5" spans="1:8" x14ac:dyDescent="0.3">
      <c r="A5" s="258"/>
      <c r="B5" s="258"/>
      <c r="C5" s="258"/>
      <c r="D5" s="258"/>
    </row>
    <row r="6" spans="1:8" x14ac:dyDescent="0.3">
      <c r="A6" s="258"/>
      <c r="B6" s="258"/>
      <c r="C6" s="258"/>
      <c r="D6" s="258"/>
    </row>
    <row r="7" spans="1:8" x14ac:dyDescent="0.3">
      <c r="A7" s="259" t="str">
        <f>"PEMERINTAH "&amp;[1]Entitas!C4&amp;" "&amp;[1]Entitas!C3</f>
        <v>PEMERINTAH KABUPATEN SUMBAWA BARAT</v>
      </c>
      <c r="B7" s="259"/>
      <c r="C7" s="259"/>
      <c r="D7" s="259"/>
    </row>
    <row r="8" spans="1:8" x14ac:dyDescent="0.3">
      <c r="A8" s="259" t="s">
        <v>198</v>
      </c>
      <c r="B8" s="259"/>
      <c r="C8" s="259"/>
      <c r="D8" s="259"/>
    </row>
    <row r="9" spans="1:8" ht="14.4" x14ac:dyDescent="0.3">
      <c r="A9" s="259" t="str">
        <f>"UNTUK TAHUN YANG BERAKHIR SAMPAI DENGAN 31 DESEMBER "&amp;[1]Entitas!C9&amp;" DAN "&amp;[1]Entitas!C9-1</f>
        <v>UNTUK TAHUN YANG BERAKHIR SAMPAI DENGAN 31 DESEMBER 2025 DAN 2024</v>
      </c>
      <c r="B9" s="259"/>
      <c r="C9" s="259"/>
      <c r="D9" s="259"/>
      <c r="E9"/>
      <c r="F9"/>
      <c r="G9"/>
      <c r="H9"/>
    </row>
    <row r="10" spans="1:8" s="73" customFormat="1" ht="14.4" x14ac:dyDescent="0.3">
      <c r="A10" s="260"/>
      <c r="B10" s="260"/>
      <c r="C10" s="260"/>
      <c r="D10" s="260"/>
      <c r="E10"/>
      <c r="F10"/>
      <c r="G10"/>
      <c r="H10"/>
    </row>
    <row r="11" spans="1:8" s="73" customFormat="1" ht="14.4" x14ac:dyDescent="0.3">
      <c r="C11" s="261" t="s">
        <v>57</v>
      </c>
      <c r="D11" s="261"/>
      <c r="E11"/>
      <c r="F11"/>
      <c r="G11"/>
      <c r="H11"/>
    </row>
    <row r="12" spans="1:8" ht="26.1" customHeight="1" x14ac:dyDescent="0.3">
      <c r="A12" s="75" t="s">
        <v>1</v>
      </c>
      <c r="B12" s="76" t="s">
        <v>2</v>
      </c>
      <c r="C12" s="75" t="str">
        <f>"TAHUN "&amp;[1]Entitas!C9</f>
        <v>TAHUN 2025</v>
      </c>
      <c r="D12" s="75" t="str">
        <f>"TAHUN "&amp;[1]Entitas!C9-1</f>
        <v>TAHUN 2024</v>
      </c>
      <c r="E12"/>
      <c r="F12"/>
      <c r="G12"/>
      <c r="H12"/>
    </row>
    <row r="13" spans="1:8" ht="14.4" x14ac:dyDescent="0.3">
      <c r="A13" s="219"/>
      <c r="B13" s="219"/>
      <c r="C13" s="220"/>
      <c r="D13" s="220"/>
      <c r="E13"/>
      <c r="F13"/>
      <c r="G13"/>
      <c r="H13"/>
    </row>
    <row r="14" spans="1:8" ht="14.4" x14ac:dyDescent="0.3">
      <c r="A14" s="103" t="s">
        <v>199</v>
      </c>
      <c r="B14" s="221" t="s">
        <v>391</v>
      </c>
      <c r="C14" s="278">
        <v>3841474943724.3301</v>
      </c>
      <c r="D14" s="278">
        <v>3824059528321.54</v>
      </c>
      <c r="E14"/>
      <c r="F14"/>
      <c r="G14"/>
      <c r="H14"/>
    </row>
    <row r="15" spans="1:8" ht="14.4" x14ac:dyDescent="0.3">
      <c r="A15" s="222"/>
      <c r="B15" s="223"/>
      <c r="C15" s="310"/>
      <c r="D15" s="310"/>
      <c r="E15"/>
      <c r="F15"/>
      <c r="G15"/>
      <c r="H15"/>
    </row>
    <row r="16" spans="1:8" ht="14.4" x14ac:dyDescent="0.3">
      <c r="A16" s="103" t="s">
        <v>167</v>
      </c>
      <c r="B16" s="221" t="s">
        <v>392</v>
      </c>
      <c r="C16" s="278">
        <v>757035706221.77002</v>
      </c>
      <c r="D16" s="278">
        <v>-10311081144.18001</v>
      </c>
      <c r="E16"/>
      <c r="F16"/>
      <c r="G16"/>
      <c r="H16"/>
    </row>
    <row r="17" spans="1:8" ht="14.4" x14ac:dyDescent="0.3">
      <c r="A17" s="222"/>
      <c r="B17" s="223"/>
      <c r="C17" s="310"/>
      <c r="D17" s="310"/>
      <c r="E17"/>
      <c r="F17"/>
      <c r="G17"/>
      <c r="H17"/>
    </row>
    <row r="18" spans="1:8" ht="27.6" x14ac:dyDescent="0.3">
      <c r="A18" s="103" t="s">
        <v>200</v>
      </c>
      <c r="B18" s="221" t="s">
        <v>393</v>
      </c>
      <c r="C18" s="278">
        <v>-1436820816.5</v>
      </c>
      <c r="D18" s="278">
        <v>27726496546.970001</v>
      </c>
      <c r="E18"/>
      <c r="F18"/>
      <c r="G18"/>
      <c r="H18"/>
    </row>
    <row r="19" spans="1:8" ht="14.4" x14ac:dyDescent="0.3">
      <c r="A19" s="224" t="s">
        <v>201</v>
      </c>
      <c r="B19" s="225" t="s">
        <v>397</v>
      </c>
      <c r="C19" s="311">
        <v>-348996150</v>
      </c>
      <c r="D19" s="312">
        <v>27539237256.970001</v>
      </c>
      <c r="E19"/>
      <c r="F19"/>
      <c r="G19"/>
      <c r="H19"/>
    </row>
    <row r="20" spans="1:8" ht="14.4" x14ac:dyDescent="0.3">
      <c r="A20" s="224" t="s">
        <v>202</v>
      </c>
      <c r="B20" s="225" t="s">
        <v>398</v>
      </c>
      <c r="C20" s="311">
        <v>-930168223</v>
      </c>
      <c r="D20" s="312">
        <v>349728000</v>
      </c>
      <c r="E20"/>
      <c r="F20"/>
      <c r="G20"/>
      <c r="H20"/>
    </row>
    <row r="21" spans="1:8" ht="14.4" x14ac:dyDescent="0.3">
      <c r="A21" s="224" t="s">
        <v>203</v>
      </c>
      <c r="B21" s="225" t="s">
        <v>399</v>
      </c>
      <c r="C21" s="311">
        <v>177500000</v>
      </c>
      <c r="D21" s="312">
        <v>-156578950</v>
      </c>
      <c r="E21"/>
      <c r="F21"/>
      <c r="G21"/>
      <c r="H21"/>
    </row>
    <row r="22" spans="1:8" ht="14.4" x14ac:dyDescent="0.3">
      <c r="A22" s="224" t="s">
        <v>204</v>
      </c>
      <c r="B22" s="225" t="s">
        <v>400</v>
      </c>
      <c r="C22" s="311">
        <v>0</v>
      </c>
      <c r="D22" s="312">
        <v>0</v>
      </c>
      <c r="E22"/>
      <c r="F22"/>
      <c r="G22"/>
      <c r="H22"/>
    </row>
    <row r="23" spans="1:8" ht="14.4" x14ac:dyDescent="0.3">
      <c r="A23" s="224" t="s">
        <v>205</v>
      </c>
      <c r="B23" s="225" t="s">
        <v>401</v>
      </c>
      <c r="C23" s="311">
        <v>-868662443.5</v>
      </c>
      <c r="D23" s="312">
        <v>0</v>
      </c>
      <c r="E23"/>
      <c r="F23"/>
      <c r="G23"/>
      <c r="H23"/>
    </row>
    <row r="24" spans="1:8" ht="14.4" x14ac:dyDescent="0.3">
      <c r="A24" s="224" t="s">
        <v>206</v>
      </c>
      <c r="B24" s="225" t="s">
        <v>402</v>
      </c>
      <c r="C24" s="312">
        <v>0</v>
      </c>
      <c r="D24" s="312">
        <v>-5889760</v>
      </c>
      <c r="E24"/>
      <c r="F24"/>
      <c r="G24"/>
      <c r="H24"/>
    </row>
    <row r="25" spans="1:8" ht="14.4" x14ac:dyDescent="0.3">
      <c r="A25" s="224" t="s">
        <v>207</v>
      </c>
      <c r="B25" s="225" t="s">
        <v>403</v>
      </c>
      <c r="C25" s="311">
        <v>533506000</v>
      </c>
      <c r="D25" s="312">
        <v>0</v>
      </c>
      <c r="E25"/>
      <c r="F25"/>
      <c r="G25"/>
      <c r="H25"/>
    </row>
    <row r="26" spans="1:8" ht="14.4" x14ac:dyDescent="0.3">
      <c r="A26" s="224" t="s">
        <v>208</v>
      </c>
      <c r="B26" s="225" t="s">
        <v>404</v>
      </c>
      <c r="C26" s="312">
        <v>0</v>
      </c>
      <c r="D26" s="312">
        <v>0</v>
      </c>
      <c r="E26"/>
      <c r="F26"/>
      <c r="G26"/>
      <c r="H26"/>
    </row>
    <row r="27" spans="1:8" ht="14.4" x14ac:dyDescent="0.3">
      <c r="A27" s="226"/>
      <c r="B27" s="227"/>
      <c r="C27" s="313"/>
      <c r="D27" s="313"/>
      <c r="E27"/>
      <c r="F27"/>
      <c r="G27"/>
      <c r="H27"/>
    </row>
    <row r="28" spans="1:8" ht="26.1" customHeight="1" x14ac:dyDescent="0.3">
      <c r="A28" s="75" t="s">
        <v>209</v>
      </c>
      <c r="B28" s="240" t="s">
        <v>394</v>
      </c>
      <c r="C28" s="314">
        <v>4597073829129.5996</v>
      </c>
      <c r="D28" s="314">
        <v>3841474943724.3301</v>
      </c>
      <c r="E28"/>
      <c r="F28"/>
      <c r="G28"/>
      <c r="H28"/>
    </row>
    <row r="29" spans="1:8" ht="8.1" customHeight="1" x14ac:dyDescent="0.3">
      <c r="A29" s="228"/>
      <c r="B29" s="229"/>
      <c r="C29" s="229"/>
      <c r="D29" s="96"/>
      <c r="E29"/>
      <c r="F29"/>
      <c r="G29"/>
      <c r="H29"/>
    </row>
    <row r="30" spans="1:8" ht="16.350000000000001" customHeight="1" x14ac:dyDescent="0.3">
      <c r="A30" s="255" t="s">
        <v>55</v>
      </c>
      <c r="B30" s="255"/>
      <c r="C30" s="255"/>
      <c r="D30" s="255"/>
      <c r="E30"/>
      <c r="F30"/>
      <c r="G30"/>
      <c r="H30"/>
    </row>
    <row r="31" spans="1:8" ht="16.350000000000001" customHeight="1" x14ac:dyDescent="0.3">
      <c r="A31" s="255"/>
      <c r="B31" s="255"/>
      <c r="C31" s="255"/>
      <c r="D31" s="255"/>
      <c r="E31"/>
      <c r="F31"/>
      <c r="G31"/>
      <c r="H31"/>
    </row>
    <row r="32" spans="1:8" ht="16.350000000000001" customHeight="1" x14ac:dyDescent="0.3">
      <c r="A32" s="95"/>
      <c r="B32" s="95"/>
      <c r="C32" s="95"/>
      <c r="D32" s="95"/>
      <c r="E32"/>
      <c r="F32"/>
      <c r="G32"/>
      <c r="H32"/>
    </row>
    <row r="33" spans="3:8" ht="14.4" x14ac:dyDescent="0.3">
      <c r="C33" s="96"/>
      <c r="E33"/>
      <c r="F33"/>
      <c r="G33"/>
      <c r="H33"/>
    </row>
    <row r="34" spans="3:8" ht="17.399999999999999" x14ac:dyDescent="0.3">
      <c r="C34" s="256" t="str">
        <f>[1]Entitas!C5&amp;" "&amp;[1]Entitas!C3</f>
        <v>BUPATI SUMBAWA BARAT</v>
      </c>
      <c r="D34" s="257"/>
      <c r="E34"/>
      <c r="F34"/>
      <c r="G34"/>
      <c r="H34"/>
    </row>
    <row r="35" spans="3:8" ht="17.399999999999999" x14ac:dyDescent="0.3">
      <c r="C35" s="97"/>
      <c r="D35" s="97"/>
      <c r="E35"/>
      <c r="F35"/>
      <c r="G35"/>
      <c r="H35"/>
    </row>
    <row r="36" spans="3:8" ht="17.399999999999999" x14ac:dyDescent="0.3">
      <c r="C36" s="97"/>
      <c r="D36" s="97"/>
      <c r="E36"/>
      <c r="F36"/>
      <c r="G36"/>
      <c r="H36"/>
    </row>
    <row r="37" spans="3:8" ht="17.399999999999999" x14ac:dyDescent="0.3">
      <c r="C37" s="97"/>
      <c r="D37" s="97"/>
      <c r="E37"/>
      <c r="F37"/>
      <c r="G37"/>
      <c r="H37"/>
    </row>
    <row r="38" spans="3:8" ht="17.399999999999999" x14ac:dyDescent="0.3">
      <c r="C38" s="257"/>
      <c r="D38" s="257"/>
      <c r="E38"/>
      <c r="F38"/>
      <c r="G38"/>
      <c r="H38"/>
    </row>
    <row r="39" spans="3:8" ht="17.399999999999999" x14ac:dyDescent="0.3">
      <c r="C39" s="256" t="str">
        <f>[1]Entitas!C6</f>
        <v>H. AMAR NURMANSYAH, ST.,M.Si</v>
      </c>
      <c r="D39" s="257"/>
      <c r="E39"/>
      <c r="F39"/>
      <c r="G39"/>
      <c r="H39"/>
    </row>
    <row r="40" spans="3:8" ht="14.4" x14ac:dyDescent="0.3">
      <c r="C40" s="91"/>
      <c r="D40" s="91"/>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Ridho Alqudri</dc:creator>
  <cp:lastModifiedBy>Muhammad Ridho Alqudri</cp:lastModifiedBy>
  <cp:lastPrinted>2026-05-19T14:32:50Z</cp:lastPrinted>
  <dcterms:created xsi:type="dcterms:W3CDTF">2026-05-17T10:35:35Z</dcterms:created>
  <dcterms:modified xsi:type="dcterms:W3CDTF">2026-06-24T03:08:15Z</dcterms:modified>
</cp:coreProperties>
</file>